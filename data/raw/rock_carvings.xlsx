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ne 53" sheetId="1" r:id="rId5"/>
    <sheet state="visible" name="Stone 3 and 5" sheetId="2" r:id="rId6"/>
    <sheet state="visible" name="Sheet10" sheetId="3" r:id="rId7"/>
    <sheet state="visible" name="Axes" sheetId="4" r:id="rId8"/>
    <sheet state="visible" name="Sheet14" sheetId="5" r:id="rId9"/>
    <sheet state="visible" name="Sheet11" sheetId="6" r:id="rId10"/>
    <sheet state="visible" name="Sheet12" sheetId="7" r:id="rId11"/>
    <sheet state="visible" name="Carvings to axes" sheetId="8" r:id="rId12"/>
    <sheet state="visible" name="SSIM Pairwise" sheetId="9" r:id="rId13"/>
  </sheets>
  <definedNames>
    <definedName hidden="1" localSheetId="0" name="_xlnm._FilterDatabase">'Stone 53'!$A$1:$W$995</definedName>
    <definedName hidden="1" localSheetId="3" name="_xlnm._FilterDatabase">Axes!$A$1:$AH$1013</definedName>
    <definedName hidden="1" localSheetId="7" name="_xlnm._FilterDatabase">'Carvings to axes'!$A$1:$M$41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tc={30b94bb9-30fa-4c0a-b690-3acbfb3211e0}</author>
  </authors>
  <commentList>
    <comment authorId="0" xr:uid="{30b94bb9-30fa-4c0a-b690-3acbfb3211e0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@mullen.tim@gmail.com I started doing the pairwise similarities, based on the SSIM metric
</t>
      </text>
    </comment>
  </commentList>
</comments>
</file>

<file path=xl/sharedStrings.xml><?xml version="1.0" encoding="utf-8"?>
<sst xmlns="http://schemas.openxmlformats.org/spreadsheetml/2006/main" count="3860" uniqueCount="1557">
  <si>
    <t>Stone</t>
  </si>
  <si>
    <t>Carving#</t>
  </si>
  <si>
    <t>Recurve</t>
  </si>
  <si>
    <t>Ring</t>
  </si>
  <si>
    <t>Flat Bottom</t>
  </si>
  <si>
    <t>Flaired bottom</t>
  </si>
  <si>
    <t>Rounded edge</t>
  </si>
  <si>
    <t>Sharp Bottom</t>
  </si>
  <si>
    <t>Binary Image</t>
  </si>
  <si>
    <t>Area</t>
  </si>
  <si>
    <t>Perimeter</t>
  </si>
  <si>
    <t>Height</t>
  </si>
  <si>
    <t>Width</t>
  </si>
  <si>
    <t>Circularity</t>
  </si>
  <si>
    <t>Aspect Ratio</t>
  </si>
  <si>
    <t>Roundness</t>
  </si>
  <si>
    <t>Solidity</t>
  </si>
  <si>
    <t>Incurve edge</t>
  </si>
  <si>
    <t>Incurve min</t>
  </si>
  <si>
    <t>recurve ratio</t>
  </si>
  <si>
    <t>RiCruin1</t>
  </si>
  <si>
    <t>RiCruin2</t>
  </si>
  <si>
    <t>RiCruin3</t>
  </si>
  <si>
    <t>RiCruin4</t>
  </si>
  <si>
    <t>RiCruin5</t>
  </si>
  <si>
    <t>RiCruin6</t>
  </si>
  <si>
    <t>Perim.</t>
  </si>
  <si>
    <t>Circ.</t>
  </si>
  <si>
    <t>AR</t>
  </si>
  <si>
    <t>Round</t>
  </si>
  <si>
    <t>Stone 3</t>
  </si>
  <si>
    <t>f639</t>
  </si>
  <si>
    <t>F640</t>
  </si>
  <si>
    <t>F641</t>
  </si>
  <si>
    <t>Stone 5</t>
  </si>
  <si>
    <t>F642</t>
  </si>
  <si>
    <t>F647</t>
  </si>
  <si>
    <t>F643</t>
  </si>
  <si>
    <t>F644</t>
  </si>
  <si>
    <t>F645</t>
  </si>
  <si>
    <t>F646</t>
  </si>
  <si>
    <t>F723</t>
  </si>
  <si>
    <t>F721</t>
  </si>
  <si>
    <t>F722</t>
  </si>
  <si>
    <t>F719</t>
  </si>
  <si>
    <t>Rotated</t>
  </si>
  <si>
    <t>Source</t>
  </si>
  <si>
    <t>ID</t>
  </si>
  <si>
    <t>Class</t>
  </si>
  <si>
    <t>Type</t>
  </si>
  <si>
    <t>Findspot</t>
  </si>
  <si>
    <t>Location</t>
  </si>
  <si>
    <t>Recurve (mentioned by Needham)</t>
  </si>
  <si>
    <t>Flair</t>
  </si>
  <si>
    <t>Rounded</t>
  </si>
  <si>
    <t>#</t>
  </si>
  <si>
    <t>Length</t>
  </si>
  <si>
    <t>Body Width</t>
  </si>
  <si>
    <t>Incurve Edge</t>
  </si>
  <si>
    <t>Needham 2012, Needham 1983, IW 3/4</t>
  </si>
  <si>
    <t>5A</t>
  </si>
  <si>
    <t>Horncastle</t>
  </si>
  <si>
    <t>Moon’s Hill, Totland, Isle of Wight</t>
  </si>
  <si>
    <t>Carisbrooke Museum</t>
  </si>
  <si>
    <t>Needham 2012, Needham 1983, BB 1</t>
  </si>
  <si>
    <t>5C</t>
  </si>
  <si>
    <t>Bisham</t>
  </si>
  <si>
    <t>River Thames at Bisham, Berkshire/Buckinghamshire</t>
  </si>
  <si>
    <t>British Museum, 1893,1219.1</t>
  </si>
  <si>
    <t>Needham 1983</t>
  </si>
  <si>
    <t>2.fig 76</t>
  </si>
  <si>
    <t>5Da</t>
  </si>
  <si>
    <t>Risby/Glanworth</t>
  </si>
  <si>
    <t>Glanworth Co Cork</t>
  </si>
  <si>
    <t>Needham 2012, Needham 1983, Ng 8</t>
  </si>
  <si>
    <t>5E</t>
  </si>
  <si>
    <t>Clifton</t>
  </si>
  <si>
    <t>Clifton, Nottinghamshire</t>
  </si>
  <si>
    <t>Nottingham Museum</t>
  </si>
  <si>
    <t>Ca7</t>
  </si>
  <si>
    <t>5eb</t>
  </si>
  <si>
    <t>Burwell Fen, Burwell, Cambridgeshire</t>
  </si>
  <si>
    <t>ca43</t>
  </si>
  <si>
    <t>Needham 2012, Needham 1983, Ds 5</t>
  </si>
  <si>
    <t>5D</t>
  </si>
  <si>
    <t>West Drayton</t>
  </si>
  <si>
    <t>White Horse Hill, Osmington, Dorset</t>
  </si>
  <si>
    <t>British Museum, 1875,0401.6</t>
  </si>
  <si>
    <t>Burgess</t>
  </si>
  <si>
    <t>Needham 2012</t>
  </si>
  <si>
    <t>Irish style</t>
  </si>
  <si>
    <t>Cambridge University Museum, 83.116</t>
  </si>
  <si>
    <t>Needham 2012, Needham 1983, Nf 58</t>
  </si>
  <si>
    <t>5B</t>
  </si>
  <si>
    <t>Maidenhead</t>
  </si>
  <si>
    <t>Norfolk</t>
  </si>
  <si>
    <t>Norwich Museum, 76.94(753)</t>
  </si>
  <si>
    <t>Blackdyke Farm, Hockwold-cum- Wilton, Norfolk</t>
  </si>
  <si>
    <t>Private ownership</t>
  </si>
  <si>
    <t>Arreton Down, Isle of Wight</t>
  </si>
  <si>
    <t>British Museum, 1985,0302.1</t>
  </si>
  <si>
    <t>Ca29</t>
  </si>
  <si>
    <t>Lavington style</t>
  </si>
  <si>
    <t>Littleport 2</t>
  </si>
  <si>
    <t>Ca5</t>
  </si>
  <si>
    <t>Hb 8</t>
  </si>
  <si>
    <t>Risby Warren</t>
  </si>
  <si>
    <t>Rocky Parks Field, Plymstock, Devon</t>
  </si>
  <si>
    <t>British Museum, 1869,1220.6</t>
  </si>
  <si>
    <t>Le1-2</t>
  </si>
  <si>
    <t>5F</t>
  </si>
  <si>
    <t>Croft</t>
  </si>
  <si>
    <t>NF40</t>
  </si>
  <si>
    <t>Methwold</t>
  </si>
  <si>
    <t>NF27/1</t>
  </si>
  <si>
    <t>Near Blackdyke Farm</t>
  </si>
  <si>
    <t>so31</t>
  </si>
  <si>
    <t>Sx5</t>
  </si>
  <si>
    <t>Irish</t>
  </si>
  <si>
    <t>1A</t>
  </si>
  <si>
    <t>Minto</t>
  </si>
  <si>
    <t>2E</t>
  </si>
  <si>
    <t>Copper Hatchet</t>
  </si>
  <si>
    <t>3A</t>
  </si>
  <si>
    <t>Lansdown</t>
  </si>
  <si>
    <t>3B</t>
  </si>
  <si>
    <t>Boreland</t>
  </si>
  <si>
    <t>Killaha</t>
  </si>
  <si>
    <t>3E</t>
  </si>
  <si>
    <t>Brithdir</t>
  </si>
  <si>
    <t>3F</t>
  </si>
  <si>
    <t>Moot Low</t>
  </si>
  <si>
    <t>Needham 2012, Needham 1983, Gs 7</t>
  </si>
  <si>
    <t>Staunton</t>
  </si>
  <si>
    <t>Staunton, Gloucestershire</t>
  </si>
  <si>
    <t>Ashmolean Museum, 1927.2580</t>
  </si>
  <si>
    <t>Needham 2012, Needham 1983, Ca 43/1</t>
  </si>
  <si>
    <t>Grunty Fen, Wilburton, Cambridgeshire</t>
  </si>
  <si>
    <t>Alnwick Castle Museum, 1880.197</t>
  </si>
  <si>
    <t>UP40</t>
  </si>
  <si>
    <t>Wi8</t>
  </si>
  <si>
    <t>bushbarrow</t>
  </si>
  <si>
    <t>ArtefactID</t>
  </si>
  <si>
    <t>Image</t>
  </si>
  <si>
    <t>BasicObject</t>
  </si>
  <si>
    <t>Object</t>
  </si>
  <si>
    <t>Typology</t>
  </si>
  <si>
    <t>BasicType</t>
  </si>
  <si>
    <t>Flat</t>
  </si>
  <si>
    <t>pointed</t>
  </si>
  <si>
    <t>SiteNameFull</t>
  </si>
  <si>
    <t>County</t>
  </si>
  <si>
    <t>Region</t>
  </si>
  <si>
    <t>Lon</t>
  </si>
  <si>
    <t>Lat</t>
  </si>
  <si>
    <t>MetalAssemblage</t>
  </si>
  <si>
    <t>MusAcc</t>
  </si>
  <si>
    <t>CatalogueIDs</t>
  </si>
  <si>
    <t>Needham#</t>
  </si>
  <si>
    <t>PublishTypes</t>
  </si>
  <si>
    <t>BladeWidth</t>
  </si>
  <si>
    <t>ButtWidth</t>
  </si>
  <si>
    <t>Weight</t>
  </si>
  <si>
    <t>RWE</t>
  </si>
  <si>
    <t>376.jpg</t>
  </si>
  <si>
    <t>Flat Axe</t>
  </si>
  <si>
    <t>II/2D</t>
  </si>
  <si>
    <t>Class 2</t>
  </si>
  <si>
    <t>Paul, Penolva (Stitches Field)</t>
  </si>
  <si>
    <t>Cornwall</t>
  </si>
  <si>
    <t>Southwestern England</t>
  </si>
  <si>
    <t>MA 1 and 2</t>
  </si>
  <si>
    <t>Penlee House Gallery and Museum, Penzance PEZPH : 84/42</t>
  </si>
  <si>
    <t>Needham1983:Cw5;Pearce183:114;Needham2017:16;Knight2018:PHGM-F001</t>
  </si>
  <si>
    <t>Needham2017:Class 2D (Halberton type)</t>
  </si>
  <si>
    <t>377.jpg</t>
  </si>
  <si>
    <t>Low-flanged Axe</t>
  </si>
  <si>
    <t>Class 4Ec</t>
  </si>
  <si>
    <t>Class 4</t>
  </si>
  <si>
    <t>Penquite</t>
  </si>
  <si>
    <t>MA 4 and 5</t>
  </si>
  <si>
    <t>Royal Cornwall Museum, Truro TRURI : 1919.2</t>
  </si>
  <si>
    <t>Needham1983:Cw11;Pearce1983:133</t>
  </si>
  <si>
    <t>Needham1983:Class 4Ec</t>
  </si>
  <si>
    <t>385.jpg</t>
  </si>
  <si>
    <t>II/2B</t>
  </si>
  <si>
    <t>Bridestowe, Burley Camp</t>
  </si>
  <si>
    <t>Devon</t>
  </si>
  <si>
    <t>Plymouth City Museum and Art Gallery PLYMG : 379</t>
  </si>
  <si>
    <t>Needham1983:Dv1;Pearce1983:195;Needham2017:4;Knight2018:PCMAG-F002</t>
  </si>
  <si>
    <t>Needham2017:Class 2A (Burley Camp type)</t>
  </si>
  <si>
    <t>396.jpg</t>
  </si>
  <si>
    <t>Halberton, Rowridge Farm</t>
  </si>
  <si>
    <t>Royal Albert Memorial Museum, Exeter EXEMS : 38/1936</t>
  </si>
  <si>
    <t>Needham1983:Dv5,Dv10;Pearce1983:239;Needham2017:15</t>
  </si>
  <si>
    <t>398.jpg</t>
  </si>
  <si>
    <t>Hayne, Old Cleeve</t>
  </si>
  <si>
    <t>Somerset</t>
  </si>
  <si>
    <t>Somerset County Museum (Taunton Castle) TTNCM : 80D</t>
  </si>
  <si>
    <t>Rowlands1976:113;Needham1983:So5/1;Pearce1983:700;Knight2018:TTNCM-F023a</t>
  </si>
  <si>
    <t>Needham2017:Class 2B (Lode type)</t>
  </si>
  <si>
    <t>407.jpg</t>
  </si>
  <si>
    <t>Class 3B/D</t>
  </si>
  <si>
    <t>Class 3</t>
  </si>
  <si>
    <t>Wellington (near Wellington Monument?)</t>
  </si>
  <si>
    <t>MA 3</t>
  </si>
  <si>
    <t>Somerset County Museum (Taunton Castle) TTNCM : unknown</t>
  </si>
  <si>
    <t>Needham1983:So10</t>
  </si>
  <si>
    <t>Needham1983:Class 3B/D</t>
  </si>
  <si>
    <t>410.jpg</t>
  </si>
  <si>
    <t>Class 4Ea</t>
  </si>
  <si>
    <t>Cross Dyke and Blackbury Camp (near), Southleigh</t>
  </si>
  <si>
    <t>Royal Albert Memorial Museum, Exeter EXEMS : 400</t>
  </si>
  <si>
    <t>Needham1983:Dv12;Pearce1983:297;Knight2018:RAMM-F034</t>
  </si>
  <si>
    <t>Needham1983:Class 4Ea</t>
  </si>
  <si>
    <t>412.jpg</t>
  </si>
  <si>
    <t>Staple Fitzpaine, Castle Neroche</t>
  </si>
  <si>
    <t>Somerset County Museum (Taunton Castle) TTNCM : 1B</t>
  </si>
  <si>
    <t>Needham1983:So8;Pearce1983:742;Knight2018:TTNCM-F052</t>
  </si>
  <si>
    <t>Needham1983:Class 3C</t>
  </si>
  <si>
    <t>424.jpg</t>
  </si>
  <si>
    <t>Winterbourne Steepleton, Glebe Farm</t>
  </si>
  <si>
    <t>Dorset</t>
  </si>
  <si>
    <t>Dorset County Museum DORCM : 1892.30.1</t>
  </si>
  <si>
    <t>Needham1983:Ds14;Pearce1983:513;Knight2018:DCM-F016;Needham2017:61</t>
  </si>
  <si>
    <t>Needham2017:Class 4E (Glebe Farm type)</t>
  </si>
  <si>
    <t>426.jpg</t>
  </si>
  <si>
    <t>Low Flanged</t>
  </si>
  <si>
    <t>Weymouth, Ridgeway, Barrow G8, Grave Group B</t>
  </si>
  <si>
    <t>Dorset County Museum DORCM : 1884.9.20</t>
  </si>
  <si>
    <t>Needham1983:Ds11/1;Pearce1983:471;Knight2018:DCM-F043</t>
  </si>
  <si>
    <t>Needham1983:Class 4Ec (Hilgay style?)</t>
  </si>
  <si>
    <t>427.jpg</t>
  </si>
  <si>
    <t>Flat Axe (diminutive)</t>
  </si>
  <si>
    <t>Weymouth, Jordan Hill</t>
  </si>
  <si>
    <t>Dorset County Museum DORCM : 1885.16.2</t>
  </si>
  <si>
    <t>Needham1983:Ds9;Pearce1983:479;Needham2017:19;Knight2018:DCM-F021</t>
  </si>
  <si>
    <t>430.jpg</t>
  </si>
  <si>
    <t>Class 3Ab</t>
  </si>
  <si>
    <t>Avon</t>
  </si>
  <si>
    <t>British Museum BM : 1964,1206.11</t>
  </si>
  <si>
    <t>Pearce1983:691;Needham1983:Av8;RohlNeedham1998:38;Needham2017:24</t>
  </si>
  <si>
    <t>Needham2017:Class 3A (Lansdown type)</t>
  </si>
  <si>
    <t>435.jpg</t>
  </si>
  <si>
    <t>Class 4D</t>
  </si>
  <si>
    <t>Bere Regis, Muddox Barrow (near)</t>
  </si>
  <si>
    <t>Dorset County Museum DORCM : 0.51.1</t>
  </si>
  <si>
    <t>Needham1983:Ds2;Pearce1983:341;Knight2018:DCM-F028</t>
  </si>
  <si>
    <t>Needham1983:Class 4D</t>
  </si>
  <si>
    <t>450.jpg</t>
  </si>
  <si>
    <t>3-1??</t>
  </si>
  <si>
    <t>Hindlow</t>
  </si>
  <si>
    <t>Derbyshire</t>
  </si>
  <si>
    <t>Central England</t>
  </si>
  <si>
    <t>Hunterian Museum, Glasgow GLAHM : B.1914.269 (formerly B11)</t>
  </si>
  <si>
    <t>Needham1983:Dy7/1</t>
  </si>
  <si>
    <t>Needham1983:Class 2/3A</t>
  </si>
  <si>
    <t>454.jpg</t>
  </si>
  <si>
    <t>Class 3E/F</t>
  </si>
  <si>
    <t>Parwich Moor</t>
  </si>
  <si>
    <t>British Museum BM : 1964,1206.12</t>
  </si>
  <si>
    <t>Vine1982:690;Needham1983:Dy14</t>
  </si>
  <si>
    <t>Needham1983:Class 3E</t>
  </si>
  <si>
    <t>459.jpg</t>
  </si>
  <si>
    <t>Class 3F</t>
  </si>
  <si>
    <t>Highlow</t>
  </si>
  <si>
    <t>private ownership</t>
  </si>
  <si>
    <t>Needham1983:Dy8/1</t>
  </si>
  <si>
    <t>Needham1983:Class 3F</t>
  </si>
  <si>
    <t>463.jpg</t>
  </si>
  <si>
    <t>Beeley, Burnt Wood</t>
  </si>
  <si>
    <t>Weston Park Museum, Sheffield SHEFG : J93.474</t>
  </si>
  <si>
    <t>Vine1982:682;Needham1983:Dy2</t>
  </si>
  <si>
    <t>Needham2017:Class 3F (Moot Low type)</t>
  </si>
  <si>
    <t>471.jpg</t>
  </si>
  <si>
    <t>Class 3B (Killaha)</t>
  </si>
  <si>
    <t>Oddington, Thornes Farm (near), Oaklands</t>
  </si>
  <si>
    <t>Gloucestershire</t>
  </si>
  <si>
    <t>Cheltenham Art Gallery and Museum CHLGM : 1980:2182</t>
  </si>
  <si>
    <t>Needham1983:Gs5/1;RohlNeedham1998:43;Needham2017:37</t>
  </si>
  <si>
    <t>Needham2017:Class 3E (Brithdir type)</t>
  </si>
  <si>
    <t>473.jpg</t>
  </si>
  <si>
    <t>Class 3E</t>
  </si>
  <si>
    <t>Cholsey</t>
  </si>
  <si>
    <t>Oxfordshire</t>
  </si>
  <si>
    <t>Reading Museum REDMG : AL.44</t>
  </si>
  <si>
    <t>Needham1983:Ox4</t>
  </si>
  <si>
    <t>482.jpg</t>
  </si>
  <si>
    <t>Class 4A</t>
  </si>
  <si>
    <t>Kettering</t>
  </si>
  <si>
    <t>Northamptonshire</t>
  </si>
  <si>
    <t>British Museum BM : WG.1792</t>
  </si>
  <si>
    <t>Needham1983:NP2;RohlNeedham1998:36;Needham2017:48</t>
  </si>
  <si>
    <t>Needham2017:Class 4A (Kettering type)</t>
  </si>
  <si>
    <t>483.jpg</t>
  </si>
  <si>
    <t>Class 3A/B</t>
  </si>
  <si>
    <t>Bray (400 yards above, River Thames)</t>
  </si>
  <si>
    <t>River Thames</t>
  </si>
  <si>
    <t>Reading Museum REDMG : 1952.44.1</t>
  </si>
  <si>
    <t>Needham1983:BB2;Needham2017:27</t>
  </si>
  <si>
    <t>Needham2017:Class 3B (Boreland type)</t>
  </si>
  <si>
    <t>484.jpg</t>
  </si>
  <si>
    <t>Knapton</t>
  </si>
  <si>
    <t>North Yorkshire</t>
  </si>
  <si>
    <t>North and Scotland</t>
  </si>
  <si>
    <t>British Museum BM : WG.1810</t>
  </si>
  <si>
    <t>SchmidtBurgess1981:220;RohlNeedham1998:37;Needham2017:46</t>
  </si>
  <si>
    <t>Needham2017:Class 3G (Knapton type);SchmidtBurgess1981:Migdale type (Biggar variant)</t>
  </si>
  <si>
    <t>496.jpg</t>
  </si>
  <si>
    <t>Class 3D</t>
  </si>
  <si>
    <t>North Kyme, St Luke's Church (in a field at rear of)</t>
  </si>
  <si>
    <t>Lincolnshire</t>
  </si>
  <si>
    <t>Peterborough Museum and Art Gallery PETMG : 4.1977</t>
  </si>
  <si>
    <t>Needham1983:Li6</t>
  </si>
  <si>
    <t>Needham1983:Class 3D</t>
  </si>
  <si>
    <t>498.jpg</t>
  </si>
  <si>
    <t>Class 4Ab</t>
  </si>
  <si>
    <t>Walton-on-the-Hill, Walton Heath</t>
  </si>
  <si>
    <t>Surrey</t>
  </si>
  <si>
    <t>British Museum BM : 1980,0302.1</t>
  </si>
  <si>
    <t>Needham1983:Sy9</t>
  </si>
  <si>
    <t>501.jpg</t>
  </si>
  <si>
    <t>Battersea (opposite Prices Candle Works, River Thames)</t>
  </si>
  <si>
    <t>Greater London</t>
  </si>
  <si>
    <t>British Museum BM : 1906,0702.1</t>
  </si>
  <si>
    <t>Needham1983:GL8;Needham2017:38</t>
  </si>
  <si>
    <t>502.jpg</t>
  </si>
  <si>
    <t>Kingston (River Thames)</t>
  </si>
  <si>
    <t>British Museum BM : WG.1727</t>
  </si>
  <si>
    <t>Needham1983:GL16</t>
  </si>
  <si>
    <t>Needham1983:Class 4Ec (reworked)</t>
  </si>
  <si>
    <t>504.jpg</t>
  </si>
  <si>
    <t>Lewes</t>
  </si>
  <si>
    <t>East Sussex</t>
  </si>
  <si>
    <t>British Museum BM : 1960,1107.3</t>
  </si>
  <si>
    <t>Needham1983:Sx17;RohlNeedham1998:39</t>
  </si>
  <si>
    <t>Needham1983:Class 3B</t>
  </si>
  <si>
    <t>510.jpg</t>
  </si>
  <si>
    <t>Class 3C</t>
  </si>
  <si>
    <t>Littleport</t>
  </si>
  <si>
    <t>Cambridgeshire</t>
  </si>
  <si>
    <t>Eastern England</t>
  </si>
  <si>
    <t>British Museum BM : WG.1793</t>
  </si>
  <si>
    <t>Needham1983:Ca28</t>
  </si>
  <si>
    <t>Needham2017:Class 3C (Harlyn Bay type)</t>
  </si>
  <si>
    <t>511.jpg</t>
  </si>
  <si>
    <t>Burwell Fen</t>
  </si>
  <si>
    <t>Museum of Archaeology and Anthropology, Cambridge CAMAA : 1911.210 (1911.504)</t>
  </si>
  <si>
    <t>Needham1983:Ca4</t>
  </si>
  <si>
    <t>512.jpg</t>
  </si>
  <si>
    <t>Museum of Archaeology and Anthropology, Cambridge CAMAA : Z 4276 (1913.184)</t>
  </si>
  <si>
    <t>Needham1983:Ca3</t>
  </si>
  <si>
    <t>514.jpg</t>
  </si>
  <si>
    <t>Exning</t>
  </si>
  <si>
    <t>Suffolk</t>
  </si>
  <si>
    <t>British Museum BM : 1866,0627.9</t>
  </si>
  <si>
    <t>Needham1983:Sf5;RohlNeedham1998:35;Pendleton1999:15</t>
  </si>
  <si>
    <t>Needham1983:Class 3Ab (Exning style)</t>
  </si>
  <si>
    <t>518.jpg</t>
  </si>
  <si>
    <t>Class 3/4</t>
  </si>
  <si>
    <t>Fordham</t>
  </si>
  <si>
    <t>Museum of Archaeology and Anthropology, Cambridge CAMAA : Z 30951</t>
  </si>
  <si>
    <t>Needham1983:Ca18</t>
  </si>
  <si>
    <t>Needham1983:Class 3/4</t>
  </si>
  <si>
    <t>521.jpg</t>
  </si>
  <si>
    <t>Etchingham (Burwash), Shoyswell Manor</t>
  </si>
  <si>
    <t>Sussex</t>
  </si>
  <si>
    <t>British Museum BM : 1927,0713.1</t>
  </si>
  <si>
    <t>Needham1983:Sx9;RohlNeedham1998:11</t>
  </si>
  <si>
    <t>524.jpg</t>
  </si>
  <si>
    <t>Heacham Brickfield</t>
  </si>
  <si>
    <t>Norwich Castle Museum NWHCM : 1926.48</t>
  </si>
  <si>
    <t>Needham1983:Nf22</t>
  </si>
  <si>
    <t>528.jpg</t>
  </si>
  <si>
    <t>Mildenhall</t>
  </si>
  <si>
    <t>Ashmolean Museum, Oxford OXFAS : 1927.2361</t>
  </si>
  <si>
    <t>Needham1983:Sf22</t>
  </si>
  <si>
    <t>Needham1983:Class 3E (Cockertons style)</t>
  </si>
  <si>
    <t>529.jpg</t>
  </si>
  <si>
    <t>Class 2B</t>
  </si>
  <si>
    <t>Eriswell</t>
  </si>
  <si>
    <t>Ashmolean Museum, Oxford OXFAS : 1927.2359</t>
  </si>
  <si>
    <t>Needham1983:Sf4;;Pendleton1999:12</t>
  </si>
  <si>
    <t>530.jpg</t>
  </si>
  <si>
    <t>Low-flanged Axe (diminutive)</t>
  </si>
  <si>
    <t>Class 4C</t>
  </si>
  <si>
    <t>Gooderstone</t>
  </si>
  <si>
    <t>Norwich Castle Museum NWHCM : 1971.210</t>
  </si>
  <si>
    <t>Needham1983:NF18;Needham2017:103</t>
  </si>
  <si>
    <t>Needham1983:Class 4B/C (axe-chisel)</t>
  </si>
  <si>
    <t>535.jpg</t>
  </si>
  <si>
    <t>East Bradenham, Leys Farm</t>
  </si>
  <si>
    <t>Norwich Castle Museum NWHCM : 1965.83</t>
  </si>
  <si>
    <t>Needham1983:Nf3</t>
  </si>
  <si>
    <t>Needham1983:Class 3Ab (Bradenham style)</t>
  </si>
  <si>
    <t>536.jpg</t>
  </si>
  <si>
    <t>Hardingham, Old Hall Farm</t>
  </si>
  <si>
    <t>Norwich Castle Museum NWHCM : 1955.193</t>
  </si>
  <si>
    <t>Needham1983:Nf19</t>
  </si>
  <si>
    <t>539.jpg</t>
  </si>
  <si>
    <t>Cawston</t>
  </si>
  <si>
    <t>Norwich Castle Museum NWHCM : 1894.76.749</t>
  </si>
  <si>
    <t>Needham1983:Nf10</t>
  </si>
  <si>
    <t>540.jpg</t>
  </si>
  <si>
    <t>Cringleford, Colney Lane, Tudor Hill</t>
  </si>
  <si>
    <t>Norwich Castle Museum NWHCM : 1929.12</t>
  </si>
  <si>
    <t>Needham1983:Nf12</t>
  </si>
  <si>
    <t>541.jpg</t>
  </si>
  <si>
    <t>II/2C</t>
  </si>
  <si>
    <t>West Runton, Church Farm (opposite West Runton Church)</t>
  </si>
  <si>
    <t>Norwich Castle Museum NWHCM : 1924.64</t>
  </si>
  <si>
    <t>Needham1983:Nf47</t>
  </si>
  <si>
    <t>Needham1983:Class 2C</t>
  </si>
  <si>
    <t>543.jpg</t>
  </si>
  <si>
    <t>Class 4B</t>
  </si>
  <si>
    <t>Hevingham, Buxton Heath</t>
  </si>
  <si>
    <t>Norwich Castle Museum NWHCM : 1953.105</t>
  </si>
  <si>
    <t>Needham1983:Nf24</t>
  </si>
  <si>
    <t>Needham2017:Class 4B (Aylesford type)</t>
  </si>
  <si>
    <t>546.jpg</t>
  </si>
  <si>
    <t>Pont Caradog / Brithdir</t>
  </si>
  <si>
    <t>Mid Glamorgan</t>
  </si>
  <si>
    <t>Wales</t>
  </si>
  <si>
    <t>British Museum BM : WG.1801</t>
  </si>
  <si>
    <t>RohlNeedham1998:30;Needham2017:36;NorthoverND:33</t>
  </si>
  <si>
    <t>Needham1983:Class 3E (Brithdir style);SchmidtBurgess1981:Killaha type</t>
  </si>
  <si>
    <t>547.jpg</t>
  </si>
  <si>
    <t>British Museum BM : WG.1802</t>
  </si>
  <si>
    <t>Needham2017:49;RohlNeedham1998:31;NorthoverND:55;GwiltLodwickND:43</t>
  </si>
  <si>
    <t>LodwickGwiltND:Class 4A (Walton Heath type);Needham2017:Class 4A (Kettering type);NorthoverND:Aylesford/Newport type;SchmidtBurgess1981:Developed (Aylesford type)</t>
  </si>
  <si>
    <t>676.jpg</t>
  </si>
  <si>
    <t>Willerby, Wold Farm Greenwell barrow 235</t>
  </si>
  <si>
    <t>Yorkshire</t>
  </si>
  <si>
    <t>British Museum BM : WG.1807</t>
  </si>
  <si>
    <t>SchmidtBurgess1981:328;Needham2017:59</t>
  </si>
  <si>
    <t>Needham2017:Class 4D (Cardiff Castle type);SchmidtBurgess1981:Developed (Falkland type)</t>
  </si>
  <si>
    <t>axehead (flat/flanged)</t>
  </si>
  <si>
    <t>4E</t>
  </si>
  <si>
    <t>729.jpg</t>
  </si>
  <si>
    <t>Flanged Axe</t>
  </si>
  <si>
    <t>Class 5Cb</t>
  </si>
  <si>
    <t>Class 5</t>
  </si>
  <si>
    <t>Grunty Fen</t>
  </si>
  <si>
    <t>MA 6</t>
  </si>
  <si>
    <t>Alnwick Castle Museum ALWAM : 197</t>
  </si>
  <si>
    <t>Needham1983:Ca43/1;Needham2017:91</t>
  </si>
  <si>
    <t>Needham2017:Class 5D (Staunton type)</t>
  </si>
  <si>
    <t>730.jpg</t>
  </si>
  <si>
    <t>Weymouth, Preston Down</t>
  </si>
  <si>
    <t>Ashmolean Museum, Oxford OXFAS : 1927.2362</t>
  </si>
  <si>
    <t>Needham1983:Ds10;Pearce1983:480;Knight2018:ASH-F009</t>
  </si>
  <si>
    <t>Needham1983:Class 4C (Clunbury style)</t>
  </si>
  <si>
    <t>731.jpg</t>
  </si>
  <si>
    <t>Icklingham, Site of British Village</t>
  </si>
  <si>
    <t>Ashmolean Museum, Oxford OXFAS : 1927.2367</t>
  </si>
  <si>
    <t>Needham1983:Sf10;Pendleton1999:17</t>
  </si>
  <si>
    <t>Needham1983:Class 3F (Hartle Moor style)</t>
  </si>
  <si>
    <t>734.jpg</t>
  </si>
  <si>
    <t>Class 5Ca</t>
  </si>
  <si>
    <t>Weymouth (near)</t>
  </si>
  <si>
    <t>Ashmolean Museum, Oxford OXFAS : 1927.2371</t>
  </si>
  <si>
    <t>Needham1983:Ds13;Pearce1983:482;Knight2018:ASH-F008</t>
  </si>
  <si>
    <t>Needham1983:Class 5Ca</t>
  </si>
  <si>
    <t>736.jpg</t>
  </si>
  <si>
    <t>Class 4Eb</t>
  </si>
  <si>
    <t>Mildenhall, Holywell Row</t>
  </si>
  <si>
    <t>Ashmolean Museum, Oxford OXFAS : 1927.2373</t>
  </si>
  <si>
    <t>Needham1983:Sf19;Pendleton1999:19</t>
  </si>
  <si>
    <t>Needham1983:Class 4Eb (miniature)</t>
  </si>
  <si>
    <t>739.jpg</t>
  </si>
  <si>
    <t>Newport Railway Station (near)</t>
  </si>
  <si>
    <t>Gwent</t>
  </si>
  <si>
    <t>Ashmolean Museum, Oxford OXFAS : 1927.2368</t>
  </si>
  <si>
    <t>NorthoverND:57;Needham2017:44</t>
  </si>
  <si>
    <t>Needham2017:Class 3G (Knapton type);NorthoverND:Aylesford/Newport type</t>
  </si>
  <si>
    <t>740.jpg</t>
  </si>
  <si>
    <t>Ashmolean Museum, Oxford OXFAS : 1927.2369</t>
  </si>
  <si>
    <t>NorthoverND:58;Needham2017:51</t>
  </si>
  <si>
    <t>Needham2017:Class 4B (Aylesford type);NorthoverND:Aylesford/Newport type</t>
  </si>
  <si>
    <t>741.jpg</t>
  </si>
  <si>
    <t>Ashmolean Museum, Oxford OXFAS : 1927.2370</t>
  </si>
  <si>
    <t>Needham2017:35;NorthoverND:34</t>
  </si>
  <si>
    <t>Needham2017:Class 3E (Brithdir type);SchmidtBurgess1981:Killaha type</t>
  </si>
  <si>
    <t>743.jpg</t>
  </si>
  <si>
    <t>Staunton (Stanton), Forest of Dean</t>
  </si>
  <si>
    <t>Ashmolean Museum, Oxford OXFAS : 1927.2580</t>
  </si>
  <si>
    <t>Needham1983:GS7;Needham2017:90;NorthoverND:116</t>
  </si>
  <si>
    <t>Needham2017:Class 5D (Staunton type);NorthoverND:Long-flanged (Cookstown/Bannockburn and cf types)</t>
  </si>
  <si>
    <t>744.jpg</t>
  </si>
  <si>
    <t>St Bertram??s Well, Ilam</t>
  </si>
  <si>
    <t>Staffordshire</t>
  </si>
  <si>
    <t>Ashmolean Museum, Oxford OXFAS : NC 337</t>
  </si>
  <si>
    <t>Vine1982:687;Needham1983:SD2;Needham2017:43</t>
  </si>
  <si>
    <t>745.jpg</t>
  </si>
  <si>
    <t>Long Wittenham Weir (near, River Thames), Appleford(?)</t>
  </si>
  <si>
    <t>Ashmolean Museum, Oxford OXFAS : PR 371</t>
  </si>
  <si>
    <t>Needham1983:Ox1;Needham2017:55</t>
  </si>
  <si>
    <t>Needham2017:Class 4C (Mount Pleasant type)</t>
  </si>
  <si>
    <t>751.jpg</t>
  </si>
  <si>
    <t>Class 5Cc</t>
  </si>
  <si>
    <t>Poslingford Hall Farm</t>
  </si>
  <si>
    <t>British Museum BM : 1845,0510.4</t>
  </si>
  <si>
    <t>Needham1983:SF26/4;;RohlNeedham1998:89;Needham2017:88</t>
  </si>
  <si>
    <t>Needham2017:Class 5D (West Drayton type)</t>
  </si>
  <si>
    <t>752.jpg</t>
  </si>
  <si>
    <t>Castle Rising</t>
  </si>
  <si>
    <t>British Museum BM : 1866,0627.10</t>
  </si>
  <si>
    <t>Needham1983:Nf9/1;RohlNeedham1998:33;Needham2017:39</t>
  </si>
  <si>
    <t>Needham2017:Class 3E/3F borderline</t>
  </si>
  <si>
    <t>753.jpg</t>
  </si>
  <si>
    <t>Class 5Ea</t>
  </si>
  <si>
    <t>Plymstock, Rocky Parks Field</t>
  </si>
  <si>
    <t>British Museum BM : 1869,1220.12</t>
  </si>
  <si>
    <t>InvArch2_HawkesSmith55:GB.9.14;Needham1983:Dv8/12;Needham2017:95;Pearce1983:285</t>
  </si>
  <si>
    <t>Needham2017:Class 5E (cf 5B type)</t>
  </si>
  <si>
    <t>754.jpg</t>
  </si>
  <si>
    <t>Class 5F</t>
  </si>
  <si>
    <t>British Museum BM : 1869,1220.6</t>
  </si>
  <si>
    <t>InvArch2_HawkesSmith55:GB.9.9;Needham1983:Dv8/6;Needham2017:94;Pearce1983:285</t>
  </si>
  <si>
    <t>Needham2017:Class 5E (Clifton type)</t>
  </si>
  <si>
    <t>755.jpg</t>
  </si>
  <si>
    <t>Class 3G</t>
  </si>
  <si>
    <t>Tower of London (near, River Thames)</t>
  </si>
  <si>
    <t>British Museum BM : 1875,0401.4</t>
  </si>
  <si>
    <t>Needham1983:GL22,;Needham2017:45</t>
  </si>
  <si>
    <t>Needham2017:Class 3G (Knapton type)</t>
  </si>
  <si>
    <t>756.jpg</t>
  </si>
  <si>
    <t>Osmington, White Horse Hill</t>
  </si>
  <si>
    <t>British Museum BM : 1875,0401.6</t>
  </si>
  <si>
    <t>Needham1983:Ds5;Pearce1983:427;Needham2017:87</t>
  </si>
  <si>
    <t>757.jpg</t>
  </si>
  <si>
    <t>Class 3Ac</t>
  </si>
  <si>
    <t>Yaxley Fen</t>
  </si>
  <si>
    <t>Huntingdonshire</t>
  </si>
  <si>
    <t>British Museum BM : 1882,0621.2</t>
  </si>
  <si>
    <t>Needham1983:Ca44;Needham2017:25</t>
  </si>
  <si>
    <t>758.jpg</t>
  </si>
  <si>
    <t>Hounslow, St Margarets, Chapel Fields</t>
  </si>
  <si>
    <t>British Museum BM : 1891,0514.60</t>
  </si>
  <si>
    <t>Needham1983:GL3;RohlNeedham1998:12;Needham2017:14</t>
  </si>
  <si>
    <t>Needham2017:Class 2C (Ironbridge type)</t>
  </si>
  <si>
    <t>759.jpg</t>
  </si>
  <si>
    <t>Class 5B</t>
  </si>
  <si>
    <t>Bisham (River Thames)</t>
  </si>
  <si>
    <t>Berks / Bucks</t>
  </si>
  <si>
    <t>British Museum BM : 1893,1219.1</t>
  </si>
  <si>
    <t>Needham1983:BB1;Needham2017:83</t>
  </si>
  <si>
    <t>Needham2017:Class 5C (Bisham type)</t>
  </si>
  <si>
    <t>761.jpg</t>
  </si>
  <si>
    <t>West Drayton Railway Station</t>
  </si>
  <si>
    <t>British Museum BM : 1933,0406.124</t>
  </si>
  <si>
    <t>Needham1983:GL23;Needham2017:86</t>
  </si>
  <si>
    <t>763.jpg</t>
  </si>
  <si>
    <t>Barton Stacey</t>
  </si>
  <si>
    <t>Hampshire</t>
  </si>
  <si>
    <t>British Museum BM : 1979,0602.1</t>
  </si>
  <si>
    <t>Needham1983:Ha3;RohlNeedham1998:28;Needham2017:33</t>
  </si>
  <si>
    <t>Needham2017:Class 3D (Barton Stacey type)</t>
  </si>
  <si>
    <t>764.jpg</t>
  </si>
  <si>
    <t>Class 5Da</t>
  </si>
  <si>
    <t>Arreton Down (formerly Martlesham)</t>
  </si>
  <si>
    <t>Isle of Wight</t>
  </si>
  <si>
    <t>British Museum BM : 1985,0302.1 (formerly Ipswich Museum IPSMG : 1962.187)</t>
  </si>
  <si>
    <t>Needham1983:IW1/3;RohlNeedham1998:61</t>
  </si>
  <si>
    <t>766.jpg</t>
  </si>
  <si>
    <t>British Museum BM : 1869,1220.3</t>
  </si>
  <si>
    <t>InvArch2_HawkesSmith55:GB.9.5;Needham1983:Dv8/3;Pearce1983:285</t>
  </si>
  <si>
    <t>Needham1983:Class 5Da</t>
  </si>
  <si>
    <t>771.jpg</t>
  </si>
  <si>
    <t>Arreton Down</t>
  </si>
  <si>
    <t>British Museum BM : SL.743</t>
  </si>
  <si>
    <t>Needham1983:IW1/1;RohlNeedham1998:62</t>
  </si>
  <si>
    <t>Needham1983:Class 5B (Liss style)</t>
  </si>
  <si>
    <t>772.jpg</t>
  </si>
  <si>
    <t>Class 5D</t>
  </si>
  <si>
    <t>British Museum BM : SL.744</t>
  </si>
  <si>
    <t>Needham1983:IW1/2;RohlNeedham1998:63</t>
  </si>
  <si>
    <t>773.jpg</t>
  </si>
  <si>
    <t>Horncastle (near)</t>
  </si>
  <si>
    <t>British Museum BM : WG.1813</t>
  </si>
  <si>
    <t>Davey1973:20;Needham1983:LI4;Needham2017:74</t>
  </si>
  <si>
    <t>Needham2017:Class 5A (Horncastle type)</t>
  </si>
  <si>
    <t>774.jpg</t>
  </si>
  <si>
    <t>Chiswick Eyot Bank (River Thames)</t>
  </si>
  <si>
    <t>British Museum BM : WG.1728</t>
  </si>
  <si>
    <t>Needham1983:GL9</t>
  </si>
  <si>
    <t>780.jpg</t>
  </si>
  <si>
    <t>Colwick (River Trent)</t>
  </si>
  <si>
    <t>Nottinghamshire</t>
  </si>
  <si>
    <t>Nottingham Castle Museum NCM : 1927.80</t>
  </si>
  <si>
    <t>Needham1983:Ng9;Scurfield1997:51</t>
  </si>
  <si>
    <t>Needham1983:Class 3E/F</t>
  </si>
  <si>
    <t>787.jpg</t>
  </si>
  <si>
    <t>Class 4Ed</t>
  </si>
  <si>
    <t>Wilsford, barrow G5 (Bush Barrow)</t>
  </si>
  <si>
    <t>Wiltshire</t>
  </si>
  <si>
    <t>Wiltshire Museum, Devizes DZSWS : 747</t>
  </si>
  <si>
    <t>CunningtonGoddard1896:148;AnnableSimpson1964:178;Needham1983:20/1;Needham2017:73</t>
  </si>
  <si>
    <t>Needham2017:Class 4F (Asterton Prolley Moor type)</t>
  </si>
  <si>
    <t>788.jpg</t>
  </si>
  <si>
    <t>West Stafford, Mount Pleasant (N terminal of henge ditch)</t>
  </si>
  <si>
    <t>Dorset County Museum DORCM : unknown</t>
  </si>
  <si>
    <t>Needham1983:Ds8;Pearce1983:371;Needham2017:56</t>
  </si>
  <si>
    <t>816.jpg</t>
  </si>
  <si>
    <t>Bucklesham Road, Purdis Farm</t>
  </si>
  <si>
    <t>Ipswich Museum IPSMG : 1959.162</t>
  </si>
  <si>
    <t>Needham1983:SF27;Needham2017:10</t>
  </si>
  <si>
    <t>Needham2017:Class 2C (Purdis Farm type)</t>
  </si>
  <si>
    <t>823.jpg</t>
  </si>
  <si>
    <t>Flat Axe/Chisel</t>
  </si>
  <si>
    <t>Firle</t>
  </si>
  <si>
    <t>Museum of Sussex Archaeology (Barbican House), Lewes LEWSA : B.15</t>
  </si>
  <si>
    <t>Needham1983:SX10;Needham2017:102</t>
  </si>
  <si>
    <t>828.jpg</t>
  </si>
  <si>
    <t>Class 5Db</t>
  </si>
  <si>
    <t>Ashford, Ashford Golf Links</t>
  </si>
  <si>
    <t>Kent</t>
  </si>
  <si>
    <t>Maidstone Museum MNEMG : 1949.55</t>
  </si>
  <si>
    <t>Needham1983:KT1;Needham2017:78</t>
  </si>
  <si>
    <t>Needham2017:Class 5B (Ashford type)</t>
  </si>
  <si>
    <t>829.jpg</t>
  </si>
  <si>
    <t>II/2A</t>
  </si>
  <si>
    <t>Nannerch/Cilcain, Moel Arthur</t>
  </si>
  <si>
    <t>Clwyd</t>
  </si>
  <si>
    <t>Manchester University Museum MANUM : 34686 (O.99237/1)</t>
  </si>
  <si>
    <t>Morgan1990:3a;NorthoverND:5;LodwickGwiltND:4;Needham2017:5</t>
  </si>
  <si>
    <t>Needham2017:Class 2A (Burley Camp type);NorthoverND:Ballybeg type</t>
  </si>
  <si>
    <t>836.jpg</t>
  </si>
  <si>
    <t>Flanged Axe (diminutive)</t>
  </si>
  <si>
    <t>Bridgham</t>
  </si>
  <si>
    <t>Museum of Archaeology and Anthropology, Cambridge CAMAA : 1920.807</t>
  </si>
  <si>
    <t>Needham1983:NF5;Needham2017:79</t>
  </si>
  <si>
    <t>838.jpg</t>
  </si>
  <si>
    <t>Soham, Clipsall Field</t>
  </si>
  <si>
    <t>Museum of Archaeology and Anthropology, Cambridge CAMAA : 1971.49</t>
  </si>
  <si>
    <t>Needham1983:Ca36;Needham2017:41</t>
  </si>
  <si>
    <t>839.jpg</t>
  </si>
  <si>
    <t>Class 4Db</t>
  </si>
  <si>
    <t>Stow-cum-Quy</t>
  </si>
  <si>
    <t>Museum of Archaeology and Anthropology, Cambridge CAMAA : 1883.114</t>
  </si>
  <si>
    <t>Needham1983:Ca38;Needham2017:58</t>
  </si>
  <si>
    <t>Needham2017:Class 4D (Cardiff Castle type)</t>
  </si>
  <si>
    <t>840.jpg</t>
  </si>
  <si>
    <t>Museum of Archaeology and Anthropology, Cambridge CAMAA : 1883.116</t>
  </si>
  <si>
    <t>Needham1983:Ca5;Needham2017:96</t>
  </si>
  <si>
    <t>Needham1983:Class 5 (Irish style)</t>
  </si>
  <si>
    <t>841.jpg</t>
  </si>
  <si>
    <t>Bottisham Lode</t>
  </si>
  <si>
    <t>Museum of Archaeology and Anthropology, Cambridge CAMAA : 1891.14</t>
  </si>
  <si>
    <t>Needham1983:Ca30;Needham2017:7</t>
  </si>
  <si>
    <t>Needham2017:Class 2B (Lode type);BM-NBII:C</t>
  </si>
  <si>
    <t>842.jpg</t>
  </si>
  <si>
    <t>Methwold Hythe</t>
  </si>
  <si>
    <t>Museum of Archaeology and Anthropology, Cambridge CAMAA : Z 4297</t>
  </si>
  <si>
    <t>Needham1983:NF38;Needham2017:47</t>
  </si>
  <si>
    <t>844.jpg</t>
  </si>
  <si>
    <t>Mortlake (River Thames)</t>
  </si>
  <si>
    <t>Museum of London LDMOL : O1167</t>
  </si>
  <si>
    <t>Needham1983:GL5</t>
  </si>
  <si>
    <t>Needham1983:Class 4Ec (Digby style)</t>
  </si>
  <si>
    <t>845.jpg</t>
  </si>
  <si>
    <t>Kew Bridge (River Thames)?</t>
  </si>
  <si>
    <t>Museum of London LDMOL : O1169</t>
  </si>
  <si>
    <t>Needham1983:GL15</t>
  </si>
  <si>
    <t>Needham2017:Class 4E (Whittington type)</t>
  </si>
  <si>
    <t>846.jpg</t>
  </si>
  <si>
    <t>Hammersmith</t>
  </si>
  <si>
    <t>Museum of London LDMOL : 49.107/810</t>
  </si>
  <si>
    <t>Needham1983:GL13</t>
  </si>
  <si>
    <t>850.jpg</t>
  </si>
  <si>
    <t>Swinton &amp;c</t>
  </si>
  <si>
    <t>Llanblethian, Breach Farm</t>
  </si>
  <si>
    <t>Glamorgan</t>
  </si>
  <si>
    <t>Amgueddfa Cymru - National Museum Wales NMW : 38.37.1</t>
  </si>
  <si>
    <t>Savory1980:338.1;NorthoverND:81;Needham2017:107;KnightND:5</t>
  </si>
  <si>
    <t>KnightND:Class 4E;Needham2017:Class 4F (Asterton Prolley Moor style);Savory1980:Wilsford type;NorthoverND:Whittington/Swinton/etc type</t>
  </si>
  <si>
    <t>852.jpg</t>
  </si>
  <si>
    <t>Narrow butt, splayed blade</t>
  </si>
  <si>
    <t>Llanddyfnan, Ty??n-y-pwll</t>
  </si>
  <si>
    <t>Anglesey</t>
  </si>
  <si>
    <t>Amgueddfa Cymru - National Museum Wales NMW : 42.395.4/5</t>
  </si>
  <si>
    <t>Savory1980:334.5;Needham2017:104;NorthoverND:74;KnightND:15a</t>
  </si>
  <si>
    <t>Needham1983:Class 4B/C (axe-chisel);NorthoverND:Whittington/Swinton/etc type</t>
  </si>
  <si>
    <t>854.jpg</t>
  </si>
  <si>
    <t>Cardiff Castle (probably)</t>
  </si>
  <si>
    <t>Amgueddfa Cymru - National Museum Wales NMW : 57.514</t>
  </si>
  <si>
    <t>Savory1980:120;NorthoverND:78;Needham2017:60;KnightND:20</t>
  </si>
  <si>
    <t>Needham2017:Class 4D (Cardiff Castle type);NorthoverND:Whittington/Swinton/etc type</t>
  </si>
  <si>
    <t>857.jpg</t>
  </si>
  <si>
    <t>Norwich, Mile Cross, 6 Rye Close</t>
  </si>
  <si>
    <t>Norwich Castle Museum NWHCM : 1982.147.2</t>
  </si>
  <si>
    <t>Needham1983:NF45/2;;RohlNeedham1998:45;Needham2017:52</t>
  </si>
  <si>
    <t>axehead (flanged)</t>
  </si>
  <si>
    <t>Class 5B (Maidenhead type)</t>
  </si>
  <si>
    <t>Norfolk, England</t>
  </si>
  <si>
    <t>Norwich Castle Museum NWHCM : 1894.76.753</t>
  </si>
  <si>
    <t>Needham2017:Class 5B (Maidenhead type)</t>
  </si>
  <si>
    <t>859.jpg</t>
  </si>
  <si>
    <t>Flanged Axe/Chisel</t>
  </si>
  <si>
    <t>Class 5(?) Ba</t>
  </si>
  <si>
    <t>Salhouse</t>
  </si>
  <si>
    <t>Norwich Castle Museum NWHCM : 1894.76.755</t>
  </si>
  <si>
    <t>Needham1983:Nf48/2</t>
  </si>
  <si>
    <t>Needham2017:Class 5B (Greengate type)</t>
  </si>
  <si>
    <t>860.jpg</t>
  </si>
  <si>
    <t>North Muskham (River Trent)</t>
  </si>
  <si>
    <t>Nottingham Castle Museum NCM : 1887.23</t>
  </si>
  <si>
    <t>Needham1983:Ng7;Davis1999:20</t>
  </si>
  <si>
    <t>Needham1983:Class 4Ec (Shippea style);SchmidtBurgess1981:Developed (Falkland type, Aylesford variant)</t>
  </si>
  <si>
    <t>861.jpg</t>
  </si>
  <si>
    <t>Clifton (River Trent?)</t>
  </si>
  <si>
    <t>Nottingham Castle Museum NCM : unknown</t>
  </si>
  <si>
    <t>Needham1983:Ng8;Scurfield1997:29;Needham2017:93</t>
  </si>
  <si>
    <t>862.jpg</t>
  </si>
  <si>
    <t>Bettws-y-crwyn, Castell Bryn Amlwg</t>
  </si>
  <si>
    <t>Shropshire</t>
  </si>
  <si>
    <t>Powysland Museum, Welshpool WEPLM : A.140</t>
  </si>
  <si>
    <t>Needham1983:SP2/1;Needham2017:71;NorthoverND:91</t>
  </si>
  <si>
    <t>Needham2017:Class 4F (Asterton Prolley Moor type);NorthoverND:Whittington/Swinton/etc type</t>
  </si>
  <si>
    <t>864.jpg</t>
  </si>
  <si>
    <t>Clunbury, Upper House</t>
  </si>
  <si>
    <t>Shrewsbury Museums Service SHYMS : A/2003/022 (B2)</t>
  </si>
  <si>
    <t>Needham1983:Sp5;NorthoverND:60</t>
  </si>
  <si>
    <t>Needham1983:Class 4C (Clunbury style);NMW:Class 4C (Mount Pleasant type);NorthoverND:Aylesford/Newport type</t>
  </si>
  <si>
    <t>876.jpg</t>
  </si>
  <si>
    <t>Migdale</t>
  </si>
  <si>
    <t>Llanddyfnan, Ynys Talwrn</t>
  </si>
  <si>
    <t>Llangefni Museum</t>
  </si>
  <si>
    <t>Needham2017:26;NorthoverND:21</t>
  </si>
  <si>
    <t>Needham2017:Class 3B (Boreland type);NMW:Class 3B (Boreland type);NorthoverND:Migdale type</t>
  </si>
  <si>
    <t>878.jpg</t>
  </si>
  <si>
    <t>Padgbury Lane, Congleton</t>
  </si>
  <si>
    <t>Cheshire</t>
  </si>
  <si>
    <t>Needham1983:CH1;Needham2017:106</t>
  </si>
  <si>
    <t>Needham1983:Class 4D/E (axe-chisel)</t>
  </si>
  <si>
    <t>887.jpg</t>
  </si>
  <si>
    <t>Class 5Ba</t>
  </si>
  <si>
    <t>Deran, Greengate, Swanton Morley</t>
  </si>
  <si>
    <t>Needham1983:NF52;Needham2017:80</t>
  </si>
  <si>
    <t>897.jpg</t>
  </si>
  <si>
    <t>Class 5A</t>
  </si>
  <si>
    <t>Amesbury, Stonehenge Down (SE Monument)</t>
  </si>
  <si>
    <t>Salisbury and South Wiltshire Museum SBYWM : 1953.33</t>
  </si>
  <si>
    <t>MooreRowlands1972:6;Needham1983:WI3;Needham2017:84</t>
  </si>
  <si>
    <t>900.jpg</t>
  </si>
  <si>
    <t>Scunthorpe, 68 Morecambe Avenue</t>
  </si>
  <si>
    <t>Humberside</t>
  </si>
  <si>
    <t>North Lincolnshire Museum Service NOLMS : unknown</t>
  </si>
  <si>
    <t>Davey1973:2;Needham1983:Hb9;Needham2017:22</t>
  </si>
  <si>
    <t>Needham2017:Class 3A (Scunthorpe type)</t>
  </si>
  <si>
    <t>901.jpg</t>
  </si>
  <si>
    <t>Bottesford, Yaddlethorpe, 136 Moorwell Road</t>
  </si>
  <si>
    <t>Scunthorpe Museum and Art Gallery SCUNM : 1958.124 (BO YA)</t>
  </si>
  <si>
    <t>Davey1973:10;Needham1983;Needham2017:62</t>
  </si>
  <si>
    <t>Needham2017:Class 4E (Glebe Farm type?)</t>
  </si>
  <si>
    <t>902.jpg</t>
  </si>
  <si>
    <t>Parwich, Shuttlestone Plantation</t>
  </si>
  <si>
    <t>Weston Park Museum, Sheffield SHEFG : J93.473</t>
  </si>
  <si>
    <t>InvArch4_Smith57:GB.19.1;Vine1982:692;Needham1983:DY13/1;Needham2017:50</t>
  </si>
  <si>
    <t>903.jpg</t>
  </si>
  <si>
    <t>Millfield, Harthill Stanton</t>
  </si>
  <si>
    <t>Weston Park Museum, Sheffield SHEFG : J93.476</t>
  </si>
  <si>
    <t>Needham1983:DY6;Needham2017:23</t>
  </si>
  <si>
    <t>904.jpg</t>
  </si>
  <si>
    <t>Newton Grange, Moot Low</t>
  </si>
  <si>
    <t>Weston Park Museum, Sheffield SHEFG : J93.477</t>
  </si>
  <si>
    <t>Vine1982:688;Needham1983:DY12/1;Needham2017:40</t>
  </si>
  <si>
    <t>905.jpg</t>
  </si>
  <si>
    <t>Bitterley/Caynham, Titterstone Clee (N side, near Dhustone Quarry)</t>
  </si>
  <si>
    <t>Shrewsbury Museums Service SHYMS : A/2003/206 (B5)</t>
  </si>
  <si>
    <t>Needham1983:Sp3/2;NorthoverND:92</t>
  </si>
  <si>
    <t>NorthoverND:Whittington/Swinton/etc type;Needham1983:Class 5Da</t>
  </si>
  <si>
    <t>908.jpg</t>
  </si>
  <si>
    <t>Ironbridge (River Severn)</t>
  </si>
  <si>
    <t>Shrewsbury Museums Service SHYMS : A/2003/028 (B62)</t>
  </si>
  <si>
    <t>Needham1983:SP10;NorthoverND:14;Needham2017:13</t>
  </si>
  <si>
    <t>Needham2017:Class 2C (Ironbridge type);NMW:Class 2C (Ironbridge type);NorthoverND:Growtown type</t>
  </si>
  <si>
    <t>918.jpg</t>
  </si>
  <si>
    <t>Harlyn Bay, St Merryn</t>
  </si>
  <si>
    <t>Royal Cornwall Museum, Truro TRURI : unknown</t>
  </si>
  <si>
    <t>Needham1983:Cw10/1;Needham2017:30</t>
  </si>
  <si>
    <t>927.jpg</t>
  </si>
  <si>
    <t>Class 3Ea</t>
  </si>
  <si>
    <t>Cheltenham Art Gallery and Museum CHLGM : 1980:2183</t>
  </si>
  <si>
    <t>Needham1983:Gs5/2;RohlNeedham1998:44</t>
  </si>
  <si>
    <t>928.jpg</t>
  </si>
  <si>
    <t>Castle Acre?</t>
  </si>
  <si>
    <t>Norwich Castle Museum NWHCM : 1908.22.1:A</t>
  </si>
  <si>
    <t>Needham1983:Nf8</t>
  </si>
  <si>
    <t>Needham1983:Class 4B (Chertsey style)</t>
  </si>
  <si>
    <t>933.jpg</t>
  </si>
  <si>
    <t>Attenborough</t>
  </si>
  <si>
    <t>Nottingham University Museum NOTUM : ATT 61.2 (61.02)</t>
  </si>
  <si>
    <t>Needham1983:Ng1;Scurfield1997:13</t>
  </si>
  <si>
    <t>Needham1983:Class 4C</t>
  </si>
  <si>
    <t>935.jpg</t>
  </si>
  <si>
    <t>Nottingham University Museum NOTUM : ATT 0.355</t>
  </si>
  <si>
    <t>Needham1983:Ng3;Scurfield1997:5</t>
  </si>
  <si>
    <t>939.jpg</t>
  </si>
  <si>
    <t>Barrington</t>
  </si>
  <si>
    <t>British Museum BM : 1853,0627.45</t>
  </si>
  <si>
    <t>Needham1983:Ca1</t>
  </si>
  <si>
    <t>Needham1983:Class 5F (axe-chisel;reworked)</t>
  </si>
  <si>
    <t>940.jpg</t>
  </si>
  <si>
    <t>Barrow</t>
  </si>
  <si>
    <t>Ashmolean Museum, Oxford OXFAS : 1927.2375</t>
  </si>
  <si>
    <t>Needham1983:Sf1</t>
  </si>
  <si>
    <t>Needham1983:Class 5Db (Saltdean style)</t>
  </si>
  <si>
    <t>941.jpg</t>
  </si>
  <si>
    <t>Thetford, Barrow Hill</t>
  </si>
  <si>
    <t>Thetford Museum THEHM : A.1124</t>
  </si>
  <si>
    <t>Needham1983:Nf53</t>
  </si>
  <si>
    <t>Needham1983:Class 5Db (Bridgham style)</t>
  </si>
  <si>
    <t>946.jpg</t>
  </si>
  <si>
    <t>Shrewsbury, Battlefield</t>
  </si>
  <si>
    <t>Shrewsbury Museums Service SHYMS : A/2003/071 (B9)</t>
  </si>
  <si>
    <t>Rowlands1976:103.1;Needham1983:Sp1/1;NorthoverND:90</t>
  </si>
  <si>
    <t>NMW:Class 4C (or 4D);NorthoverND:Whittington/Swinton/etc type;Needham1983:Class 4C;SchmidtBurgess1981:Developed (Bandon type, Swinton variant)</t>
  </si>
  <si>
    <t>949.jpg</t>
  </si>
  <si>
    <t>Cavenham and Icklingham (between)</t>
  </si>
  <si>
    <t>Museum of Archaeology and Anthropology, Cambridge CAMAA : 1897.89</t>
  </si>
  <si>
    <t>Needham1983:Sf3;Pendleton1999:24</t>
  </si>
  <si>
    <t>Needham1983:Class 5Cc</t>
  </si>
  <si>
    <t>951.jpg</t>
  </si>
  <si>
    <t>Bircham Heath, Bircham</t>
  </si>
  <si>
    <t>Kings Lynn Museum KILLM : 1968.17</t>
  </si>
  <si>
    <t>Needham1983:Nf2</t>
  </si>
  <si>
    <t>952.jpg</t>
  </si>
  <si>
    <t>Blashford, Ellingham, Amey's Pit</t>
  </si>
  <si>
    <t>Red House Museum and Art Gallery, Christchurch CHRRH : unknown</t>
  </si>
  <si>
    <t>Needham1983:Ha5</t>
  </si>
  <si>
    <t>Needham1983:Class 4B (Blashford style)</t>
  </si>
  <si>
    <t>953.jpg</t>
  </si>
  <si>
    <t>Middleton and Smerrill, Borther Low Barrow</t>
  </si>
  <si>
    <t>Weston Park Museum, Sheffield SHEFG : J93.479</t>
  </si>
  <si>
    <t>Vine1982:680;Needham1983:Dy11/1</t>
  </si>
  <si>
    <t>954.jpg</t>
  </si>
  <si>
    <t>Bottisham</t>
  </si>
  <si>
    <t>Museum of Archaeology and Anthropology, Cambridge CAMAA : 1927.601</t>
  </si>
  <si>
    <t>Needham1983:Ca2</t>
  </si>
  <si>
    <t>957.jpg</t>
  </si>
  <si>
    <t>Bowstridge (near)</t>
  </si>
  <si>
    <t>Buckinghamshire</t>
  </si>
  <si>
    <t>Needham1983:Bu1</t>
  </si>
  <si>
    <t>963.jpg</t>
  </si>
  <si>
    <t>Class 5Eb</t>
  </si>
  <si>
    <t>Brighstone, Brook Cliff</t>
  </si>
  <si>
    <t>British Museum BM : 1892,0901.329</t>
  </si>
  <si>
    <t>Needham1983:IW2</t>
  </si>
  <si>
    <t>Needham1983:Class 5Eb</t>
  </si>
  <si>
    <t>965.jpg</t>
  </si>
  <si>
    <t>Buckingham Bottom, Shoreham-by-Sea</t>
  </si>
  <si>
    <t>Brighton Museum BTNRP: R.4853/19</t>
  </si>
  <si>
    <t>Needham1983:Sx24</t>
  </si>
  <si>
    <t>Needham1983:Class 5Cb</t>
  </si>
  <si>
    <t>966.jpg</t>
  </si>
  <si>
    <t>Dover, Buckland, Union Road Brickfield (now Coombe Valley Road)</t>
  </si>
  <si>
    <t>Dover Museum DOVRM : unknown</t>
  </si>
  <si>
    <t>Needham1983:Kt4/1;;Weller2014:ds 3</t>
  </si>
  <si>
    <t>Needham1983:Class 5B (Syon style)</t>
  </si>
  <si>
    <t>968.jpg</t>
  </si>
  <si>
    <t>Needham1983:Kt4/3</t>
  </si>
  <si>
    <t>971.jpg</t>
  </si>
  <si>
    <t>Mildenhall, Burnt Fen</t>
  </si>
  <si>
    <t>British Museum BM : 1856,0627.41</t>
  </si>
  <si>
    <t>Needham1983:Ca26/1;Pendleton1999:21</t>
  </si>
  <si>
    <t>Needham1983:Class 4E/5Ba</t>
  </si>
  <si>
    <t>973.jpg</t>
  </si>
  <si>
    <t>British Museum BM : 1875,0401.7</t>
  </si>
  <si>
    <t>Needham1983:Ca7</t>
  </si>
  <si>
    <t>975.jpg</t>
  </si>
  <si>
    <t>Cambridge (near)</t>
  </si>
  <si>
    <t>Museum of Archaeology and Anthropology, Cambridge CAMAA : 1883.113</t>
  </si>
  <si>
    <t>Needham1983:Ca9</t>
  </si>
  <si>
    <t>976.jpg</t>
  </si>
  <si>
    <t>Museum of Archaeology and Anthropology, Cambridge CAMAA : Z 4245</t>
  </si>
  <si>
    <t>Needham1983:Ca8</t>
  </si>
  <si>
    <t>980.jpg</t>
  </si>
  <si>
    <t>British Museum BM : 1873,0602.4</t>
  </si>
  <si>
    <t>Needham1983:Nf9/2;RohlNeedham1998:34</t>
  </si>
  <si>
    <t>982.jpg</t>
  </si>
  <si>
    <t>Class 4 (5) Ec</t>
  </si>
  <si>
    <t>Caythorpe, Ironstone Quarry</t>
  </si>
  <si>
    <t>Nottingham Castle Museum NCM : 1899.71</t>
  </si>
  <si>
    <t>Davey1973:15;Needham1983:Li1</t>
  </si>
  <si>
    <t>Needham1983:Class 4Ec/5</t>
  </si>
  <si>
    <t>989.jpg</t>
  </si>
  <si>
    <t>Eastbourne, Combe Hill</t>
  </si>
  <si>
    <t>Museum of Sussex Archaeology (Barbican House), Lewes LEWSA : 1939.13.1</t>
  </si>
  <si>
    <t>Needham1983:Sx5/1</t>
  </si>
  <si>
    <t>Needham1983:Class 5B (Combe style)</t>
  </si>
  <si>
    <t>990.jpg</t>
  </si>
  <si>
    <t>Needham1983:Sx5/2</t>
  </si>
  <si>
    <t>Needham1983:Class 5Ca Margate</t>
  </si>
  <si>
    <t>991.jpg</t>
  </si>
  <si>
    <t>Needham1983:Sx5/3</t>
  </si>
  <si>
    <t>Needham1983:Class 5A (Stonehenge Bottom style)</t>
  </si>
  <si>
    <t>992.jpg</t>
  </si>
  <si>
    <t>Needham1983:Sx5/4</t>
  </si>
  <si>
    <t>Needham1983:Class 5</t>
  </si>
  <si>
    <t>993.jpg</t>
  </si>
  <si>
    <t>Coombe Vale, Teignmouth</t>
  </si>
  <si>
    <t>Royal Albert Memorial Museum, Exeter EXEMS : 40/1959</t>
  </si>
  <si>
    <t>Needham1983:Dv13;Pearce1983:301;Knight2018:RAMM-F013</t>
  </si>
  <si>
    <t>Needham1983:Class 5F</t>
  </si>
  <si>
    <t>995.jpg</t>
  </si>
  <si>
    <t>Corve Dale (Much Wenlock), Diddlebury</t>
  </si>
  <si>
    <t>Pitt Rivers Museum, Oxford OXFPR : 1884.119.53 (PR1437)</t>
  </si>
  <si>
    <t>Needham1983:Sp6;NorthoverND:48</t>
  </si>
  <si>
    <t>Needham1983:Class 3D;NorthoverND:Migdale type;NMW:Class 3D (Barton Stacey type)</t>
  </si>
  <si>
    <t>997.jpg</t>
  </si>
  <si>
    <t>Cropthorne (Ballast Hole Gravel Pit?)</t>
  </si>
  <si>
    <t>Hereford and Worcs</t>
  </si>
  <si>
    <t>British Museum BM : 1907,0619.5</t>
  </si>
  <si>
    <t>Needham1983:HW1;NorthoverND:61</t>
  </si>
  <si>
    <t>NorthoverND:Aylesford/Newport type;Needham1983:Class 4B</t>
  </si>
  <si>
    <t>1004.jpg</t>
  </si>
  <si>
    <t>Class 4Ac</t>
  </si>
  <si>
    <t>Newtimber, Saddlescombe, East Hill (?S of Drove Road)</t>
  </si>
  <si>
    <t>Brighton Museum BTNRP: R.2719/102</t>
  </si>
  <si>
    <t>Needham1983:Sx21</t>
  </si>
  <si>
    <t>Needham1983:Class 4Ac</t>
  </si>
  <si>
    <t>1005.jpg</t>
  </si>
  <si>
    <t>Class 4 (B/C?)</t>
  </si>
  <si>
    <t>East Portlemouth</t>
  </si>
  <si>
    <t>Museum of Archaeology and Anthropology, Cambridge CAMAA : 1922.1291</t>
  </si>
  <si>
    <t>Needham1983:Dv4;Pearce1983:890</t>
  </si>
  <si>
    <t>Needham1983:Class 4B/C</t>
  </si>
  <si>
    <t>1006.jpg</t>
  </si>
  <si>
    <t>Tilmanstone, Eastlingdown Farm</t>
  </si>
  <si>
    <t>Canterbury Museum CANCM : 7774</t>
  </si>
  <si>
    <t>Needham1983:Kt13</t>
  </si>
  <si>
    <t>1007.jpg</t>
  </si>
  <si>
    <t>Whittington, Ebnal</t>
  </si>
  <si>
    <t>Amgueddfa Cymru - National Museum Wales NMW : 21.24.22</t>
  </si>
  <si>
    <t>Savory1980:260.3;Needham1983:Sp11/1;NorthoverND:106</t>
  </si>
  <si>
    <t>Needham1983:Class 5Cb Reepham;NorthoverND:Long-flanged (Arreton type and cf)</t>
  </si>
  <si>
    <t>1008.jpg</t>
  </si>
  <si>
    <t>Edwalton Hill, West Bridgford</t>
  </si>
  <si>
    <t>Nottingham University Museum NOTUM : N.O.34b</t>
  </si>
  <si>
    <t>Needham1983:Ng11/1</t>
  </si>
  <si>
    <t>1009.jpg</t>
  </si>
  <si>
    <t>Eel Pie Island (River Thames)</t>
  </si>
  <si>
    <t>British Museum BM : WG.1729</t>
  </si>
  <si>
    <t>Needham1983:GL10</t>
  </si>
  <si>
    <t>1010.jpg</t>
  </si>
  <si>
    <t>Elham, Bladbeam Farm (near)</t>
  </si>
  <si>
    <t>Maidstone Museum MNEMG : 1966.37</t>
  </si>
  <si>
    <t>Needham1983:Kt6</t>
  </si>
  <si>
    <t>1012.jpg</t>
  </si>
  <si>
    <t>Feltwell</t>
  </si>
  <si>
    <t>Moyse's Hall Museum, Bury St Edmunds BSEMS : 1977.718 (F199)</t>
  </si>
  <si>
    <t>Needham1983:Nf15</t>
  </si>
  <si>
    <t>Needham1983:Class 4 (axe-chisel)</t>
  </si>
  <si>
    <t>1014.jpg</t>
  </si>
  <si>
    <t>3-2??</t>
  </si>
  <si>
    <t>Ightham, Crown Point, Fishponds Valley</t>
  </si>
  <si>
    <t>Maidstone Museum MNEMG : 1949.19</t>
  </si>
  <si>
    <t>Needham1983:Kt8</t>
  </si>
  <si>
    <t>1016.jpg</t>
  </si>
  <si>
    <t>Fordham (near)</t>
  </si>
  <si>
    <t>Museum of Archaeology and Anthropology, Cambridge CAMAA : 1903.149</t>
  </si>
  <si>
    <t>Needham1983:Ca20</t>
  </si>
  <si>
    <t>1017.jpg</t>
  </si>
  <si>
    <t>Museum of Archaeology and Anthropology, Cambridge CAMAA : 1903.150</t>
  </si>
  <si>
    <t>Needham1983:Ca21</t>
  </si>
  <si>
    <t>1021.jpg</t>
  </si>
  <si>
    <t>Museum of Archaeology and Anthropology, Cambridge CAMAA : 1903.157</t>
  </si>
  <si>
    <t>Needham1983:Ca19</t>
  </si>
  <si>
    <t>1022.jpg</t>
  </si>
  <si>
    <t>Foulsham</t>
  </si>
  <si>
    <t>Norwich Castle Museum NWHCM : 1947.156.2</t>
  </si>
  <si>
    <t>Needham1983:Nf16</t>
  </si>
  <si>
    <t>1023.jpg</t>
  </si>
  <si>
    <t>Gately</t>
  </si>
  <si>
    <t>British Museum BM : WG.1812</t>
  </si>
  <si>
    <t>Needham1983:Nf17</t>
  </si>
  <si>
    <t>Needham1983:Class 5Da (Gately style)</t>
  </si>
  <si>
    <t>1024.jpg</t>
  </si>
  <si>
    <t>Gerrans</t>
  </si>
  <si>
    <t>Museum of Archaeology and Anthropology, Cambridge CAMAA : 1923.121</t>
  </si>
  <si>
    <t>Needham1983:Cw4</t>
  </si>
  <si>
    <t>Needham1983:Class 5Ea (axe-chisel)</t>
  </si>
  <si>
    <t>1028.jpg</t>
  </si>
  <si>
    <t>Great West Fen, Hilgay</t>
  </si>
  <si>
    <t>Needham1983:Nf25</t>
  </si>
  <si>
    <t>Needham1983:Class 4Ec (Hilgay style)</t>
  </si>
  <si>
    <t>1029.jpg</t>
  </si>
  <si>
    <t>Alnwick Castle Museum ALWAM : 198</t>
  </si>
  <si>
    <t>Needham1983:Ca43/2</t>
  </si>
  <si>
    <t>1031.jpg</t>
  </si>
  <si>
    <t>Harthill Moor, Bradwell</t>
  </si>
  <si>
    <t>Weston Park Museum, Sheffield SHEFG : J93.472</t>
  </si>
  <si>
    <t>Needham1983:Dy4</t>
  </si>
  <si>
    <t>1038.jpg</t>
  </si>
  <si>
    <t>Highdown, Durnford</t>
  </si>
  <si>
    <t>Salisbury and South Wiltshire Museum SBYWM : 1971.51</t>
  </si>
  <si>
    <t>Needham1983:Wi7</t>
  </si>
  <si>
    <t>1040.jpg</t>
  </si>
  <si>
    <t>Hockwold-cum-Wilton, Hockwold Fen</t>
  </si>
  <si>
    <t>British Museum BM : 1924,1208.1</t>
  </si>
  <si>
    <t>Needham1983:Nf29</t>
  </si>
  <si>
    <t>Needham1983:Class 5Cb Mortlake</t>
  </si>
  <si>
    <t>1045.jpg</t>
  </si>
  <si>
    <t>Horsford Manor</t>
  </si>
  <si>
    <t>Norwich Castle Museum NWHCM : 1913.69</t>
  </si>
  <si>
    <t>Needham1983:Nf33</t>
  </si>
  <si>
    <t>1049.jpg</t>
  </si>
  <si>
    <t>Jevington</t>
  </si>
  <si>
    <t>Museum of Sussex Archaeology (Barbican House), Lewes LEWSA : B.4</t>
  </si>
  <si>
    <t>Needham1983:Sx15</t>
  </si>
  <si>
    <t>1050.jpg</t>
  </si>
  <si>
    <t>Kentisbeare, Wood Barton</t>
  </si>
  <si>
    <t>Royal Albert Memorial Museum, Exeter EXEMS : 1884.8.2</t>
  </si>
  <si>
    <t>Needham1983:Dv7;Pearce1983:259;Knight2018:RAMM-F026</t>
  </si>
  <si>
    <t>1051.jpg</t>
  </si>
  <si>
    <t>Kew (River Thames)</t>
  </si>
  <si>
    <t>Museum of London LDMOL : O1170</t>
  </si>
  <si>
    <t>Needham1983:GL14</t>
  </si>
  <si>
    <t>1052.jpg</t>
  </si>
  <si>
    <t>Class 4 E (?) c (?)</t>
  </si>
  <si>
    <t>Newent, Kilcot Wood</t>
  </si>
  <si>
    <t>Cheltenham Art Gallery and Museum CHLGM : 1930.3</t>
  </si>
  <si>
    <t>Needham1983:Gs4/1;NorthoverND:84</t>
  </si>
  <si>
    <t>Needham1983:Class 4Ec (reworked);NorthoverND:Whittington/Swinton/etc type</t>
  </si>
  <si>
    <t>1053.jpg</t>
  </si>
  <si>
    <t>Knettishall Heath</t>
  </si>
  <si>
    <t>Thetford Museum THEHM : 1979.182</t>
  </si>
  <si>
    <t>Needham1983:Sf12</t>
  </si>
  <si>
    <t>1055.jpg</t>
  </si>
  <si>
    <t>Lakenheath Fen (about 1 mile towards Lakenheath station from Undley)</t>
  </si>
  <si>
    <t>Museum of Archaeology and Anthropology, Cambridge CAMAA : 1932.240</t>
  </si>
  <si>
    <t>Needham1983:Sf13;Pendleton1999:26</t>
  </si>
  <si>
    <t>Needham1983:Class 5Ca Sandleheath</t>
  </si>
  <si>
    <t>1056.jpg</t>
  </si>
  <si>
    <t>Lambeth (River Thames)</t>
  </si>
  <si>
    <t>Museum of London LDMOL : A18238</t>
  </si>
  <si>
    <t>Needham1983:GL17</t>
  </si>
  <si>
    <t>Needham1983:Class 5B (Lewes style)</t>
  </si>
  <si>
    <t>1058.jpg</t>
  </si>
  <si>
    <t>Laureate Close, Margate</t>
  </si>
  <si>
    <t>Canterbury Museum CANCM : L.1966/2</t>
  </si>
  <si>
    <t>Needham1983:Kt11</t>
  </si>
  <si>
    <t>Needham1983:Class 5C (Margate style)</t>
  </si>
  <si>
    <t>1060.jpg</t>
  </si>
  <si>
    <t>Lavington Downs, New Copse Farm</t>
  </si>
  <si>
    <t>Wiltshire Museum, Devizes DZSWS : B17 (1633)</t>
  </si>
  <si>
    <t>AnnableSimpson1964:644;Needham1983:Wi17</t>
  </si>
  <si>
    <t>Needham1983:Class 5Da (Lavington style)</t>
  </si>
  <si>
    <t>1063.jpg</t>
  </si>
  <si>
    <t>Lewes Downs</t>
  </si>
  <si>
    <t>British Museum BM : 1976,0701.6</t>
  </si>
  <si>
    <t>Needham1983:Sx18</t>
  </si>
  <si>
    <t>1065.jpg</t>
  </si>
  <si>
    <t>NOT FOUND</t>
  </si>
  <si>
    <t>Hockwold-cum-Wilton, Leylands Farm</t>
  </si>
  <si>
    <t>Moyse's Hall Museum, Bury St Edmunds BSEMS : F190</t>
  </si>
  <si>
    <t>Needham1983:Nf31</t>
  </si>
  <si>
    <t>1066.jpg</t>
  </si>
  <si>
    <t>Liss</t>
  </si>
  <si>
    <t>British Museum BM : 1866,0224.13</t>
  </si>
  <si>
    <t>Needham1983:Ha8</t>
  </si>
  <si>
    <t>1068.jpg</t>
  </si>
  <si>
    <t>Jevington, Little Filching</t>
  </si>
  <si>
    <t>Museum of Sussex Archaeology (Barbican House), Lewes LEWSA : 1978.54</t>
  </si>
  <si>
    <t>Needham1983:Sx14</t>
  </si>
  <si>
    <t>1069.jpg</t>
  </si>
  <si>
    <t>Pentney, Little Ketlam</t>
  </si>
  <si>
    <t>Kings Lynn Museum KILLM : 1958.1.14.2</t>
  </si>
  <si>
    <t>Needham1983:Nf46</t>
  </si>
  <si>
    <t>1070.jpg</t>
  </si>
  <si>
    <t>Museum of Archaeology and Anthropology, Cambridge CAMAA : 1934.985</t>
  </si>
  <si>
    <t>Needham1983:Ca29</t>
  </si>
  <si>
    <t>Needham1983:Class 5Da (Littleport style)</t>
  </si>
  <si>
    <t>1071.jpg</t>
  </si>
  <si>
    <t>Ashmolean Museum, Oxford OXFAS : 1927.2378</t>
  </si>
  <si>
    <t>Needham1983:Ca31/1</t>
  </si>
  <si>
    <t>1072.jpg</t>
  </si>
  <si>
    <t>Brighton, Saltdean, Longridge Avenue</t>
  </si>
  <si>
    <t>Brighton Museum BTNRP: R.5721/1</t>
  </si>
  <si>
    <t>Needham1983:Sx1</t>
  </si>
  <si>
    <t>1073.jpg</t>
  </si>
  <si>
    <t>Longstock Park (Hazeldown/Longstock Farm)</t>
  </si>
  <si>
    <t>Winchester Museum WINCM : 120</t>
  </si>
  <si>
    <t>Needham1983:Ha9</t>
  </si>
  <si>
    <t>Needham1983:Class 4Ab</t>
  </si>
  <si>
    <t>1074.jpg</t>
  </si>
  <si>
    <t>Polstead, Loss Field</t>
  </si>
  <si>
    <t>Ipswich Museum IPSMG : 1939.144</t>
  </si>
  <si>
    <t>Needham1983:Sf25</t>
  </si>
  <si>
    <t>1077.jpg</t>
  </si>
  <si>
    <t>Maidenhead and Windsor (River Thames)</t>
  </si>
  <si>
    <t>Museum of Antiquities, Eton College ETNMM : 4605-2017</t>
  </si>
  <si>
    <t>Needham1983:BB3</t>
  </si>
  <si>
    <t>1079.jpg</t>
  </si>
  <si>
    <t>March</t>
  </si>
  <si>
    <t>British Museum BM : WG.1818</t>
  </si>
  <si>
    <t>Needham1983:Ca33</t>
  </si>
  <si>
    <t>1080.jpg</t>
  </si>
  <si>
    <t>Marston-on-Dove</t>
  </si>
  <si>
    <t>West Berkshire Museum, Newbury NEBYM : 1964-9</t>
  </si>
  <si>
    <t>Needham1983:Dy9</t>
  </si>
  <si>
    <t>1081.jpg</t>
  </si>
  <si>
    <t>Medmenham Abbey (River Thames)</t>
  </si>
  <si>
    <t>British Museum BM : 1908,0713.1</t>
  </si>
  <si>
    <t>Needham1983:BB4</t>
  </si>
  <si>
    <t>Needham1983:Class 5B</t>
  </si>
  <si>
    <t>1082.jpg</t>
  </si>
  <si>
    <t>Maidstone, Medway Brass Works</t>
  </si>
  <si>
    <t>Maidstone Museum MNEMG : KAS 27</t>
  </si>
  <si>
    <t>Needham1983:Kt9</t>
  </si>
  <si>
    <t>1083.jpg</t>
  </si>
  <si>
    <t>British Museum BM : WG.1816</t>
  </si>
  <si>
    <t>Rowlands1976:254;Needham1983:Nf40</t>
  </si>
  <si>
    <t>Needham1983:Class 5F;Rowlands1976:Flanged Class 2</t>
  </si>
  <si>
    <t>1084.jpg</t>
  </si>
  <si>
    <t>Methwold (Churchyard)</t>
  </si>
  <si>
    <t>Norwich Castle Museum NWHCM : 1894.76.752</t>
  </si>
  <si>
    <t>Needham1983:Nf36</t>
  </si>
  <si>
    <t>1088.jpg</t>
  </si>
  <si>
    <t>Milverton</t>
  </si>
  <si>
    <t>Somerset County Museum (Taunton Castle) TTNCM : 74.AA.87.1</t>
  </si>
  <si>
    <t>Needham1983:So3/2;Pearce1983:686;Knight2018:TTNCM-F032</t>
  </si>
  <si>
    <t>Needham1983:Class 5Cb Brighton</t>
  </si>
  <si>
    <t>1089.jpg</t>
  </si>
  <si>
    <t>Somerset County Museum (Taunton Castle) TTNCM : 74.AA.87.2</t>
  </si>
  <si>
    <t>Needham1983:So3/1;Pearce1983:686;Knight2018:TTNCM-F032</t>
  </si>
  <si>
    <t>Needham1983:Class 5Cb Milverton</t>
  </si>
  <si>
    <t>1090.jpg</t>
  </si>
  <si>
    <t>Somerset County Museum (Taunton Castle) TTNCM : 74.AA.87.3</t>
  </si>
  <si>
    <t>Needham1983:So3/3;Pearce1983:686;Knight2018:TTNCM-F032</t>
  </si>
  <si>
    <t>1091.jpg</t>
  </si>
  <si>
    <t>Totland, Moon's Hill</t>
  </si>
  <si>
    <t>Carisbrooke Castle Museum, Newport NETCC : unknown</t>
  </si>
  <si>
    <t>Needham1983:IW3/1;RohlNeedham1998:74</t>
  </si>
  <si>
    <t>1092.jpg</t>
  </si>
  <si>
    <t>Needham1983:IW3/2;RohlNeedham1998:75</t>
  </si>
  <si>
    <t>Needham1983:Class 5A (Chilmark style)</t>
  </si>
  <si>
    <t>1093.jpg</t>
  </si>
  <si>
    <t>Needham1983:IW3/3;RohlNeedham1998:76</t>
  </si>
  <si>
    <t>Needham2017:Class 5A (Ashford type)</t>
  </si>
  <si>
    <t>1094.jpg</t>
  </si>
  <si>
    <t>Needham1983:IW3/4;RohlNeedham1998:77</t>
  </si>
  <si>
    <t>Needham1983:Class 5Cc (marginal 4E)</t>
  </si>
  <si>
    <t>1095.jpg</t>
  </si>
  <si>
    <t>Needham1983:IW3/5</t>
  </si>
  <si>
    <t>1096.jpg</t>
  </si>
  <si>
    <t>Needham1983:IW3/6;RohlNeedham1998:78</t>
  </si>
  <si>
    <t>1097.jpg</t>
  </si>
  <si>
    <t>Needham1983:IW3/7</t>
  </si>
  <si>
    <t>1098.jpg</t>
  </si>
  <si>
    <t>Museum of London LDMOL : A4889</t>
  </si>
  <si>
    <t>Needham1983:GL18</t>
  </si>
  <si>
    <t>1101.jpg</t>
  </si>
  <si>
    <t>Ashwicken Hall, Leziate (near)</t>
  </si>
  <si>
    <t>Kings Lynn Museum KILLM : 1976.7</t>
  </si>
  <si>
    <t>Needham1983:Nf34</t>
  </si>
  <si>
    <t>1103.jpg</t>
  </si>
  <si>
    <t>Brighton (near)</t>
  </si>
  <si>
    <t>Cheltenham Art Gallery and Museum CHLGM : 1923.22</t>
  </si>
  <si>
    <t>Needham1983:Sx4</t>
  </si>
  <si>
    <t>1105.jpg</t>
  </si>
  <si>
    <t>Reading Museum REDMG : 1948.19.2 (AL.45)</t>
  </si>
  <si>
    <t>Needham1983:Ox3</t>
  </si>
  <si>
    <t>1106.jpg</t>
  </si>
  <si>
    <t>Ely (near)</t>
  </si>
  <si>
    <t>Museum of Archaeology and Anthropology, Cambridge CAMAA : 1922.535</t>
  </si>
  <si>
    <t>Needham1983:Ca14</t>
  </si>
  <si>
    <t>1108.jpg</t>
  </si>
  <si>
    <t>Fritchley (near?), Crick</t>
  </si>
  <si>
    <t>Weston Park Museum, Sheffield SHEFG : J96.18</t>
  </si>
  <si>
    <t>Vine1982:683;Needham1983:Dy5</t>
  </si>
  <si>
    <t>1110.jpg</t>
  </si>
  <si>
    <t>Figheldean, Larkhill Recreation Ground</t>
  </si>
  <si>
    <t>Salisbury and South Wiltshire Museum SBYWM : 1958.76</t>
  </si>
  <si>
    <t>MooreRowlands1972:4;Needham1983:Wi9</t>
  </si>
  <si>
    <t>Needham1983:Class 4B (Larkhill style)</t>
  </si>
  <si>
    <t>1111.jpg</t>
  </si>
  <si>
    <t>Markham Moor (or Matlock)</t>
  </si>
  <si>
    <t>Weston Park Museum, Sheffield SHEFG : X1974.610</t>
  </si>
  <si>
    <t>Vine1982:686;Needham1983:Dy10</t>
  </si>
  <si>
    <t>Needham1983:Class 4Ec (Penrhyndeudraeth style);Museum:Balleyvalley type</t>
  </si>
  <si>
    <t>1112.jpg</t>
  </si>
  <si>
    <t>Mildenhall (near)</t>
  </si>
  <si>
    <t>Ipswich Museum IPSMG : 1920.51.5</t>
  </si>
  <si>
    <t>Needham1983:Sf23;Pendleton1999:25</t>
  </si>
  <si>
    <t>1113.jpg</t>
  </si>
  <si>
    <t>Newbury (near)</t>
  </si>
  <si>
    <t>Berkshire</t>
  </si>
  <si>
    <t>West Berkshire Museum, Newbury NEBYM : OA.254</t>
  </si>
  <si>
    <t>Needham1983:Br2</t>
  </si>
  <si>
    <t>Needham1983:Class 4Db</t>
  </si>
  <si>
    <t>1114.jpg</t>
  </si>
  <si>
    <t>Southery, Northfield House (near)</t>
  </si>
  <si>
    <t>Needham1983:Nf49</t>
  </si>
  <si>
    <t>Needham1983:Class 4Eb</t>
  </si>
  <si>
    <t>1117.jpg</t>
  </si>
  <si>
    <t>Awre, Newyears/Viney Hill</t>
  </si>
  <si>
    <t>Gloucester Museum GLRCM : A.6304</t>
  </si>
  <si>
    <t>Needham1983:Gs1;NorthoverND:82</t>
  </si>
  <si>
    <t>Needham1983:Class 4Ec (Awre style);NorthoverND:Whittington/Swinton/etc type</t>
  </si>
  <si>
    <t>1118.jpg</t>
  </si>
  <si>
    <t>Nocton Heath</t>
  </si>
  <si>
    <t>Lincoln City and County Museum LCNCC : 1957.73</t>
  </si>
  <si>
    <t>Davey1973:9;Needham1983:Li5</t>
  </si>
  <si>
    <t>1122.jpg</t>
  </si>
  <si>
    <t>Class 3Ad</t>
  </si>
  <si>
    <t>North End, East Grinstead</t>
  </si>
  <si>
    <t>Needham1983:Sx7</t>
  </si>
  <si>
    <t>Needham1983:Class 3Ad</t>
  </si>
  <si>
    <t>1127.jpg</t>
  </si>
  <si>
    <t>WEIRD</t>
  </si>
  <si>
    <t>Ockham Common (pinewoods S of Wisley Lake/Bolder More)</t>
  </si>
  <si>
    <t>Weybridge Museum WEGBM : unknown</t>
  </si>
  <si>
    <t>Needham1983:Sy6</t>
  </si>
  <si>
    <t>1128.jpg</t>
  </si>
  <si>
    <t>Osgodby</t>
  </si>
  <si>
    <t>Lincoln City and County Museum LCNCC : 1969.12</t>
  </si>
  <si>
    <t>Davey1973:14;Needham1983:Li8</t>
  </si>
  <si>
    <t>Needham1983:Class 4Ea/5</t>
  </si>
  <si>
    <t>1129.jpg</t>
  </si>
  <si>
    <t>West Overton, barrow G1</t>
  </si>
  <si>
    <t>Wiltshire Museum, Devizes DZSWS : 377</t>
  </si>
  <si>
    <t>AnnableSimpson1964:299;Needham1983:Wi18/1;RohlNeedham1998:55</t>
  </si>
  <si>
    <t>1130.jpg</t>
  </si>
  <si>
    <t>Sawston Papermills</t>
  </si>
  <si>
    <t>Museum of Archaeology and Anthropology, Cambridge CAMAA : 1883.115</t>
  </si>
  <si>
    <t>Needham1983:Ca35</t>
  </si>
  <si>
    <t>Needham1983:Class 5A (Papermills style)</t>
  </si>
  <si>
    <t>1133.jpg</t>
  </si>
  <si>
    <t>Plumpton Plain</t>
  </si>
  <si>
    <t>British Museum BM : 1853,0412.8</t>
  </si>
  <si>
    <t>Needham1983:Sx22</t>
  </si>
  <si>
    <t>1134.jpg</t>
  </si>
  <si>
    <t>British Museum BM : 1869,1220.1</t>
  </si>
  <si>
    <t>InvArch2_HawkesSmith55:GB.9.7;Needham1983:Dv8/1;Pearce1983:285</t>
  </si>
  <si>
    <t>1135.jpg</t>
  </si>
  <si>
    <t>British Museum BM : 1869,1220.10</t>
  </si>
  <si>
    <t>InvArch2_HawkesSmith55:GB.9.3;Needham1983:Dv8/10;Pearce1983:285</t>
  </si>
  <si>
    <t>Needham1983:Class 5A</t>
  </si>
  <si>
    <t>1136.jpg</t>
  </si>
  <si>
    <t>British Museum BM : 1869,1220.11</t>
  </si>
  <si>
    <t>InvArch2_HawkesSmith55:GB.9.10;Needham1983:Dv8/11;Pearce1983:285</t>
  </si>
  <si>
    <t>1137.jpg</t>
  </si>
  <si>
    <t>British Museum BM : 1869,1220.2</t>
  </si>
  <si>
    <t>InvArch2_HawkesSmith55:GB.9.1;Needham1983:Dv8/2;Pearce1983:285</t>
  </si>
  <si>
    <t>Needham1983:Class 5B (Ramsgate style)</t>
  </si>
  <si>
    <t>1138.jpg</t>
  </si>
  <si>
    <t>British Museum BM : 1869,1220.4</t>
  </si>
  <si>
    <t>InvArch2_HawkesSmith55:GB.9.13;Needham1983:Dv8/4;Pearce1983:285</t>
  </si>
  <si>
    <t>1139.jpg</t>
  </si>
  <si>
    <t>British Museum BM : 1869,1220.5</t>
  </si>
  <si>
    <t>InvArch2_HawkesSmith55:GB.9.8;Needham1983:Dv8/5;Pearce1983:285</t>
  </si>
  <si>
    <t>1140.jpg</t>
  </si>
  <si>
    <t>British Museum BM : 1869,1220.7</t>
  </si>
  <si>
    <t>InvArch2_HawkesSmith55:GB.9.4;Needham1983:Dv8/7;Pearce1983:285</t>
  </si>
  <si>
    <t>1141.jpg</t>
  </si>
  <si>
    <t>British Museum BM : 1869,1220.8</t>
  </si>
  <si>
    <t>InvArch2_HawkesSmith55:GB.9.6;Needham1983:Dv8/8;Pearce1983:285</t>
  </si>
  <si>
    <t>1142.jpg</t>
  </si>
  <si>
    <t>British Museum BM : 1869,1220.9</t>
  </si>
  <si>
    <t>InvArch2_HawkesSmith55:GB.9.2;Needham1983:Dv8/9;Pearce1983:285</t>
  </si>
  <si>
    <t>1143.jpg</t>
  </si>
  <si>
    <t>Royal Albert Memorial Museum, Exeter EXEMS : 307</t>
  </si>
  <si>
    <t>InvArch2_HawkesSmith55:GB.9.16;Needham1983:Dv8/13;Pearce1983:285</t>
  </si>
  <si>
    <t>1144.jpg</t>
  </si>
  <si>
    <t>Royal Albert Memorial Museum, Exeter EXEMS : 308</t>
  </si>
  <si>
    <t>InvArch2_HawkesSmith55:GB.9.11;Needham1983:Dv8/14;Pearce1983:285</t>
  </si>
  <si>
    <t>1145.jpg</t>
  </si>
  <si>
    <t>Royal Albert Memorial Museum, Exeter EXEMS : 309</t>
  </si>
  <si>
    <t>InvArch2_HawkesSmith55:GB.9.12;Needham1983:Dv8/15;Pearce1983:285</t>
  </si>
  <si>
    <t>1146.jpg</t>
  </si>
  <si>
    <t>Royal Albert Memorial Museum, Exeter EXEMS : 310</t>
  </si>
  <si>
    <t>InvArch2_HawkesSmith55:GB.9.15;Needham1983:Dv8/16;Pearce1983:285</t>
  </si>
  <si>
    <t>Poor's Fen Farm</t>
  </si>
  <si>
    <t>Museum of Archaeology and Anthropology, Cambridge CAMAA : 1959.415</t>
  </si>
  <si>
    <t>Needham1983:Ca6</t>
  </si>
  <si>
    <t>Needham1983:Class 5Ca Osmington</t>
  </si>
  <si>
    <t>1149.jpg</t>
  </si>
  <si>
    <t>British Museum BM : 1845,0510.1</t>
  </si>
  <si>
    <t>Needham1983:Sf26/1;RohlNeedham1998:86</t>
  </si>
  <si>
    <t>Needham1983:Class 5A (Putney style)</t>
  </si>
  <si>
    <t>1150.jpg</t>
  </si>
  <si>
    <t>British Museum BM : 1845,0510.2</t>
  </si>
  <si>
    <t>Needham1983:Sf26/2;RohlNeedham1998:87</t>
  </si>
  <si>
    <t>1151.jpg</t>
  </si>
  <si>
    <t>British Museum BM : 1845,0510.3</t>
  </si>
  <si>
    <t>Needham1983:Sf26/3;RohlNeedham1998:88</t>
  </si>
  <si>
    <t>1152.jpg</t>
  </si>
  <si>
    <t>Moyse's Hall Museum, Bury St Edmunds BSEMS : F85</t>
  </si>
  <si>
    <t>Needham1983:Sf26/5</t>
  </si>
  <si>
    <t>1153.jpg</t>
  </si>
  <si>
    <t>Moyse's Hall Museum, Bury St Edmunds BSEMS : F86</t>
  </si>
  <si>
    <t>Needham1983:Sf26/6</t>
  </si>
  <si>
    <t>1154.jpg</t>
  </si>
  <si>
    <t>Moyse's Hall Museum, Bury St Edmunds BSEMS : F87</t>
  </si>
  <si>
    <t>Needham1983:Sf26/7</t>
  </si>
  <si>
    <t>1155.jpg</t>
  </si>
  <si>
    <t>Moyse's Hall Museum, Bury St Edmunds BSEMS : F88</t>
  </si>
  <si>
    <t>Needham1983:Sf26/8</t>
  </si>
  <si>
    <t>1159.jpg</t>
  </si>
  <si>
    <t>Reading (near, River Thames)</t>
  </si>
  <si>
    <t>Royal Ontario Museum 908.32.8</t>
  </si>
  <si>
    <t>Pryor1980:4;Needham1983:BO1</t>
  </si>
  <si>
    <t>1160.jpg</t>
  </si>
  <si>
    <t>Reepham</t>
  </si>
  <si>
    <t>Lincoln City and County Museum LCNCC : 1906.3036</t>
  </si>
  <si>
    <t>Davey1973:18;Needham1983:Li10</t>
  </si>
  <si>
    <t>Needham1983:Class 5Cb Reepham</t>
  </si>
  <si>
    <t>1167.jpg</t>
  </si>
  <si>
    <t>Digby, Round Hills Farm</t>
  </si>
  <si>
    <t>Lincoln City and County Museum LCNCC : 1972.17</t>
  </si>
  <si>
    <t>Davey1973:5;Needham1983:Li2/2</t>
  </si>
  <si>
    <t>Needham2017:Class 4E (Whittington type);SchmidtBurgess1981:Developed (Scrabo Hill type);Needham1983:Class 4Ec (Digby style)</t>
  </si>
  <si>
    <t>1168.jpg</t>
  </si>
  <si>
    <t>Lincoln City and County Museum LCNCC : 1939.25</t>
  </si>
  <si>
    <t>Davey1973:6;Needham1983:Li2/1</t>
  </si>
  <si>
    <t>1169.jpg</t>
  </si>
  <si>
    <t>Norwich Castle Museum NWHCM : 1982.147.1</t>
  </si>
  <si>
    <t>Needham1983:Nf45/1;RohlNeedham1998:45</t>
  </si>
  <si>
    <t>Needham1983:Class 3F (Moot Low type)</t>
  </si>
  <si>
    <t>1170.jpg</t>
  </si>
  <si>
    <t>Norwich Castle Museum NWHCM : 1894.76.754</t>
  </si>
  <si>
    <t>Needham1983:Nf48/1</t>
  </si>
  <si>
    <t>1171.jpg</t>
  </si>
  <si>
    <t>Salisbury</t>
  </si>
  <si>
    <t>Salisbury and South Wiltshire Museum SBYWM : unknown</t>
  </si>
  <si>
    <t>Needham1983:Wi14</t>
  </si>
  <si>
    <t>1172.jpg</t>
  </si>
  <si>
    <t>Salisbury Plain</t>
  </si>
  <si>
    <t>Salisbury and South Wiltshire Museum SBYWM : 1996R.574 (Blackmore 12.x.2)</t>
  </si>
  <si>
    <t>MooreRowlands1972:6;Needham1983:Wi15</t>
  </si>
  <si>
    <t>1173.jpg</t>
  </si>
  <si>
    <t>Fordingbridge, Sandleheath</t>
  </si>
  <si>
    <t>Salisbury and South Wiltshire Museum SBYWM : 1C 3A 1</t>
  </si>
  <si>
    <t>Needham1983:Ha6</t>
  </si>
  <si>
    <t>1176.jpg</t>
  </si>
  <si>
    <t>Shippea Hill, Peacock's Farm</t>
  </si>
  <si>
    <t>Museum of Archaeology and Anthropology, Cambridge CAMAA : 1944.21</t>
  </si>
  <si>
    <t>Needham1983:Ca27</t>
  </si>
  <si>
    <t>Needham1983:Class 4Ec (Shippea style)</t>
  </si>
  <si>
    <t>1177.jpg</t>
  </si>
  <si>
    <t>Sibton Abbey</t>
  </si>
  <si>
    <t>Ipswich Museum IPSMG : 1934.155</t>
  </si>
  <si>
    <t>Needham1983:Sf28</t>
  </si>
  <si>
    <t>1178.jpg</t>
  </si>
  <si>
    <t>Slade Quarry, Hawling</t>
  </si>
  <si>
    <t>Cheltenham Art Gallery and Museum CHLGM : 1936. 1</t>
  </si>
  <si>
    <t>Needham1983:Gs3/1</t>
  </si>
  <si>
    <t>1181.jpg</t>
  </si>
  <si>
    <t>South Kyme, Sheath Wood (east of), Park Farm</t>
  </si>
  <si>
    <t>Lincoln City and County Museum LCNCC : CL.1962.12</t>
  </si>
  <si>
    <t>Davey1973:1;Needham1983:Li13</t>
  </si>
  <si>
    <t>Needham1983:Class 3</t>
  </si>
  <si>
    <t>1191.jpg</t>
  </si>
  <si>
    <t>Stump Bottom, South Heighton</t>
  </si>
  <si>
    <t>Brighton Museum BTNRP: R.4853/6</t>
  </si>
  <si>
    <t>Needham1983:Sx25</t>
  </si>
  <si>
    <t>1192.jpg</t>
  </si>
  <si>
    <t>Stuntney, Middle Fen</t>
  </si>
  <si>
    <t>Museum of Archaeology and Anthropology, Cambridge CAMAA : 1922.536</t>
  </si>
  <si>
    <t>Needham1983:Ca13</t>
  </si>
  <si>
    <t>1196.jpg</t>
  </si>
  <si>
    <t>Allcannings, Tan Hill</t>
  </si>
  <si>
    <t>Salisbury and South Wiltshire Museum SBYWM : unknown (Goddard 100, Blackmore 10.x.1)</t>
  </si>
  <si>
    <t>MooreRowlands1972:5;Needham1983:Wi1</t>
  </si>
  <si>
    <t>1198.jpg</t>
  </si>
  <si>
    <t>Tattershall, Tattershall Carr Wood</t>
  </si>
  <si>
    <t>Lincoln City and County Museum LCNCC : CL.1976.6</t>
  </si>
  <si>
    <t>Needham1983:Li16</t>
  </si>
  <si>
    <t>Needham1983:Class 4B (Tattershall style)</t>
  </si>
  <si>
    <t>1200.jpg</t>
  </si>
  <si>
    <t>Class 4Aa</t>
  </si>
  <si>
    <t>Stockton, The Bake (N of Wylye Down Farm)</t>
  </si>
  <si>
    <t>Salisbury and South Wiltshire Museum SBYWM : 1955.39</t>
  </si>
  <si>
    <t>MooreRowlands1972:1;Needham1983:Wi16</t>
  </si>
  <si>
    <t>1202.jpg</t>
  </si>
  <si>
    <t>Little Wenlock, The Wrekin</t>
  </si>
  <si>
    <t>Shrewsbury Museums Service SHYMS : A/2003/021 (B1)</t>
  </si>
  <si>
    <t>Needham1983:Sp7;NorthoverND:15</t>
  </si>
  <si>
    <t>NMW:Class 2A (Burley Camp type?)?;NorthoverND:Growtown type;Needham1983:Class 2/3A</t>
  </si>
  <si>
    <t>1203.jpg</t>
  </si>
  <si>
    <t>Methwold, Thorham Road</t>
  </si>
  <si>
    <t>Norwich Castle Museum NWHCM : 1963.379</t>
  </si>
  <si>
    <t>Needham1983:Nf39</t>
  </si>
  <si>
    <t>1204.jpg</t>
  </si>
  <si>
    <t>North Owersby, Thornton Carrs</t>
  </si>
  <si>
    <t>Lincoln City and County Museum LCNCC : CL.1979.10</t>
  </si>
  <si>
    <t>Needham1983:Li9/1</t>
  </si>
  <si>
    <t>1205.jpg</t>
  </si>
  <si>
    <t>Lincoln City and County Museum LCNCC : CL.1979.11</t>
  </si>
  <si>
    <t>Needham1983:Li9/2</t>
  </si>
  <si>
    <t>1207.jpg</t>
  </si>
  <si>
    <t>Shrewsbury Museums Service SHYMS : A/2003/205 (B3)</t>
  </si>
  <si>
    <t>Needham1983:Sp3/1;NorthoverND:59;Needham2017:54</t>
  </si>
  <si>
    <t>Needham2017:Class 4B (Aylesford type);NMW:Class 4B (Aylesford type);NorthoverND:Aylesford/Newport type;Needham1983:Class 4B (Titterstone style)</t>
  </si>
  <si>
    <t>1208.jpg</t>
  </si>
  <si>
    <t>Tregonjeeves Quarry, St Austell</t>
  </si>
  <si>
    <t>Royal Cornwall Museum, Truro TRURI : 1969.7</t>
  </si>
  <si>
    <t>Needham1983:Cw6;Pearce1983:6;Knight2018:RCM-F044</t>
  </si>
  <si>
    <t>Needham1983:Class 4B (Tregonjeeves style)</t>
  </si>
  <si>
    <t>1209.jpg</t>
  </si>
  <si>
    <t>Class 4E</t>
  </si>
  <si>
    <t>Trenovissick, St Blazey</t>
  </si>
  <si>
    <t>Royal Cornwall Museum, Truro TRURI : 1922.92.1</t>
  </si>
  <si>
    <t>Needham1983:Cw7/1;Pearce1983:7;Knight2018:RCM-F047</t>
  </si>
  <si>
    <t>1210.jpg</t>
  </si>
  <si>
    <t>Royal Cornwall Museum, Truro TRURI : 1922.92.2</t>
  </si>
  <si>
    <t>Needham1983:Cw7/2;Pearce1983:7;RohlNeedham1998:54;Knight2018:RCM-F047</t>
  </si>
  <si>
    <t>Needham1983:Class 4</t>
  </si>
  <si>
    <t>1216.jpg</t>
  </si>
  <si>
    <t>Walcott, Walcott Commons</t>
  </si>
  <si>
    <t>Lincoln City and County Museum LCNCC : 1961.54</t>
  </si>
  <si>
    <t>Davey1973:12;Needham1983:Li17</t>
  </si>
  <si>
    <t>1217.jpg</t>
  </si>
  <si>
    <t>Class 2D</t>
  </si>
  <si>
    <t>Wallingford</t>
  </si>
  <si>
    <t>Reading Museum REDMG : 1948.64.1</t>
  </si>
  <si>
    <t>Needham1983:Br6</t>
  </si>
  <si>
    <t>1223.jpg</t>
  </si>
  <si>
    <t>Westbere Marshes</t>
  </si>
  <si>
    <t>Canterbury Museum CANCM : 6324</t>
  </si>
  <si>
    <t>Needham1983:Kt14</t>
  </si>
  <si>
    <t>1224.jpg</t>
  </si>
  <si>
    <t>Class 5C</t>
  </si>
  <si>
    <t>Westbury-on-Trym, Coombe Dingle</t>
  </si>
  <si>
    <t>Bristol Museum BRSMG : E1728</t>
  </si>
  <si>
    <t>NorthoverND:104;Needham1983:Av6/1</t>
  </si>
  <si>
    <t>NorthoverND:Long-flanged (Arreton type and cf);Needham1983:Class 5C</t>
  </si>
  <si>
    <t>1225.jpg</t>
  </si>
  <si>
    <t>Bristol Museum BRSMG : E1729</t>
  </si>
  <si>
    <t>NorthoverND:105;Needham1983:Av6/2</t>
  </si>
  <si>
    <t>NorthoverND:Long-flanged (Arreton type and cf);Needham1983:Class 5Ca</t>
  </si>
  <si>
    <t>1226.jpg</t>
  </si>
  <si>
    <t>Bristol Museum BRSMG : E1730</t>
  </si>
  <si>
    <t>NorthoverND:119;Needham1983:Av6/3</t>
  </si>
  <si>
    <t>NorthoverND:Other flanged;Needham1983:Class 5Da</t>
  </si>
  <si>
    <t>1227.jpg</t>
  </si>
  <si>
    <t>Weybridge (River Thames)</t>
  </si>
  <si>
    <t>Museum of London LDMOL : 49.107/809</t>
  </si>
  <si>
    <t>Needham1983:Sy8</t>
  </si>
  <si>
    <t>1230.jpg</t>
  </si>
  <si>
    <t>Whittlesey Mere</t>
  </si>
  <si>
    <t>Peterborough Museum and Art Gallery PETMG : L.657</t>
  </si>
  <si>
    <t>Needham1983:Ca41</t>
  </si>
  <si>
    <t>Needham1983:Class 5Eb (reworked)</t>
  </si>
  <si>
    <t>1231.jpg</t>
  </si>
  <si>
    <t>Wicken Fen</t>
  </si>
  <si>
    <t>Museum of Archaeology and Anthropology, Cambridge CAMAA : Z 4264</t>
  </si>
  <si>
    <t>Needham1983:Ca42</t>
  </si>
  <si>
    <t>1233.jpg</t>
  </si>
  <si>
    <t>Mildenhall, Wilde Street</t>
  </si>
  <si>
    <t>Ipswich Museum IPSMG : 1920.51.13</t>
  </si>
  <si>
    <t>Needham1983:Sf20;Pendleton1999:33</t>
  </si>
  <si>
    <t>1236.jpg</t>
  </si>
  <si>
    <t>Wilsford, barrow G64</t>
  </si>
  <si>
    <t>Wiltshire Museum, Devizes DZSWS : 648</t>
  </si>
  <si>
    <t>AnnableSimpson1964:315;Needham1983:Wi22/1</t>
  </si>
  <si>
    <t>1237.jpg</t>
  </si>
  <si>
    <t>Winchester, Bridge Street (River Itchen)</t>
  </si>
  <si>
    <t>Winchester Museum WINCM : 649.917</t>
  </si>
  <si>
    <t>Needham1983:Ha11</t>
  </si>
  <si>
    <t>1238.jpg</t>
  </si>
  <si>
    <t>Windsor Great Park</t>
  </si>
  <si>
    <t>Reading Museum REDMG : 1978.70.1</t>
  </si>
  <si>
    <t>Needham1983:Br7</t>
  </si>
  <si>
    <t>1242.jpg</t>
  </si>
  <si>
    <t>Yattendon Court</t>
  </si>
  <si>
    <t>West Berkshire Museum, Newbury NEBYM : Y.1</t>
  </si>
  <si>
    <t>Needham1983:Br8</t>
  </si>
  <si>
    <t>5154.jpg</t>
  </si>
  <si>
    <t>Lydd, Whitehall Farm, Pioneer Quarry</t>
  </si>
  <si>
    <t>British Museum BM : 1986,1101.1</t>
  </si>
  <si>
    <t>Needham1988:1;RohlNeeham1998:50</t>
  </si>
  <si>
    <t>Needham1988:Class 4E (Migdale)</t>
  </si>
  <si>
    <t>5155.jpg</t>
  </si>
  <si>
    <t>British Museum BM : 1986,1102.1</t>
  </si>
  <si>
    <t>Needham1988:2;RohlNeeham1998:51</t>
  </si>
  <si>
    <t>5156.jpg</t>
  </si>
  <si>
    <t>British Museum BM : 1986,1103.1</t>
  </si>
  <si>
    <t>Needham1988:3</t>
  </si>
  <si>
    <t>5157.jpg</t>
  </si>
  <si>
    <t>Class 4C/E</t>
  </si>
  <si>
    <t>British Museum BM : 1986,1103.2</t>
  </si>
  <si>
    <t>Needham1988:4</t>
  </si>
  <si>
    <t>Needham1988:Class 4E? (Migdale)</t>
  </si>
  <si>
    <t>5158.jpg</t>
  </si>
  <si>
    <t>British Museum BM : 1987,1002.1</t>
  </si>
  <si>
    <t>Needham1988:5;RohlNeeham1998:52</t>
  </si>
  <si>
    <t>5500.jpg</t>
  </si>
  <si>
    <t>Hounslow</t>
  </si>
  <si>
    <t>British Museum BM : 1864,0502.7</t>
  </si>
  <si>
    <t>Needham1983:GL4</t>
  </si>
  <si>
    <t>6295.jpg</t>
  </si>
  <si>
    <t>Pilsdon</t>
  </si>
  <si>
    <t>Dorset County Museum DORCM : 1953.20.20</t>
  </si>
  <si>
    <t>Needham1983:Ds6/1;Pearce1983:442</t>
  </si>
  <si>
    <t>6398.jpg</t>
  </si>
  <si>
    <t>Isleworth, Sion/Syon Reach (River Thames)</t>
  </si>
  <si>
    <t>Museum of London LDMOL : A19034</t>
  </si>
  <si>
    <t>Needham1983:GL20</t>
  </si>
  <si>
    <t>6606.jpg</t>
  </si>
  <si>
    <t>Risby</t>
  </si>
  <si>
    <t>Scunthorpe Museum and Art Gallery SCUNM : RW AA 5 (B.2)</t>
  </si>
  <si>
    <t>Davey1973:16;Rowlands1976:226;Needham1983:Hb7</t>
  </si>
  <si>
    <t>Needham1983:Class 5Ba;Rowlands1976:Flanged Class 1 Group 2b</t>
  </si>
  <si>
    <t>6730.jpg</t>
  </si>
  <si>
    <t>Icklingham, Canada Farm</t>
  </si>
  <si>
    <t>Ashmolean Museum, Oxford OXFAS : 1927.2374</t>
  </si>
  <si>
    <t>Needham1983:Sf7;Pendleton1999:23</t>
  </si>
  <si>
    <t>6796.jpg</t>
  </si>
  <si>
    <t>Amesbury (between Stonehenge and Fargo plantation), Little Amesbury Farm</t>
  </si>
  <si>
    <t>Salisbury and South Wiltshire Museum SBYWM : 1996R.516</t>
  </si>
  <si>
    <t>MooreRowlands1972:10;Needham1983:Wi2</t>
  </si>
  <si>
    <t>Needham1983:Class 5Ea</t>
  </si>
  <si>
    <t>Flat Bottomed</t>
  </si>
  <si>
    <t>Recurved</t>
  </si>
  <si>
    <t>Killhala</t>
  </si>
  <si>
    <t>x</t>
  </si>
  <si>
    <t>Carvings</t>
  </si>
  <si>
    <t>Axeheads</t>
  </si>
  <si>
    <t>Flaired</t>
  </si>
  <si>
    <t>Flat- bottomed</t>
  </si>
  <si>
    <t>Axe Note</t>
  </si>
  <si>
    <t>Axe type</t>
  </si>
  <si>
    <t>NON-MATC</t>
  </si>
  <si>
    <t>Needham #</t>
  </si>
  <si>
    <t>Carving Image</t>
  </si>
  <si>
    <t>Axe Images</t>
  </si>
  <si>
    <t>very wide splayed blade</t>
  </si>
  <si>
    <t>le1
ca29</t>
  </si>
  <si>
    <t>90,91,killhala</t>
  </si>
  <si>
    <t>94,96</t>
  </si>
  <si>
    <t>Hb8</t>
  </si>
  <si>
    <t xml:space="preserve">ca7
</t>
  </si>
  <si>
    <t>dagger</t>
  </si>
  <si>
    <t>5e</t>
  </si>
  <si>
    <t>93,sx5</t>
  </si>
  <si>
    <t>Class 2a</t>
  </si>
  <si>
    <t>wi8</t>
  </si>
  <si>
    <t>93,77,killhala</t>
  </si>
  <si>
    <t>94, NF40, LE1-2,ca29</t>
  </si>
  <si>
    <t>ca43,93</t>
  </si>
  <si>
    <t>sx5</t>
  </si>
  <si>
    <t>up40, 426, 362</t>
  </si>
  <si>
    <t>90,91, killhala</t>
  </si>
  <si>
    <t>87,93,sx5</t>
  </si>
  <si>
    <t>77,87,93,370</t>
  </si>
  <si>
    <t>93,370,90,362</t>
  </si>
  <si>
    <t>Carving</t>
  </si>
  <si>
    <t>Axe</t>
  </si>
  <si>
    <t>Zhou-Wang SSIM</t>
  </si>
  <si>
    <t>Rouse-Hemami SSIM</t>
  </si>
  <si>
    <t>F664</t>
  </si>
  <si>
    <t>F691</t>
  </si>
  <si>
    <t>Le1-1</t>
  </si>
  <si>
    <t>NF27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</si>
</sst>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sz val="9.0"/>
      <color rgb="FF060808"/>
      <name val="&quot;CIDFont+F1&quot;"/>
    </font>
    <font>
      <i/>
      <sz val="11.0"/>
      <color theme="1"/>
      <name val="GaramondMT"/>
    </font>
    <font>
      <b/>
      <sz val="12.0"/>
      <color rgb="FF000000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  <font>
      <b/>
      <color theme="1"/>
      <name val="Arial"/>
      <scheme val="minor"/>
    </font>
    <font>
      <sz val="18.0"/>
      <color theme="1"/>
      <name val="Arial"/>
      <scheme val="minor"/>
    </font>
    <font>
      <b/>
      <sz val="18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2" fontId="3" numFmtId="0" xfId="0" applyFont="1"/>
    <xf borderId="0" fillId="2" fontId="3" numFmtId="0" xfId="0" applyAlignment="1" applyFont="1">
      <alignment readingOrder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vertical="bottom"/>
    </xf>
    <xf borderId="1" fillId="0" fontId="2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1" fillId="0" fontId="9" numFmtId="0" xfId="0" applyAlignment="1" applyBorder="1" applyFont="1">
      <alignment readingOrder="0" shrinkToFit="0" vertical="bottom" wrapText="0"/>
    </xf>
    <xf borderId="0" fillId="0" fontId="10" numFmtId="0" xfId="0" applyAlignment="1" applyFont="1">
      <alignment readingOrder="0"/>
    </xf>
    <xf borderId="2" fillId="0" fontId="3" numFmtId="0" xfId="0" applyBorder="1" applyFont="1"/>
    <xf borderId="2" fillId="3" fontId="11" numFmtId="0" xfId="0" applyAlignment="1" applyBorder="1" applyFill="1" applyFont="1">
      <alignment horizontal="center" readingOrder="0" shrinkToFit="0" wrapText="1"/>
    </xf>
    <xf borderId="3" fillId="3" fontId="12" numFmtId="0" xfId="0" applyAlignment="1" applyBorder="1" applyFont="1">
      <alignment horizontal="center" readingOrder="0" vertical="center"/>
    </xf>
    <xf borderId="4" fillId="0" fontId="13" numFmtId="0" xfId="0" applyBorder="1" applyFont="1"/>
    <xf borderId="5" fillId="0" fontId="13" numFmtId="0" xfId="0" applyBorder="1" applyFont="1"/>
    <xf borderId="2" fillId="3" fontId="12" numFmtId="0" xfId="0" applyAlignment="1" applyBorder="1" applyFont="1">
      <alignment vertical="center"/>
    </xf>
    <xf borderId="6" fillId="3" fontId="1" numFmtId="0" xfId="0" applyAlignment="1" applyBorder="1" applyFont="1">
      <alignment readingOrder="0" shrinkToFit="0" vertical="center" wrapText="1"/>
    </xf>
    <xf borderId="2" fillId="3" fontId="3" numFmtId="0" xfId="0" applyBorder="1" applyFont="1"/>
    <xf borderId="7" fillId="0" fontId="13" numFmtId="0" xfId="0" applyBorder="1" applyFont="1"/>
    <xf borderId="6" fillId="0" fontId="3" numFmtId="0" xfId="0" applyBorder="1" applyFont="1"/>
    <xf borderId="8" fillId="0" fontId="13" numFmtId="0" xfId="0" applyBorder="1" applyFont="1"/>
    <xf borderId="6" fillId="3" fontId="3" numFmtId="0" xfId="0" applyBorder="1" applyFont="1"/>
    <xf borderId="9" fillId="4" fontId="3" numFmtId="0" xfId="0" applyBorder="1" applyFill="1" applyFont="1"/>
    <xf borderId="9" fillId="4" fontId="1" numFmtId="0" xfId="0" applyAlignment="1" applyBorder="1" applyFont="1">
      <alignment readingOrder="0" shrinkToFit="0" vertical="center" wrapText="1"/>
    </xf>
    <xf borderId="8" fillId="0" fontId="3" numFmtId="0" xfId="0" applyBorder="1" applyFont="1"/>
    <xf borderId="7" fillId="3" fontId="1" numFmtId="0" xfId="0" applyAlignment="1" applyBorder="1" applyFont="1">
      <alignment readingOrder="0" shrinkToFit="0" vertical="center" wrapText="1"/>
    </xf>
    <xf borderId="8" fillId="3" fontId="3" numFmtId="0" xfId="0" applyBorder="1" applyFont="1"/>
    <xf borderId="0" fillId="5" fontId="1" numFmtId="0" xfId="0" applyAlignment="1" applyFill="1" applyFont="1">
      <alignment readingOrder="0"/>
    </xf>
    <xf borderId="0" fillId="0" fontId="3" numFmtId="3" xfId="0" applyAlignment="1" applyFont="1" applyNumberFormat="1">
      <alignment readingOrder="0"/>
    </xf>
    <xf borderId="0" fillId="5" fontId="3" numFmtId="0" xfId="0" applyFont="1"/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48.jpg"/><Relationship Id="rId20" Type="http://schemas.openxmlformats.org/officeDocument/2006/relationships/image" Target="../media/image8.jpg"/><Relationship Id="rId42" Type="http://schemas.openxmlformats.org/officeDocument/2006/relationships/image" Target="../media/image31.jpg"/><Relationship Id="rId41" Type="http://schemas.openxmlformats.org/officeDocument/2006/relationships/image" Target="../media/image21.jpg"/><Relationship Id="rId22" Type="http://schemas.openxmlformats.org/officeDocument/2006/relationships/image" Target="../media/image10.jpg"/><Relationship Id="rId44" Type="http://schemas.openxmlformats.org/officeDocument/2006/relationships/image" Target="../media/image41.jpg"/><Relationship Id="rId21" Type="http://schemas.openxmlformats.org/officeDocument/2006/relationships/image" Target="../media/image9.jpg"/><Relationship Id="rId43" Type="http://schemas.openxmlformats.org/officeDocument/2006/relationships/image" Target="../media/image25.jpg"/><Relationship Id="rId24" Type="http://schemas.openxmlformats.org/officeDocument/2006/relationships/image" Target="../media/image20.jpg"/><Relationship Id="rId46" Type="http://schemas.openxmlformats.org/officeDocument/2006/relationships/image" Target="../media/image4.jpg"/><Relationship Id="rId23" Type="http://schemas.openxmlformats.org/officeDocument/2006/relationships/image" Target="../media/image36.jpg"/><Relationship Id="rId45" Type="http://schemas.openxmlformats.org/officeDocument/2006/relationships/image" Target="../media/image33.jpg"/><Relationship Id="rId1" Type="http://schemas.openxmlformats.org/officeDocument/2006/relationships/image" Target="../media/image34.jpg"/><Relationship Id="rId2" Type="http://schemas.openxmlformats.org/officeDocument/2006/relationships/image" Target="../media/image14.jpg"/><Relationship Id="rId3" Type="http://schemas.openxmlformats.org/officeDocument/2006/relationships/image" Target="../media/image19.jpg"/><Relationship Id="rId4" Type="http://schemas.openxmlformats.org/officeDocument/2006/relationships/image" Target="../media/image12.jpg"/><Relationship Id="rId9" Type="http://schemas.openxmlformats.org/officeDocument/2006/relationships/image" Target="../media/image22.jpg"/><Relationship Id="rId26" Type="http://schemas.openxmlformats.org/officeDocument/2006/relationships/image" Target="../media/image24.jpg"/><Relationship Id="rId25" Type="http://schemas.openxmlformats.org/officeDocument/2006/relationships/image" Target="../media/image47.jpg"/><Relationship Id="rId47" Type="http://schemas.openxmlformats.org/officeDocument/2006/relationships/image" Target="../media/image55.jpg"/><Relationship Id="rId28" Type="http://schemas.openxmlformats.org/officeDocument/2006/relationships/image" Target="../media/image26.jpg"/><Relationship Id="rId27" Type="http://schemas.openxmlformats.org/officeDocument/2006/relationships/image" Target="../media/image15.jpg"/><Relationship Id="rId5" Type="http://schemas.openxmlformats.org/officeDocument/2006/relationships/image" Target="../media/image2.jpg"/><Relationship Id="rId6" Type="http://schemas.openxmlformats.org/officeDocument/2006/relationships/image" Target="../media/image28.jpg"/><Relationship Id="rId29" Type="http://schemas.openxmlformats.org/officeDocument/2006/relationships/image" Target="../media/image27.jpg"/><Relationship Id="rId7" Type="http://schemas.openxmlformats.org/officeDocument/2006/relationships/image" Target="../media/image11.jpg"/><Relationship Id="rId8" Type="http://schemas.openxmlformats.org/officeDocument/2006/relationships/image" Target="../media/image16.jpg"/><Relationship Id="rId31" Type="http://schemas.openxmlformats.org/officeDocument/2006/relationships/image" Target="../media/image44.jpg"/><Relationship Id="rId30" Type="http://schemas.openxmlformats.org/officeDocument/2006/relationships/image" Target="../media/image23.jpg"/><Relationship Id="rId11" Type="http://schemas.openxmlformats.org/officeDocument/2006/relationships/image" Target="../media/image13.jpg"/><Relationship Id="rId33" Type="http://schemas.openxmlformats.org/officeDocument/2006/relationships/image" Target="../media/image7.jpg"/><Relationship Id="rId10" Type="http://schemas.openxmlformats.org/officeDocument/2006/relationships/image" Target="../media/image29.jpg"/><Relationship Id="rId32" Type="http://schemas.openxmlformats.org/officeDocument/2006/relationships/image" Target="../media/image42.jpg"/><Relationship Id="rId13" Type="http://schemas.openxmlformats.org/officeDocument/2006/relationships/image" Target="../media/image52.jpg"/><Relationship Id="rId35" Type="http://schemas.openxmlformats.org/officeDocument/2006/relationships/image" Target="../media/image35.jpg"/><Relationship Id="rId12" Type="http://schemas.openxmlformats.org/officeDocument/2006/relationships/image" Target="../media/image32.jpg"/><Relationship Id="rId34" Type="http://schemas.openxmlformats.org/officeDocument/2006/relationships/image" Target="../media/image1.jpg"/><Relationship Id="rId15" Type="http://schemas.openxmlformats.org/officeDocument/2006/relationships/image" Target="../media/image45.jpg"/><Relationship Id="rId37" Type="http://schemas.openxmlformats.org/officeDocument/2006/relationships/image" Target="../media/image37.jpg"/><Relationship Id="rId14" Type="http://schemas.openxmlformats.org/officeDocument/2006/relationships/image" Target="../media/image6.jpg"/><Relationship Id="rId36" Type="http://schemas.openxmlformats.org/officeDocument/2006/relationships/image" Target="../media/image17.jpg"/><Relationship Id="rId17" Type="http://schemas.openxmlformats.org/officeDocument/2006/relationships/image" Target="../media/image30.jpg"/><Relationship Id="rId39" Type="http://schemas.openxmlformats.org/officeDocument/2006/relationships/image" Target="../media/image38.jpg"/><Relationship Id="rId16" Type="http://schemas.openxmlformats.org/officeDocument/2006/relationships/image" Target="../media/image39.jpg"/><Relationship Id="rId38" Type="http://schemas.openxmlformats.org/officeDocument/2006/relationships/image" Target="../media/image3.jpg"/><Relationship Id="rId19" Type="http://schemas.openxmlformats.org/officeDocument/2006/relationships/image" Target="../media/image51.jpg"/><Relationship Id="rId18" Type="http://schemas.openxmlformats.org/officeDocument/2006/relationships/image" Target="../media/image18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jpg"/><Relationship Id="rId2" Type="http://schemas.openxmlformats.org/officeDocument/2006/relationships/image" Target="../media/image49.jpg"/><Relationship Id="rId3" Type="http://schemas.openxmlformats.org/officeDocument/2006/relationships/image" Target="../media/image34.jpg"/><Relationship Id="rId4" Type="http://schemas.openxmlformats.org/officeDocument/2006/relationships/image" Target="../media/image40.jpg"/><Relationship Id="rId9" Type="http://schemas.openxmlformats.org/officeDocument/2006/relationships/image" Target="../media/image26.jpg"/><Relationship Id="rId5" Type="http://schemas.openxmlformats.org/officeDocument/2006/relationships/image" Target="../media/image24.jpg"/><Relationship Id="rId6" Type="http://schemas.openxmlformats.org/officeDocument/2006/relationships/image" Target="../media/image43.jpg"/><Relationship Id="rId7" Type="http://schemas.openxmlformats.org/officeDocument/2006/relationships/image" Target="../media/image15.jpg"/><Relationship Id="rId8" Type="http://schemas.openxmlformats.org/officeDocument/2006/relationships/image" Target="../media/image50.jpg"/><Relationship Id="rId11" Type="http://schemas.openxmlformats.org/officeDocument/2006/relationships/image" Target="../media/image27.jpg"/><Relationship Id="rId10" Type="http://schemas.openxmlformats.org/officeDocument/2006/relationships/image" Target="../media/image5.jpg"/><Relationship Id="rId13" Type="http://schemas.openxmlformats.org/officeDocument/2006/relationships/image" Target="../media/image23.jpg"/><Relationship Id="rId12" Type="http://schemas.openxmlformats.org/officeDocument/2006/relationships/image" Target="../media/image85.jpg"/><Relationship Id="rId15" Type="http://schemas.openxmlformats.org/officeDocument/2006/relationships/image" Target="../media/image42.jpg"/><Relationship Id="rId14" Type="http://schemas.openxmlformats.org/officeDocument/2006/relationships/image" Target="../media/image44.jpg"/><Relationship Id="rId17" Type="http://schemas.openxmlformats.org/officeDocument/2006/relationships/image" Target="../media/image16.jpg"/><Relationship Id="rId16" Type="http://schemas.openxmlformats.org/officeDocument/2006/relationships/image" Target="../media/image11.jpg"/><Relationship Id="rId18" Type="http://schemas.openxmlformats.org/officeDocument/2006/relationships/image" Target="../media/image7.jp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83.jpg"/><Relationship Id="rId20" Type="http://schemas.openxmlformats.org/officeDocument/2006/relationships/image" Target="../media/image62.jpg"/><Relationship Id="rId22" Type="http://schemas.openxmlformats.org/officeDocument/2006/relationships/image" Target="../media/image87.jpg"/><Relationship Id="rId21" Type="http://schemas.openxmlformats.org/officeDocument/2006/relationships/image" Target="../media/image61.jpg"/><Relationship Id="rId24" Type="http://schemas.openxmlformats.org/officeDocument/2006/relationships/image" Target="../media/image81.jpg"/><Relationship Id="rId23" Type="http://schemas.openxmlformats.org/officeDocument/2006/relationships/image" Target="../media/image86.jpg"/><Relationship Id="rId1" Type="http://schemas.openxmlformats.org/officeDocument/2006/relationships/image" Target="../media/image68.jpg"/><Relationship Id="rId2" Type="http://schemas.openxmlformats.org/officeDocument/2006/relationships/image" Target="../media/image53.jpg"/><Relationship Id="rId3" Type="http://schemas.openxmlformats.org/officeDocument/2006/relationships/image" Target="../media/image50.jpg"/><Relationship Id="rId4" Type="http://schemas.openxmlformats.org/officeDocument/2006/relationships/image" Target="../media/image40.jpg"/><Relationship Id="rId9" Type="http://schemas.openxmlformats.org/officeDocument/2006/relationships/image" Target="../media/image59.jpg"/><Relationship Id="rId26" Type="http://schemas.openxmlformats.org/officeDocument/2006/relationships/image" Target="../media/image74.jpg"/><Relationship Id="rId25" Type="http://schemas.openxmlformats.org/officeDocument/2006/relationships/image" Target="../media/image63.jpg"/><Relationship Id="rId28" Type="http://schemas.openxmlformats.org/officeDocument/2006/relationships/image" Target="../media/image54.jpg"/><Relationship Id="rId27" Type="http://schemas.openxmlformats.org/officeDocument/2006/relationships/image" Target="../media/image58.jpg"/><Relationship Id="rId5" Type="http://schemas.openxmlformats.org/officeDocument/2006/relationships/image" Target="../media/image85.jpg"/><Relationship Id="rId6" Type="http://schemas.openxmlformats.org/officeDocument/2006/relationships/image" Target="../media/image5.jpg"/><Relationship Id="rId29" Type="http://schemas.openxmlformats.org/officeDocument/2006/relationships/image" Target="../media/image75.jpg"/><Relationship Id="rId7" Type="http://schemas.openxmlformats.org/officeDocument/2006/relationships/image" Target="../media/image49.jpg"/><Relationship Id="rId8" Type="http://schemas.openxmlformats.org/officeDocument/2006/relationships/image" Target="../media/image43.jpg"/><Relationship Id="rId31" Type="http://schemas.openxmlformats.org/officeDocument/2006/relationships/image" Target="../media/image77.jpg"/><Relationship Id="rId30" Type="http://schemas.openxmlformats.org/officeDocument/2006/relationships/image" Target="../media/image70.jpg"/><Relationship Id="rId11" Type="http://schemas.openxmlformats.org/officeDocument/2006/relationships/image" Target="../media/image46.jpg"/><Relationship Id="rId33" Type="http://schemas.openxmlformats.org/officeDocument/2006/relationships/image" Target="../media/image64.jpg"/><Relationship Id="rId10" Type="http://schemas.openxmlformats.org/officeDocument/2006/relationships/image" Target="../media/image69.jpg"/><Relationship Id="rId32" Type="http://schemas.openxmlformats.org/officeDocument/2006/relationships/image" Target="../media/image66.jpg"/><Relationship Id="rId13" Type="http://schemas.openxmlformats.org/officeDocument/2006/relationships/image" Target="../media/image78.jpg"/><Relationship Id="rId35" Type="http://schemas.openxmlformats.org/officeDocument/2006/relationships/image" Target="../media/image56.jpg"/><Relationship Id="rId12" Type="http://schemas.openxmlformats.org/officeDocument/2006/relationships/image" Target="../media/image71.jpg"/><Relationship Id="rId34" Type="http://schemas.openxmlformats.org/officeDocument/2006/relationships/image" Target="../media/image84.jpg"/><Relationship Id="rId15" Type="http://schemas.openxmlformats.org/officeDocument/2006/relationships/image" Target="../media/image72.jpg"/><Relationship Id="rId37" Type="http://schemas.openxmlformats.org/officeDocument/2006/relationships/image" Target="../media/image67.jpg"/><Relationship Id="rId14" Type="http://schemas.openxmlformats.org/officeDocument/2006/relationships/image" Target="../media/image65.jpg"/><Relationship Id="rId36" Type="http://schemas.openxmlformats.org/officeDocument/2006/relationships/image" Target="../media/image82.jpg"/><Relationship Id="rId17" Type="http://schemas.openxmlformats.org/officeDocument/2006/relationships/image" Target="../media/image57.jpg"/><Relationship Id="rId39" Type="http://schemas.openxmlformats.org/officeDocument/2006/relationships/image" Target="../media/image79.jpg"/><Relationship Id="rId16" Type="http://schemas.openxmlformats.org/officeDocument/2006/relationships/image" Target="../media/image76.jpg"/><Relationship Id="rId38" Type="http://schemas.openxmlformats.org/officeDocument/2006/relationships/image" Target="../media/image73.jpg"/><Relationship Id="rId19" Type="http://schemas.openxmlformats.org/officeDocument/2006/relationships/image" Target="../media/image80.jpg"/><Relationship Id="rId18" Type="http://schemas.openxmlformats.org/officeDocument/2006/relationships/image" Target="../media/image60.jpg"/></Relationships>
</file>

<file path=xl/drawings/_rels/drawing6.xml.rels><?xml version="1.0" encoding="UTF-8" standalone="yes"?><Relationships xmlns="http://schemas.openxmlformats.org/package/2006/relationships"><Relationship Id="rId40" Type="http://schemas.openxmlformats.org/officeDocument/2006/relationships/image" Target="../media/image57.jpg"/><Relationship Id="rId42" Type="http://schemas.openxmlformats.org/officeDocument/2006/relationships/image" Target="../media/image72.jpg"/><Relationship Id="rId41" Type="http://schemas.openxmlformats.org/officeDocument/2006/relationships/image" Target="../media/image71.jpg"/><Relationship Id="rId44" Type="http://schemas.openxmlformats.org/officeDocument/2006/relationships/image" Target="../media/image86.jpg"/><Relationship Id="rId43" Type="http://schemas.openxmlformats.org/officeDocument/2006/relationships/image" Target="../media/image61.jpg"/><Relationship Id="rId46" Type="http://schemas.openxmlformats.org/officeDocument/2006/relationships/image" Target="../media/image63.jpg"/><Relationship Id="rId45" Type="http://schemas.openxmlformats.org/officeDocument/2006/relationships/image" Target="../media/image81.jpg"/><Relationship Id="rId1" Type="http://schemas.openxmlformats.org/officeDocument/2006/relationships/image" Target="../media/image40.jpg"/><Relationship Id="rId2" Type="http://schemas.openxmlformats.org/officeDocument/2006/relationships/image" Target="../media/image50.jpg"/><Relationship Id="rId3" Type="http://schemas.openxmlformats.org/officeDocument/2006/relationships/image" Target="../media/image5.jpg"/><Relationship Id="rId4" Type="http://schemas.openxmlformats.org/officeDocument/2006/relationships/image" Target="../media/image85.jpg"/><Relationship Id="rId9" Type="http://schemas.openxmlformats.org/officeDocument/2006/relationships/image" Target="../media/image32.jpg"/><Relationship Id="rId48" Type="http://schemas.openxmlformats.org/officeDocument/2006/relationships/image" Target="../media/image74.jpg"/><Relationship Id="rId47" Type="http://schemas.openxmlformats.org/officeDocument/2006/relationships/image" Target="../media/image6.jpg"/><Relationship Id="rId49" Type="http://schemas.openxmlformats.org/officeDocument/2006/relationships/image" Target="../media/image45.jpg"/><Relationship Id="rId5" Type="http://schemas.openxmlformats.org/officeDocument/2006/relationships/image" Target="../media/image49.jpg"/><Relationship Id="rId6" Type="http://schemas.openxmlformats.org/officeDocument/2006/relationships/image" Target="../media/image43.jpg"/><Relationship Id="rId7" Type="http://schemas.openxmlformats.org/officeDocument/2006/relationships/image" Target="../media/image24.jpg"/><Relationship Id="rId8" Type="http://schemas.openxmlformats.org/officeDocument/2006/relationships/image" Target="../media/image23.jpg"/><Relationship Id="rId73" Type="http://schemas.openxmlformats.org/officeDocument/2006/relationships/image" Target="../media/image28.jpg"/><Relationship Id="rId72" Type="http://schemas.openxmlformats.org/officeDocument/2006/relationships/image" Target="../media/image2.jpg"/><Relationship Id="rId31" Type="http://schemas.openxmlformats.org/officeDocument/2006/relationships/image" Target="../media/image78.jpg"/><Relationship Id="rId75" Type="http://schemas.openxmlformats.org/officeDocument/2006/relationships/image" Target="../media/image29.jpg"/><Relationship Id="rId30" Type="http://schemas.openxmlformats.org/officeDocument/2006/relationships/image" Target="../media/image53.jpg"/><Relationship Id="rId74" Type="http://schemas.openxmlformats.org/officeDocument/2006/relationships/image" Target="../media/image22.jpg"/><Relationship Id="rId33" Type="http://schemas.openxmlformats.org/officeDocument/2006/relationships/image" Target="../media/image76.jpg"/><Relationship Id="rId32" Type="http://schemas.openxmlformats.org/officeDocument/2006/relationships/image" Target="../media/image60.jpg"/><Relationship Id="rId76" Type="http://schemas.openxmlformats.org/officeDocument/2006/relationships/image" Target="../media/image13.jpg"/><Relationship Id="rId35" Type="http://schemas.openxmlformats.org/officeDocument/2006/relationships/image" Target="../media/image35.jpg"/><Relationship Id="rId34" Type="http://schemas.openxmlformats.org/officeDocument/2006/relationships/image" Target="../media/image3.jpg"/><Relationship Id="rId71" Type="http://schemas.openxmlformats.org/officeDocument/2006/relationships/image" Target="../media/image12.jpg"/><Relationship Id="rId70" Type="http://schemas.openxmlformats.org/officeDocument/2006/relationships/image" Target="../media/image19.jpg"/><Relationship Id="rId37" Type="http://schemas.openxmlformats.org/officeDocument/2006/relationships/image" Target="../media/image46.jpg"/><Relationship Id="rId36" Type="http://schemas.openxmlformats.org/officeDocument/2006/relationships/image" Target="../media/image21.jpg"/><Relationship Id="rId39" Type="http://schemas.openxmlformats.org/officeDocument/2006/relationships/image" Target="../media/image62.jpg"/><Relationship Id="rId38" Type="http://schemas.openxmlformats.org/officeDocument/2006/relationships/image" Target="../media/image65.jpg"/><Relationship Id="rId62" Type="http://schemas.openxmlformats.org/officeDocument/2006/relationships/image" Target="../media/image70.jpg"/><Relationship Id="rId61" Type="http://schemas.openxmlformats.org/officeDocument/2006/relationships/image" Target="../media/image75.jpg"/><Relationship Id="rId20" Type="http://schemas.openxmlformats.org/officeDocument/2006/relationships/image" Target="../media/image17.jpg"/><Relationship Id="rId64" Type="http://schemas.openxmlformats.org/officeDocument/2006/relationships/image" Target="../media/image9.jpg"/><Relationship Id="rId63" Type="http://schemas.openxmlformats.org/officeDocument/2006/relationships/image" Target="../media/image8.jpg"/><Relationship Id="rId22" Type="http://schemas.openxmlformats.org/officeDocument/2006/relationships/image" Target="../media/image38.jpg"/><Relationship Id="rId66" Type="http://schemas.openxmlformats.org/officeDocument/2006/relationships/image" Target="../media/image36.jpg"/><Relationship Id="rId21" Type="http://schemas.openxmlformats.org/officeDocument/2006/relationships/image" Target="../media/image52.jpg"/><Relationship Id="rId65" Type="http://schemas.openxmlformats.org/officeDocument/2006/relationships/image" Target="../media/image10.jpg"/><Relationship Id="rId24" Type="http://schemas.openxmlformats.org/officeDocument/2006/relationships/image" Target="../media/image59.jpg"/><Relationship Id="rId68" Type="http://schemas.openxmlformats.org/officeDocument/2006/relationships/image" Target="../media/image47.jpg"/><Relationship Id="rId23" Type="http://schemas.openxmlformats.org/officeDocument/2006/relationships/image" Target="../media/image69.jpg"/><Relationship Id="rId67" Type="http://schemas.openxmlformats.org/officeDocument/2006/relationships/image" Target="../media/image20.jpg"/><Relationship Id="rId60" Type="http://schemas.openxmlformats.org/officeDocument/2006/relationships/image" Target="../media/image54.jpg"/><Relationship Id="rId26" Type="http://schemas.openxmlformats.org/officeDocument/2006/relationships/image" Target="../media/image68.jpg"/><Relationship Id="rId25" Type="http://schemas.openxmlformats.org/officeDocument/2006/relationships/image" Target="../media/image80.jpg"/><Relationship Id="rId69" Type="http://schemas.openxmlformats.org/officeDocument/2006/relationships/image" Target="../media/image14.jpg"/><Relationship Id="rId28" Type="http://schemas.openxmlformats.org/officeDocument/2006/relationships/image" Target="../media/image1.jpg"/><Relationship Id="rId27" Type="http://schemas.openxmlformats.org/officeDocument/2006/relationships/image" Target="../media/image37.jpg"/><Relationship Id="rId29" Type="http://schemas.openxmlformats.org/officeDocument/2006/relationships/image" Target="../media/image48.jpg"/><Relationship Id="rId51" Type="http://schemas.openxmlformats.org/officeDocument/2006/relationships/image" Target="../media/image39.jpg"/><Relationship Id="rId50" Type="http://schemas.openxmlformats.org/officeDocument/2006/relationships/image" Target="../media/image77.jpg"/><Relationship Id="rId53" Type="http://schemas.openxmlformats.org/officeDocument/2006/relationships/image" Target="../media/image30.jpg"/><Relationship Id="rId52" Type="http://schemas.openxmlformats.org/officeDocument/2006/relationships/image" Target="../media/image66.jpg"/><Relationship Id="rId11" Type="http://schemas.openxmlformats.org/officeDocument/2006/relationships/image" Target="../media/image15.jpg"/><Relationship Id="rId55" Type="http://schemas.openxmlformats.org/officeDocument/2006/relationships/image" Target="../media/image18.jpg"/><Relationship Id="rId10" Type="http://schemas.openxmlformats.org/officeDocument/2006/relationships/image" Target="../media/image11.jpg"/><Relationship Id="rId54" Type="http://schemas.openxmlformats.org/officeDocument/2006/relationships/image" Target="../media/image87.jpg"/><Relationship Id="rId13" Type="http://schemas.openxmlformats.org/officeDocument/2006/relationships/image" Target="../media/image31.jpg"/><Relationship Id="rId57" Type="http://schemas.openxmlformats.org/officeDocument/2006/relationships/image" Target="../media/image82.jpg"/><Relationship Id="rId12" Type="http://schemas.openxmlformats.org/officeDocument/2006/relationships/image" Target="../media/image44.jpg"/><Relationship Id="rId56" Type="http://schemas.openxmlformats.org/officeDocument/2006/relationships/image" Target="../media/image56.jpg"/><Relationship Id="rId15" Type="http://schemas.openxmlformats.org/officeDocument/2006/relationships/image" Target="../media/image26.jpg"/><Relationship Id="rId59" Type="http://schemas.openxmlformats.org/officeDocument/2006/relationships/image" Target="../media/image58.jpg"/><Relationship Id="rId14" Type="http://schemas.openxmlformats.org/officeDocument/2006/relationships/image" Target="../media/image16.jpg"/><Relationship Id="rId58" Type="http://schemas.openxmlformats.org/officeDocument/2006/relationships/image" Target="../media/image67.jpg"/><Relationship Id="rId17" Type="http://schemas.openxmlformats.org/officeDocument/2006/relationships/image" Target="../media/image27.jpg"/><Relationship Id="rId16" Type="http://schemas.openxmlformats.org/officeDocument/2006/relationships/image" Target="../media/image42.jpg"/><Relationship Id="rId19" Type="http://schemas.openxmlformats.org/officeDocument/2006/relationships/image" Target="../media/image34.jpg"/><Relationship Id="rId18" Type="http://schemas.openxmlformats.org/officeDocument/2006/relationships/image" Target="../media/image7.jpg"/></Relationships>
</file>

<file path=xl/drawings/_rels/drawing7.xml.rels><?xml version="1.0" encoding="UTF-8" standalone="yes"?><Relationships xmlns="http://schemas.openxmlformats.org/package/2006/relationships"><Relationship Id="rId40" Type="http://schemas.openxmlformats.org/officeDocument/2006/relationships/image" Target="../media/image37.jpg"/><Relationship Id="rId42" Type="http://schemas.openxmlformats.org/officeDocument/2006/relationships/image" Target="../media/image21.jpg"/><Relationship Id="rId41" Type="http://schemas.openxmlformats.org/officeDocument/2006/relationships/image" Target="../media/image3.jpg"/><Relationship Id="rId44" Type="http://schemas.openxmlformats.org/officeDocument/2006/relationships/image" Target="../media/image46.jpg"/><Relationship Id="rId43" Type="http://schemas.openxmlformats.org/officeDocument/2006/relationships/image" Target="../media/image71.jpg"/><Relationship Id="rId46" Type="http://schemas.openxmlformats.org/officeDocument/2006/relationships/image" Target="../media/image69.jpg"/><Relationship Id="rId45" Type="http://schemas.openxmlformats.org/officeDocument/2006/relationships/image" Target="../media/image65.jpg"/><Relationship Id="rId80" Type="http://schemas.openxmlformats.org/officeDocument/2006/relationships/image" Target="../media/image22.jpg"/><Relationship Id="rId82" Type="http://schemas.openxmlformats.org/officeDocument/2006/relationships/image" Target="../media/image13.jpg"/><Relationship Id="rId81" Type="http://schemas.openxmlformats.org/officeDocument/2006/relationships/image" Target="../media/image29.jpg"/><Relationship Id="rId1" Type="http://schemas.openxmlformats.org/officeDocument/2006/relationships/image" Target="../media/image90.png"/><Relationship Id="rId2" Type="http://schemas.openxmlformats.org/officeDocument/2006/relationships/image" Target="../media/image91.png"/><Relationship Id="rId3" Type="http://schemas.openxmlformats.org/officeDocument/2006/relationships/image" Target="../media/image88.png"/><Relationship Id="rId4" Type="http://schemas.openxmlformats.org/officeDocument/2006/relationships/image" Target="../media/image92.png"/><Relationship Id="rId9" Type="http://schemas.openxmlformats.org/officeDocument/2006/relationships/image" Target="../media/image32.jpg"/><Relationship Id="rId48" Type="http://schemas.openxmlformats.org/officeDocument/2006/relationships/image" Target="../media/image36.jpg"/><Relationship Id="rId47" Type="http://schemas.openxmlformats.org/officeDocument/2006/relationships/image" Target="../media/image53.jpg"/><Relationship Id="rId49" Type="http://schemas.openxmlformats.org/officeDocument/2006/relationships/image" Target="../media/image10.jpg"/><Relationship Id="rId5" Type="http://schemas.openxmlformats.org/officeDocument/2006/relationships/image" Target="../media/image89.png"/><Relationship Id="rId6" Type="http://schemas.openxmlformats.org/officeDocument/2006/relationships/image" Target="../media/image7.jpg"/><Relationship Id="rId7" Type="http://schemas.openxmlformats.org/officeDocument/2006/relationships/image" Target="../media/image16.jpg"/><Relationship Id="rId8" Type="http://schemas.openxmlformats.org/officeDocument/2006/relationships/image" Target="../media/image23.jpg"/><Relationship Id="rId73" Type="http://schemas.openxmlformats.org/officeDocument/2006/relationships/image" Target="../media/image30.jpg"/><Relationship Id="rId72" Type="http://schemas.openxmlformats.org/officeDocument/2006/relationships/image" Target="../media/image51.jpg"/><Relationship Id="rId31" Type="http://schemas.openxmlformats.org/officeDocument/2006/relationships/image" Target="../media/image80.jpg"/><Relationship Id="rId75" Type="http://schemas.openxmlformats.org/officeDocument/2006/relationships/image" Target="../media/image45.jpg"/><Relationship Id="rId30" Type="http://schemas.openxmlformats.org/officeDocument/2006/relationships/image" Target="../media/image59.jpg"/><Relationship Id="rId74" Type="http://schemas.openxmlformats.org/officeDocument/2006/relationships/image" Target="../media/image6.jpg"/><Relationship Id="rId33" Type="http://schemas.openxmlformats.org/officeDocument/2006/relationships/image" Target="../media/image1.jpg"/><Relationship Id="rId77" Type="http://schemas.openxmlformats.org/officeDocument/2006/relationships/image" Target="../media/image67.jpg"/><Relationship Id="rId32" Type="http://schemas.openxmlformats.org/officeDocument/2006/relationships/image" Target="../media/image68.jpg"/><Relationship Id="rId76" Type="http://schemas.openxmlformats.org/officeDocument/2006/relationships/image" Target="../media/image54.jpg"/><Relationship Id="rId35" Type="http://schemas.openxmlformats.org/officeDocument/2006/relationships/image" Target="../media/image38.jpg"/><Relationship Id="rId79" Type="http://schemas.openxmlformats.org/officeDocument/2006/relationships/image" Target="../media/image28.jpg"/><Relationship Id="rId34" Type="http://schemas.openxmlformats.org/officeDocument/2006/relationships/image" Target="../media/image35.jpg"/><Relationship Id="rId78" Type="http://schemas.openxmlformats.org/officeDocument/2006/relationships/image" Target="../media/image82.jpg"/><Relationship Id="rId71" Type="http://schemas.openxmlformats.org/officeDocument/2006/relationships/image" Target="../media/image18.jpg"/><Relationship Id="rId70" Type="http://schemas.openxmlformats.org/officeDocument/2006/relationships/image" Target="../media/image66.jpg"/><Relationship Id="rId37" Type="http://schemas.openxmlformats.org/officeDocument/2006/relationships/image" Target="../media/image72.jpg"/><Relationship Id="rId36" Type="http://schemas.openxmlformats.org/officeDocument/2006/relationships/image" Target="../media/image60.jpg"/><Relationship Id="rId39" Type="http://schemas.openxmlformats.org/officeDocument/2006/relationships/image" Target="../media/image62.jpg"/><Relationship Id="rId38" Type="http://schemas.openxmlformats.org/officeDocument/2006/relationships/image" Target="../media/image76.jpg"/><Relationship Id="rId62" Type="http://schemas.openxmlformats.org/officeDocument/2006/relationships/image" Target="../media/image56.jpg"/><Relationship Id="rId61" Type="http://schemas.openxmlformats.org/officeDocument/2006/relationships/image" Target="../media/image75.jpg"/><Relationship Id="rId20" Type="http://schemas.openxmlformats.org/officeDocument/2006/relationships/image" Target="../media/image27.jpg"/><Relationship Id="rId64" Type="http://schemas.openxmlformats.org/officeDocument/2006/relationships/image" Target="../media/image87.jpg"/><Relationship Id="rId63" Type="http://schemas.openxmlformats.org/officeDocument/2006/relationships/image" Target="../media/image77.jpg"/><Relationship Id="rId22" Type="http://schemas.openxmlformats.org/officeDocument/2006/relationships/image" Target="../media/image42.jpg"/><Relationship Id="rId66" Type="http://schemas.openxmlformats.org/officeDocument/2006/relationships/image" Target="../media/image8.jpg"/><Relationship Id="rId21" Type="http://schemas.openxmlformats.org/officeDocument/2006/relationships/image" Target="../media/image11.jpg"/><Relationship Id="rId65" Type="http://schemas.openxmlformats.org/officeDocument/2006/relationships/image" Target="../media/image47.jpg"/><Relationship Id="rId24" Type="http://schemas.openxmlformats.org/officeDocument/2006/relationships/image" Target="../media/image40.jpg"/><Relationship Id="rId68" Type="http://schemas.openxmlformats.org/officeDocument/2006/relationships/image" Target="../media/image74.jpg"/><Relationship Id="rId23" Type="http://schemas.openxmlformats.org/officeDocument/2006/relationships/image" Target="../media/image24.jpg"/><Relationship Id="rId67" Type="http://schemas.openxmlformats.org/officeDocument/2006/relationships/image" Target="../media/image12.jpg"/><Relationship Id="rId60" Type="http://schemas.openxmlformats.org/officeDocument/2006/relationships/image" Target="../media/image19.jpg"/><Relationship Id="rId26" Type="http://schemas.openxmlformats.org/officeDocument/2006/relationships/image" Target="../media/image17.jpg"/><Relationship Id="rId25" Type="http://schemas.openxmlformats.org/officeDocument/2006/relationships/image" Target="../media/image48.jpg"/><Relationship Id="rId69" Type="http://schemas.openxmlformats.org/officeDocument/2006/relationships/image" Target="../media/image58.jpg"/><Relationship Id="rId28" Type="http://schemas.openxmlformats.org/officeDocument/2006/relationships/image" Target="../media/image57.jpg"/><Relationship Id="rId27" Type="http://schemas.openxmlformats.org/officeDocument/2006/relationships/image" Target="../media/image52.jpg"/><Relationship Id="rId29" Type="http://schemas.openxmlformats.org/officeDocument/2006/relationships/image" Target="../media/image78.jpg"/><Relationship Id="rId51" Type="http://schemas.openxmlformats.org/officeDocument/2006/relationships/image" Target="../media/image14.jpg"/><Relationship Id="rId50" Type="http://schemas.openxmlformats.org/officeDocument/2006/relationships/image" Target="../media/image2.jpg"/><Relationship Id="rId53" Type="http://schemas.openxmlformats.org/officeDocument/2006/relationships/image" Target="../media/image70.jpg"/><Relationship Id="rId52" Type="http://schemas.openxmlformats.org/officeDocument/2006/relationships/image" Target="../media/image34.jpg"/><Relationship Id="rId11" Type="http://schemas.openxmlformats.org/officeDocument/2006/relationships/image" Target="../media/image50.jpg"/><Relationship Id="rId55" Type="http://schemas.openxmlformats.org/officeDocument/2006/relationships/image" Target="../media/image63.jpg"/><Relationship Id="rId10" Type="http://schemas.openxmlformats.org/officeDocument/2006/relationships/image" Target="../media/image43.jpg"/><Relationship Id="rId54" Type="http://schemas.openxmlformats.org/officeDocument/2006/relationships/image" Target="../media/image86.jpg"/><Relationship Id="rId13" Type="http://schemas.openxmlformats.org/officeDocument/2006/relationships/image" Target="../media/image26.jpg"/><Relationship Id="rId57" Type="http://schemas.openxmlformats.org/officeDocument/2006/relationships/image" Target="../media/image20.jpg"/><Relationship Id="rId12" Type="http://schemas.openxmlformats.org/officeDocument/2006/relationships/image" Target="../media/image85.jpg"/><Relationship Id="rId56" Type="http://schemas.openxmlformats.org/officeDocument/2006/relationships/image" Target="../media/image81.jpg"/><Relationship Id="rId15" Type="http://schemas.openxmlformats.org/officeDocument/2006/relationships/image" Target="../media/image31.jpg"/><Relationship Id="rId59" Type="http://schemas.openxmlformats.org/officeDocument/2006/relationships/image" Target="../media/image39.jpg"/><Relationship Id="rId14" Type="http://schemas.openxmlformats.org/officeDocument/2006/relationships/image" Target="../media/image44.jpg"/><Relationship Id="rId58" Type="http://schemas.openxmlformats.org/officeDocument/2006/relationships/image" Target="../media/image9.jpg"/><Relationship Id="rId17" Type="http://schemas.openxmlformats.org/officeDocument/2006/relationships/image" Target="../media/image49.jpg"/><Relationship Id="rId16" Type="http://schemas.openxmlformats.org/officeDocument/2006/relationships/image" Target="../media/image15.jpg"/><Relationship Id="rId19" Type="http://schemas.openxmlformats.org/officeDocument/2006/relationships/image" Target="../media/image61.jpg"/><Relationship Id="rId18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40" Type="http://schemas.openxmlformats.org/officeDocument/2006/relationships/image" Target="../media/image5.jpg"/><Relationship Id="rId42" Type="http://schemas.openxmlformats.org/officeDocument/2006/relationships/image" Target="../media/image44.jpg"/><Relationship Id="rId41" Type="http://schemas.openxmlformats.org/officeDocument/2006/relationships/image" Target="../media/image35.jpg"/><Relationship Id="rId44" Type="http://schemas.openxmlformats.org/officeDocument/2006/relationships/image" Target="../media/image29.jpg"/><Relationship Id="rId43" Type="http://schemas.openxmlformats.org/officeDocument/2006/relationships/image" Target="../media/image33.jpg"/><Relationship Id="rId46" Type="http://schemas.openxmlformats.org/officeDocument/2006/relationships/image" Target="../media/image56.jpg"/><Relationship Id="rId45" Type="http://schemas.openxmlformats.org/officeDocument/2006/relationships/image" Target="../media/image82.jpg"/><Relationship Id="rId1" Type="http://schemas.openxmlformats.org/officeDocument/2006/relationships/image" Target="../media/image37.jpg"/><Relationship Id="rId2" Type="http://schemas.openxmlformats.org/officeDocument/2006/relationships/image" Target="../media/image73.jpg"/><Relationship Id="rId3" Type="http://schemas.openxmlformats.org/officeDocument/2006/relationships/image" Target="../media/image79.jpg"/><Relationship Id="rId4" Type="http://schemas.openxmlformats.org/officeDocument/2006/relationships/image" Target="../media/image1.jpg"/><Relationship Id="rId9" Type="http://schemas.openxmlformats.org/officeDocument/2006/relationships/image" Target="../media/image22.jpg"/><Relationship Id="rId48" Type="http://schemas.openxmlformats.org/officeDocument/2006/relationships/image" Target="../media/image30.jpg"/><Relationship Id="rId47" Type="http://schemas.openxmlformats.org/officeDocument/2006/relationships/image" Target="../media/image83.jpg"/><Relationship Id="rId49" Type="http://schemas.openxmlformats.org/officeDocument/2006/relationships/image" Target="../media/image26.jpg"/><Relationship Id="rId5" Type="http://schemas.openxmlformats.org/officeDocument/2006/relationships/image" Target="../media/image57.jpg"/><Relationship Id="rId6" Type="http://schemas.openxmlformats.org/officeDocument/2006/relationships/image" Target="../media/image60.jpg"/><Relationship Id="rId7" Type="http://schemas.openxmlformats.org/officeDocument/2006/relationships/image" Target="../media/image78.jpg"/><Relationship Id="rId8" Type="http://schemas.openxmlformats.org/officeDocument/2006/relationships/image" Target="../media/image48.jpg"/><Relationship Id="rId31" Type="http://schemas.openxmlformats.org/officeDocument/2006/relationships/image" Target="../media/image27.jpg"/><Relationship Id="rId30" Type="http://schemas.openxmlformats.org/officeDocument/2006/relationships/image" Target="../media/image62.jpg"/><Relationship Id="rId33" Type="http://schemas.openxmlformats.org/officeDocument/2006/relationships/image" Target="../media/image61.jpg"/><Relationship Id="rId32" Type="http://schemas.openxmlformats.org/officeDocument/2006/relationships/image" Target="../media/image40.jpg"/><Relationship Id="rId35" Type="http://schemas.openxmlformats.org/officeDocument/2006/relationships/image" Target="../media/image67.jpg"/><Relationship Id="rId34" Type="http://schemas.openxmlformats.org/officeDocument/2006/relationships/image" Target="../media/image45.jpg"/><Relationship Id="rId37" Type="http://schemas.openxmlformats.org/officeDocument/2006/relationships/image" Target="../media/image68.jpg"/><Relationship Id="rId36" Type="http://schemas.openxmlformats.org/officeDocument/2006/relationships/image" Target="../media/image41.jpg"/><Relationship Id="rId39" Type="http://schemas.openxmlformats.org/officeDocument/2006/relationships/image" Target="../media/image23.jpg"/><Relationship Id="rId38" Type="http://schemas.openxmlformats.org/officeDocument/2006/relationships/image" Target="../media/image17.jpg"/><Relationship Id="rId62" Type="http://schemas.openxmlformats.org/officeDocument/2006/relationships/image" Target="../media/image51.jpg"/><Relationship Id="rId61" Type="http://schemas.openxmlformats.org/officeDocument/2006/relationships/image" Target="../media/image28.jpg"/><Relationship Id="rId20" Type="http://schemas.openxmlformats.org/officeDocument/2006/relationships/image" Target="../media/image38.jpg"/><Relationship Id="rId63" Type="http://schemas.openxmlformats.org/officeDocument/2006/relationships/image" Target="../media/image7.jpg"/><Relationship Id="rId22" Type="http://schemas.openxmlformats.org/officeDocument/2006/relationships/image" Target="../media/image15.jpg"/><Relationship Id="rId21" Type="http://schemas.openxmlformats.org/officeDocument/2006/relationships/image" Target="../media/image72.jpg"/><Relationship Id="rId24" Type="http://schemas.openxmlformats.org/officeDocument/2006/relationships/image" Target="../media/image13.jpg"/><Relationship Id="rId23" Type="http://schemas.openxmlformats.org/officeDocument/2006/relationships/image" Target="../media/image31.jpg"/><Relationship Id="rId60" Type="http://schemas.openxmlformats.org/officeDocument/2006/relationships/image" Target="../media/image2.jpg"/><Relationship Id="rId26" Type="http://schemas.openxmlformats.org/officeDocument/2006/relationships/image" Target="../media/image24.jpg"/><Relationship Id="rId25" Type="http://schemas.openxmlformats.org/officeDocument/2006/relationships/image" Target="../media/image21.jpg"/><Relationship Id="rId28" Type="http://schemas.openxmlformats.org/officeDocument/2006/relationships/image" Target="../media/image25.jpg"/><Relationship Id="rId27" Type="http://schemas.openxmlformats.org/officeDocument/2006/relationships/image" Target="../media/image85.jpg"/><Relationship Id="rId29" Type="http://schemas.openxmlformats.org/officeDocument/2006/relationships/image" Target="../media/image6.jpg"/><Relationship Id="rId51" Type="http://schemas.openxmlformats.org/officeDocument/2006/relationships/image" Target="../media/image42.jpg"/><Relationship Id="rId50" Type="http://schemas.openxmlformats.org/officeDocument/2006/relationships/image" Target="../media/image49.jpg"/><Relationship Id="rId53" Type="http://schemas.openxmlformats.org/officeDocument/2006/relationships/image" Target="../media/image11.jpg"/><Relationship Id="rId52" Type="http://schemas.openxmlformats.org/officeDocument/2006/relationships/image" Target="../media/image43.jpg"/><Relationship Id="rId11" Type="http://schemas.openxmlformats.org/officeDocument/2006/relationships/image" Target="../media/image64.jpg"/><Relationship Id="rId55" Type="http://schemas.openxmlformats.org/officeDocument/2006/relationships/image" Target="../media/image14.jpg"/><Relationship Id="rId10" Type="http://schemas.openxmlformats.org/officeDocument/2006/relationships/image" Target="../media/image39.jpg"/><Relationship Id="rId54" Type="http://schemas.openxmlformats.org/officeDocument/2006/relationships/image" Target="../media/image18.jpg"/><Relationship Id="rId13" Type="http://schemas.openxmlformats.org/officeDocument/2006/relationships/image" Target="../media/image58.jpg"/><Relationship Id="rId57" Type="http://schemas.openxmlformats.org/officeDocument/2006/relationships/image" Target="../media/image19.jpg"/><Relationship Id="rId12" Type="http://schemas.openxmlformats.org/officeDocument/2006/relationships/image" Target="../media/image84.jpg"/><Relationship Id="rId56" Type="http://schemas.openxmlformats.org/officeDocument/2006/relationships/image" Target="../media/image16.jpg"/><Relationship Id="rId15" Type="http://schemas.openxmlformats.org/officeDocument/2006/relationships/image" Target="../media/image76.jpg"/><Relationship Id="rId59" Type="http://schemas.openxmlformats.org/officeDocument/2006/relationships/image" Target="../media/image55.jpg"/><Relationship Id="rId14" Type="http://schemas.openxmlformats.org/officeDocument/2006/relationships/image" Target="../media/image3.jpg"/><Relationship Id="rId58" Type="http://schemas.openxmlformats.org/officeDocument/2006/relationships/image" Target="../media/image12.jpg"/><Relationship Id="rId17" Type="http://schemas.openxmlformats.org/officeDocument/2006/relationships/image" Target="../media/image4.jpg"/><Relationship Id="rId16" Type="http://schemas.openxmlformats.org/officeDocument/2006/relationships/image" Target="../media/image59.jpg"/><Relationship Id="rId19" Type="http://schemas.openxmlformats.org/officeDocument/2006/relationships/image" Target="../media/image32.jpg"/><Relationship Id="rId18" Type="http://schemas.openxmlformats.org/officeDocument/2006/relationships/image" Target="../media/image5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628650" cy="504825"/>
    <xdr:pic>
      <xdr:nvPicPr>
        <xdr:cNvPr id="0" name="image3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76275" cy="504825"/>
    <xdr:pic>
      <xdr:nvPicPr>
        <xdr:cNvPr id="0" name="image1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628650" cy="504825"/>
    <xdr:pic>
      <xdr:nvPicPr>
        <xdr:cNvPr id="0" name="image1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628650" cy="504825"/>
    <xdr:pic>
      <xdr:nvPicPr>
        <xdr:cNvPr id="0" name="image1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628650" cy="504825"/>
    <xdr:pic>
      <xdr:nvPicPr>
        <xdr:cNvPr id="0" name="image1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628650" cy="504825"/>
    <xdr:pic>
      <xdr:nvPicPr>
        <xdr:cNvPr id="0" name="image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628650" cy="504825"/>
    <xdr:pic>
      <xdr:nvPicPr>
        <xdr:cNvPr id="0" name="image2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628650" cy="504825"/>
    <xdr:pic>
      <xdr:nvPicPr>
        <xdr:cNvPr id="0" name="image5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628650" cy="504825"/>
    <xdr:pic>
      <xdr:nvPicPr>
        <xdr:cNvPr id="0" name="image4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628650" cy="504825"/>
    <xdr:pic>
      <xdr:nvPicPr>
        <xdr:cNvPr id="0" name="image3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28650" cy="504825"/>
    <xdr:pic>
      <xdr:nvPicPr>
        <xdr:cNvPr id="0" name="image5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28650" cy="504825"/>
    <xdr:pic>
      <xdr:nvPicPr>
        <xdr:cNvPr id="0" name="image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28650" cy="504825"/>
    <xdr:pic>
      <xdr:nvPicPr>
        <xdr:cNvPr id="0" name="image9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28650" cy="504825"/>
    <xdr:pic>
      <xdr:nvPicPr>
        <xdr:cNvPr id="0" name="image1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628650" cy="504825"/>
    <xdr:pic>
      <xdr:nvPicPr>
        <xdr:cNvPr id="0" name="image3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628650" cy="504825"/>
    <xdr:pic>
      <xdr:nvPicPr>
        <xdr:cNvPr id="0" name="image2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628650" cy="504825"/>
    <xdr:pic>
      <xdr:nvPicPr>
        <xdr:cNvPr id="0" name="image4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628650" cy="504825"/>
    <xdr:pic>
      <xdr:nvPicPr>
        <xdr:cNvPr id="0" name="image2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542925" cy="504825"/>
    <xdr:pic>
      <xdr:nvPicPr>
        <xdr:cNvPr id="0" name="image1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628650" cy="504825"/>
    <xdr:pic>
      <xdr:nvPicPr>
        <xdr:cNvPr id="0" name="image26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628650" cy="504825"/>
    <xdr:pic>
      <xdr:nvPicPr>
        <xdr:cNvPr id="0" name="image2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628650" cy="504825"/>
    <xdr:pic>
      <xdr:nvPicPr>
        <xdr:cNvPr id="0" name="image4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628650" cy="504825"/>
    <xdr:pic>
      <xdr:nvPicPr>
        <xdr:cNvPr id="0" name="image4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628650" cy="504825"/>
    <xdr:pic>
      <xdr:nvPicPr>
        <xdr:cNvPr id="0" name="image3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628650" cy="504825"/>
    <xdr:pic>
      <xdr:nvPicPr>
        <xdr:cNvPr id="0" name="image48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41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42</xdr:row>
      <xdr:rowOff>0</xdr:rowOff>
    </xdr:from>
    <xdr:ext cx="771525" cy="619125"/>
    <xdr:pic>
      <xdr:nvPicPr>
        <xdr:cNvPr id="0" name="image3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43</xdr:row>
      <xdr:rowOff>0</xdr:rowOff>
    </xdr:from>
    <xdr:ext cx="771525" cy="619125"/>
    <xdr:pic>
      <xdr:nvPicPr>
        <xdr:cNvPr id="0" name="image25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44</xdr:row>
      <xdr:rowOff>0</xdr:rowOff>
    </xdr:from>
    <xdr:ext cx="771525" cy="619125"/>
    <xdr:pic>
      <xdr:nvPicPr>
        <xdr:cNvPr id="0" name="image41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45</xdr:row>
      <xdr:rowOff>0</xdr:rowOff>
    </xdr:from>
    <xdr:ext cx="771525" cy="619125"/>
    <xdr:pic>
      <xdr:nvPicPr>
        <xdr:cNvPr id="0" name="image33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46</xdr:row>
      <xdr:rowOff>0</xdr:rowOff>
    </xdr:from>
    <xdr:ext cx="771525" cy="619125"/>
    <xdr:pic>
      <xdr:nvPicPr>
        <xdr:cNvPr id="0" name="image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47</xdr:row>
      <xdr:rowOff>0</xdr:rowOff>
    </xdr:from>
    <xdr:ext cx="771525" cy="619125"/>
    <xdr:pic>
      <xdr:nvPicPr>
        <xdr:cNvPr id="0" name="image55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0</xdr:row>
      <xdr:rowOff>0</xdr:rowOff>
    </xdr:from>
    <xdr:ext cx="676275" cy="533400"/>
    <xdr:pic>
      <xdr:nvPicPr>
        <xdr:cNvPr id="0" name="image3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0</xdr:row>
      <xdr:rowOff>0</xdr:rowOff>
    </xdr:from>
    <xdr:ext cx="676275" cy="533400"/>
    <xdr:pic>
      <xdr:nvPicPr>
        <xdr:cNvPr id="0" name="image4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0</xdr:rowOff>
    </xdr:from>
    <xdr:ext cx="676275" cy="533400"/>
    <xdr:pic>
      <xdr:nvPicPr>
        <xdr:cNvPr id="0" name="image3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676275" cy="533400"/>
    <xdr:pic>
      <xdr:nvPicPr>
        <xdr:cNvPr id="0" name="image4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</xdr:row>
      <xdr:rowOff>0</xdr:rowOff>
    </xdr:from>
    <xdr:ext cx="676275" cy="533400"/>
    <xdr:pic>
      <xdr:nvPicPr>
        <xdr:cNvPr id="0" name="image2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676275" cy="533400"/>
    <xdr:pic>
      <xdr:nvPicPr>
        <xdr:cNvPr id="0" name="image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90550" cy="542925"/>
    <xdr:pic>
      <xdr:nvPicPr>
        <xdr:cNvPr id="0" name="image1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676275" cy="533400"/>
    <xdr:pic>
      <xdr:nvPicPr>
        <xdr:cNvPr id="0" name="image5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676275" cy="533400"/>
    <xdr:pic>
      <xdr:nvPicPr>
        <xdr:cNvPr id="0" name="image2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676275" cy="533400"/>
    <xdr:pic>
      <xdr:nvPicPr>
        <xdr:cNvPr id="0" name="image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76275" cy="533400"/>
    <xdr:pic>
      <xdr:nvPicPr>
        <xdr:cNvPr id="0" name="image5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676275" cy="533400"/>
    <xdr:pic>
      <xdr:nvPicPr>
        <xdr:cNvPr id="0" name="image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</xdr:row>
      <xdr:rowOff>0</xdr:rowOff>
    </xdr:from>
    <xdr:ext cx="676275" cy="533400"/>
    <xdr:pic>
      <xdr:nvPicPr>
        <xdr:cNvPr id="0" name="image27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</xdr:row>
      <xdr:rowOff>0</xdr:rowOff>
    </xdr:from>
    <xdr:ext cx="676275" cy="5334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676275" cy="533400"/>
    <xdr:pic>
      <xdr:nvPicPr>
        <xdr:cNvPr id="0" name="image2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</xdr:row>
      <xdr:rowOff>0</xdr:rowOff>
    </xdr:from>
    <xdr:ext cx="676275" cy="533400"/>
    <xdr:pic>
      <xdr:nvPicPr>
        <xdr:cNvPr id="0" name="image4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676275" cy="533400"/>
    <xdr:pic>
      <xdr:nvPicPr>
        <xdr:cNvPr id="0" name="image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</xdr:row>
      <xdr:rowOff>0</xdr:rowOff>
    </xdr:from>
    <xdr:ext cx="676275" cy="533400"/>
    <xdr:pic>
      <xdr:nvPicPr>
        <xdr:cNvPr id="0" name="image4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676275" cy="533400"/>
    <xdr:pic>
      <xdr:nvPicPr>
        <xdr:cNvPr id="0" name="image1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</xdr:row>
      <xdr:rowOff>0</xdr:rowOff>
    </xdr:from>
    <xdr:ext cx="676275" cy="533400"/>
    <xdr:pic>
      <xdr:nvPicPr>
        <xdr:cNvPr id="0" name="image16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676275" cy="533400"/>
    <xdr:pic>
      <xdr:nvPicPr>
        <xdr:cNvPr id="0" name="image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1028700" cy="828675"/>
    <xdr:pic>
      <xdr:nvPicPr>
        <xdr:cNvPr id="0" name="image6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028700" cy="828675"/>
    <xdr:pic>
      <xdr:nvPicPr>
        <xdr:cNvPr id="0" name="image5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028700" cy="828675"/>
    <xdr:pic>
      <xdr:nvPicPr>
        <xdr:cNvPr id="0" name="image5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1028700" cy="828675"/>
    <xdr:pic>
      <xdr:nvPicPr>
        <xdr:cNvPr id="0" name="image40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1028700" cy="828675"/>
    <xdr:pic>
      <xdr:nvPicPr>
        <xdr:cNvPr id="0" name="image85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1028700" cy="828675"/>
    <xdr:pic>
      <xdr:nvPicPr>
        <xdr:cNvPr id="0" name="image5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1028700" cy="828675"/>
    <xdr:pic>
      <xdr:nvPicPr>
        <xdr:cNvPr id="0" name="image4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1028700" cy="828675"/>
    <xdr:pic>
      <xdr:nvPicPr>
        <xdr:cNvPr id="0" name="image4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1028700" cy="828675"/>
    <xdr:pic>
      <xdr:nvPicPr>
        <xdr:cNvPr id="0" name="image5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1028700" cy="828675"/>
    <xdr:pic>
      <xdr:nvPicPr>
        <xdr:cNvPr id="0" name="image6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028700" cy="828675"/>
    <xdr:pic>
      <xdr:nvPicPr>
        <xdr:cNvPr id="0" name="image4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1028700" cy="828675"/>
    <xdr:pic>
      <xdr:nvPicPr>
        <xdr:cNvPr id="0" name="image7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1028700" cy="828675"/>
    <xdr:pic>
      <xdr:nvPicPr>
        <xdr:cNvPr id="0" name="image7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1028700" cy="828675"/>
    <xdr:pic>
      <xdr:nvPicPr>
        <xdr:cNvPr id="0" name="image65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1028700" cy="828675"/>
    <xdr:pic>
      <xdr:nvPicPr>
        <xdr:cNvPr id="0" name="image7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1028700" cy="828675"/>
    <xdr:pic>
      <xdr:nvPicPr>
        <xdr:cNvPr id="0" name="image7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1028700" cy="828675"/>
    <xdr:pic>
      <xdr:nvPicPr>
        <xdr:cNvPr id="0" name="image5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1028700" cy="828675"/>
    <xdr:pic>
      <xdr:nvPicPr>
        <xdr:cNvPr id="0" name="image60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1028700" cy="828675"/>
    <xdr:pic>
      <xdr:nvPicPr>
        <xdr:cNvPr id="0" name="image80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1028700" cy="828675"/>
    <xdr:pic>
      <xdr:nvPicPr>
        <xdr:cNvPr id="0" name="image6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028700" cy="828675"/>
    <xdr:pic>
      <xdr:nvPicPr>
        <xdr:cNvPr id="0" name="image6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1028700" cy="828675"/>
    <xdr:pic>
      <xdr:nvPicPr>
        <xdr:cNvPr id="0" name="image8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1028700" cy="828675"/>
    <xdr:pic>
      <xdr:nvPicPr>
        <xdr:cNvPr id="0" name="image86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1028700" cy="828675"/>
    <xdr:pic>
      <xdr:nvPicPr>
        <xdr:cNvPr id="0" name="image8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1028700" cy="828675"/>
    <xdr:pic>
      <xdr:nvPicPr>
        <xdr:cNvPr id="0" name="image63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1028700" cy="828675"/>
    <xdr:pic>
      <xdr:nvPicPr>
        <xdr:cNvPr id="0" name="image7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1028700" cy="828675"/>
    <xdr:pic>
      <xdr:nvPicPr>
        <xdr:cNvPr id="0" name="image58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1028700" cy="828675"/>
    <xdr:pic>
      <xdr:nvPicPr>
        <xdr:cNvPr id="0" name="image54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1028700" cy="828675"/>
    <xdr:pic>
      <xdr:nvPicPr>
        <xdr:cNvPr id="0" name="image75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1028700" cy="828675"/>
    <xdr:pic>
      <xdr:nvPicPr>
        <xdr:cNvPr id="0" name="image70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1028700" cy="828675"/>
    <xdr:pic>
      <xdr:nvPicPr>
        <xdr:cNvPr id="0" name="image7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1028700" cy="828675"/>
    <xdr:pic>
      <xdr:nvPicPr>
        <xdr:cNvPr id="0" name="image66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1028700" cy="828675"/>
    <xdr:pic>
      <xdr:nvPicPr>
        <xdr:cNvPr id="0" name="image64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1028700" cy="828675"/>
    <xdr:pic>
      <xdr:nvPicPr>
        <xdr:cNvPr id="0" name="image8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1028700" cy="828675"/>
    <xdr:pic>
      <xdr:nvPicPr>
        <xdr:cNvPr id="0" name="image5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885825" cy="714375"/>
    <xdr:pic>
      <xdr:nvPicPr>
        <xdr:cNvPr id="0" name="image82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885825" cy="714375"/>
    <xdr:pic>
      <xdr:nvPicPr>
        <xdr:cNvPr id="0" name="image67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714375" cy="571500"/>
    <xdr:pic>
      <xdr:nvPicPr>
        <xdr:cNvPr id="0" name="image73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714375" cy="571500"/>
    <xdr:pic>
      <xdr:nvPicPr>
        <xdr:cNvPr id="0" name="image79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714375" cy="571500"/>
    <xdr:pic>
      <xdr:nvPicPr>
        <xdr:cNvPr id="0" name="image83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0</xdr:rowOff>
    </xdr:from>
    <xdr:ext cx="523875" cy="419100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523875" cy="41910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</xdr:row>
      <xdr:rowOff>0</xdr:rowOff>
    </xdr:from>
    <xdr:ext cx="523875" cy="4191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523875" cy="419100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523875" cy="419100"/>
    <xdr:pic>
      <xdr:nvPicPr>
        <xdr:cNvPr id="0" name="image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523875" cy="419100"/>
    <xdr:pic>
      <xdr:nvPicPr>
        <xdr:cNvPr id="0" name="image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</xdr:row>
      <xdr:rowOff>0</xdr:rowOff>
    </xdr:from>
    <xdr:ext cx="523875" cy="419100"/>
    <xdr:pic>
      <xdr:nvPicPr>
        <xdr:cNvPr id="0" name="image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523875" cy="419100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</xdr:row>
      <xdr:rowOff>0</xdr:rowOff>
    </xdr:from>
    <xdr:ext cx="523875" cy="419100"/>
    <xdr:pic>
      <xdr:nvPicPr>
        <xdr:cNvPr id="0" name="image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2</xdr:row>
      <xdr:rowOff>0</xdr:rowOff>
    </xdr:from>
    <xdr:ext cx="523875" cy="419100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2</xdr:row>
      <xdr:rowOff>0</xdr:rowOff>
    </xdr:from>
    <xdr:ext cx="523875" cy="419100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2</xdr:row>
      <xdr:rowOff>0</xdr:rowOff>
    </xdr:from>
    <xdr:ext cx="523875" cy="41910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2</xdr:row>
      <xdr:rowOff>0</xdr:rowOff>
    </xdr:from>
    <xdr:ext cx="523875" cy="419100"/>
    <xdr:pic>
      <xdr:nvPicPr>
        <xdr:cNvPr id="0" name="image4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</xdr:row>
      <xdr:rowOff>0</xdr:rowOff>
    </xdr:from>
    <xdr:ext cx="523875" cy="476250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3</xdr:row>
      <xdr:rowOff>0</xdr:rowOff>
    </xdr:from>
    <xdr:ext cx="523875" cy="476250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523875" cy="419100"/>
    <xdr:pic>
      <xdr:nvPicPr>
        <xdr:cNvPr id="0" name="image4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</xdr:row>
      <xdr:rowOff>0</xdr:rowOff>
    </xdr:from>
    <xdr:ext cx="523875" cy="419100"/>
    <xdr:pic>
      <xdr:nvPicPr>
        <xdr:cNvPr id="0" name="image3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3</xdr:row>
      <xdr:rowOff>0</xdr:rowOff>
    </xdr:from>
    <xdr:ext cx="523875" cy="419100"/>
    <xdr:pic>
      <xdr:nvPicPr>
        <xdr:cNvPr id="0" name="image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3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3</xdr:row>
      <xdr:rowOff>0</xdr:rowOff>
    </xdr:from>
    <xdr:ext cx="523875" cy="419100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523875" cy="4191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523875" cy="4191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523875" cy="419100"/>
    <xdr:pic>
      <xdr:nvPicPr>
        <xdr:cNvPr id="0" name="image4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523875" cy="419100"/>
    <xdr:pic>
      <xdr:nvPicPr>
        <xdr:cNvPr id="0" name="image2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4</xdr:row>
      <xdr:rowOff>0</xdr:rowOff>
    </xdr:from>
    <xdr:ext cx="523875" cy="419100"/>
    <xdr:pic>
      <xdr:nvPicPr>
        <xdr:cNvPr id="0" name="image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4</xdr:row>
      <xdr:rowOff>0</xdr:rowOff>
    </xdr:from>
    <xdr:ext cx="523875" cy="4191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4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523875" cy="419100"/>
    <xdr:pic>
      <xdr:nvPicPr>
        <xdr:cNvPr id="0" name="image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523875" cy="419100"/>
    <xdr:pic>
      <xdr:nvPicPr>
        <xdr:cNvPr id="0" name="image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6</xdr:row>
      <xdr:rowOff>0</xdr:rowOff>
    </xdr:from>
    <xdr:ext cx="523875" cy="419100"/>
    <xdr:pic>
      <xdr:nvPicPr>
        <xdr:cNvPr id="0" name="image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523875" cy="419100"/>
    <xdr:pic>
      <xdr:nvPicPr>
        <xdr:cNvPr id="0" name="image1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6</xdr:row>
      <xdr:rowOff>0</xdr:rowOff>
    </xdr:from>
    <xdr:ext cx="523875" cy="419100"/>
    <xdr:pic>
      <xdr:nvPicPr>
        <xdr:cNvPr id="0" name="image5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6</xdr:row>
      <xdr:rowOff>0</xdr:rowOff>
    </xdr:from>
    <xdr:ext cx="523875" cy="419100"/>
    <xdr:pic>
      <xdr:nvPicPr>
        <xdr:cNvPr id="0" name="image3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6</xdr:row>
      <xdr:rowOff>0</xdr:rowOff>
    </xdr:from>
    <xdr:ext cx="523875" cy="419100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6</xdr:row>
      <xdr:rowOff>0</xdr:rowOff>
    </xdr:from>
    <xdr:ext cx="523875" cy="419100"/>
    <xdr:pic>
      <xdr:nvPicPr>
        <xdr:cNvPr id="0" name="image6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6</xdr:row>
      <xdr:rowOff>0</xdr:rowOff>
    </xdr:from>
    <xdr:ext cx="523875" cy="419100"/>
    <xdr:pic>
      <xdr:nvPicPr>
        <xdr:cNvPr id="0" name="image5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6</xdr:row>
      <xdr:rowOff>0</xdr:rowOff>
    </xdr:from>
    <xdr:ext cx="619125" cy="495300"/>
    <xdr:pic>
      <xdr:nvPicPr>
        <xdr:cNvPr id="0" name="image8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6</xdr:row>
      <xdr:rowOff>0</xdr:rowOff>
    </xdr:from>
    <xdr:ext cx="619125" cy="495300"/>
    <xdr:pic>
      <xdr:nvPicPr>
        <xdr:cNvPr id="0" name="image6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</xdr:row>
      <xdr:rowOff>0</xdr:rowOff>
    </xdr:from>
    <xdr:ext cx="523875" cy="419100"/>
    <xdr:pic>
      <xdr:nvPicPr>
        <xdr:cNvPr id="0" name="image27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7</xdr:row>
      <xdr:rowOff>0</xdr:rowOff>
    </xdr:from>
    <xdr:ext cx="523875" cy="476250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523875" cy="419100"/>
    <xdr:pic>
      <xdr:nvPicPr>
        <xdr:cNvPr id="0" name="image3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</xdr:row>
      <xdr:rowOff>0</xdr:rowOff>
    </xdr:from>
    <xdr:ext cx="523875" cy="419100"/>
    <xdr:pic>
      <xdr:nvPicPr>
        <xdr:cNvPr id="0" name="image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7</xdr:row>
      <xdr:rowOff>0</xdr:rowOff>
    </xdr:from>
    <xdr:ext cx="523875" cy="419100"/>
    <xdr:pic>
      <xdr:nvPicPr>
        <xdr:cNvPr id="0" name="image4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7</xdr:row>
      <xdr:rowOff>0</xdr:rowOff>
    </xdr:from>
    <xdr:ext cx="523875" cy="41910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7</xdr:row>
      <xdr:rowOff>0</xdr:rowOff>
    </xdr:from>
    <xdr:ext cx="523875" cy="419100"/>
    <xdr:pic>
      <xdr:nvPicPr>
        <xdr:cNvPr id="0" name="image5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7</xdr:row>
      <xdr:rowOff>0</xdr:rowOff>
    </xdr:from>
    <xdr:ext cx="523875" cy="419100"/>
    <xdr:pic>
      <xdr:nvPicPr>
        <xdr:cNvPr id="0" name="image7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7</xdr:row>
      <xdr:rowOff>0</xdr:rowOff>
    </xdr:from>
    <xdr:ext cx="619125" cy="495300"/>
    <xdr:pic>
      <xdr:nvPicPr>
        <xdr:cNvPr id="0" name="image6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7</xdr:row>
      <xdr:rowOff>0</xdr:rowOff>
    </xdr:from>
    <xdr:ext cx="619125" cy="495300"/>
    <xdr:pic>
      <xdr:nvPicPr>
        <xdr:cNvPr id="0" name="image7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</xdr:row>
      <xdr:rowOff>0</xdr:rowOff>
    </xdr:from>
    <xdr:ext cx="523875" cy="419100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8</xdr:row>
      <xdr:rowOff>0</xdr:rowOff>
    </xdr:from>
    <xdr:ext cx="523875" cy="4191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523875" cy="419100"/>
    <xdr:pic>
      <xdr:nvPicPr>
        <xdr:cNvPr id="0" name="image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8</xdr:row>
      <xdr:rowOff>0</xdr:rowOff>
    </xdr:from>
    <xdr:ext cx="523875" cy="419100"/>
    <xdr:pic>
      <xdr:nvPicPr>
        <xdr:cNvPr id="0" name="image3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8</xdr:row>
      <xdr:rowOff>0</xdr:rowOff>
    </xdr:from>
    <xdr:ext cx="523875" cy="419100"/>
    <xdr:pic>
      <xdr:nvPicPr>
        <xdr:cNvPr id="0" name="image2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8</xdr:row>
      <xdr:rowOff>0</xdr:rowOff>
    </xdr:from>
    <xdr:ext cx="523875" cy="4191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8</xdr:row>
      <xdr:rowOff>0</xdr:rowOff>
    </xdr:from>
    <xdr:ext cx="523875" cy="419100"/>
    <xdr:pic>
      <xdr:nvPicPr>
        <xdr:cNvPr id="0" name="image4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8</xdr:row>
      <xdr:rowOff>0</xdr:rowOff>
    </xdr:from>
    <xdr:ext cx="523875" cy="419100"/>
    <xdr:pic>
      <xdr:nvPicPr>
        <xdr:cNvPr id="0" name="image6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</xdr:row>
      <xdr:rowOff>0</xdr:rowOff>
    </xdr:from>
    <xdr:ext cx="619125" cy="495300"/>
    <xdr:pic>
      <xdr:nvPicPr>
        <xdr:cNvPr id="0" name="image6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8</xdr:row>
      <xdr:rowOff>0</xdr:rowOff>
    </xdr:from>
    <xdr:ext cx="619125" cy="495300"/>
    <xdr:pic>
      <xdr:nvPicPr>
        <xdr:cNvPr id="0" name="image5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523875" cy="419100"/>
    <xdr:pic>
      <xdr:nvPicPr>
        <xdr:cNvPr id="0" name="image4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9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9</xdr:row>
      <xdr:rowOff>0</xdr:rowOff>
    </xdr:from>
    <xdr:ext cx="523875" cy="419100"/>
    <xdr:pic>
      <xdr:nvPicPr>
        <xdr:cNvPr id="0" name="image7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9</xdr:row>
      <xdr:rowOff>0</xdr:rowOff>
    </xdr:from>
    <xdr:ext cx="523875" cy="419100"/>
    <xdr:pic>
      <xdr:nvPicPr>
        <xdr:cNvPr id="0" name="image7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9</xdr:row>
      <xdr:rowOff>0</xdr:rowOff>
    </xdr:from>
    <xdr:ext cx="619125" cy="495300"/>
    <xdr:pic>
      <xdr:nvPicPr>
        <xdr:cNvPr id="0" name="image6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523875" cy="419100"/>
    <xdr:pic>
      <xdr:nvPicPr>
        <xdr:cNvPr id="0" name="image4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523875" cy="419100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523875" cy="419100"/>
    <xdr:pic>
      <xdr:nvPicPr>
        <xdr:cNvPr id="0" name="image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13</xdr:row>
      <xdr:rowOff>0</xdr:rowOff>
    </xdr:from>
    <xdr:ext cx="523875" cy="419100"/>
    <xdr:pic>
      <xdr:nvPicPr>
        <xdr:cNvPr id="0" name="image7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523875" cy="419100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523875" cy="41910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523875" cy="419100"/>
    <xdr:pic>
      <xdr:nvPicPr>
        <xdr:cNvPr id="0" name="image4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523875" cy="419100"/>
    <xdr:pic>
      <xdr:nvPicPr>
        <xdr:cNvPr id="0" name="image4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523875" cy="419100"/>
    <xdr:pic>
      <xdr:nvPicPr>
        <xdr:cNvPr id="0" name="image5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523875" cy="41910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523875" cy="419100"/>
    <xdr:pic>
      <xdr:nvPicPr>
        <xdr:cNvPr id="0" name="image8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523875" cy="419100"/>
    <xdr:pic>
      <xdr:nvPicPr>
        <xdr:cNvPr id="0" name="image6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523875" cy="419100"/>
    <xdr:pic>
      <xdr:nvPicPr>
        <xdr:cNvPr id="0" name="image69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523875" cy="419100"/>
    <xdr:pic>
      <xdr:nvPicPr>
        <xdr:cNvPr id="0" name="image53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523875" cy="419100"/>
    <xdr:pic>
      <xdr:nvPicPr>
        <xdr:cNvPr id="0" name="image4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16</xdr:row>
      <xdr:rowOff>0</xdr:rowOff>
    </xdr:from>
    <xdr:ext cx="523875" cy="419100"/>
    <xdr:pic>
      <xdr:nvPicPr>
        <xdr:cNvPr id="0" name="image7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16</xdr:row>
      <xdr:rowOff>0</xdr:rowOff>
    </xdr:from>
    <xdr:ext cx="523875" cy="419100"/>
    <xdr:pic>
      <xdr:nvPicPr>
        <xdr:cNvPr id="0" name="image7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16</xdr:row>
      <xdr:rowOff>0</xdr:rowOff>
    </xdr:from>
    <xdr:ext cx="523875" cy="419100"/>
    <xdr:pic>
      <xdr:nvPicPr>
        <xdr:cNvPr id="0" name="image59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16</xdr:row>
      <xdr:rowOff>0</xdr:rowOff>
    </xdr:from>
    <xdr:ext cx="523875" cy="419100"/>
    <xdr:pic>
      <xdr:nvPicPr>
        <xdr:cNvPr id="0" name="image78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523875" cy="419100"/>
    <xdr:pic>
      <xdr:nvPicPr>
        <xdr:cNvPr id="0" name="image65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16</xdr:row>
      <xdr:rowOff>0</xdr:rowOff>
    </xdr:from>
    <xdr:ext cx="523875" cy="419100"/>
    <xdr:pic>
      <xdr:nvPicPr>
        <xdr:cNvPr id="0" name="image72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16</xdr:row>
      <xdr:rowOff>0</xdr:rowOff>
    </xdr:from>
    <xdr:ext cx="523875" cy="419100"/>
    <xdr:pic>
      <xdr:nvPicPr>
        <xdr:cNvPr id="0" name="image5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0</xdr:colOff>
      <xdr:row>16</xdr:row>
      <xdr:rowOff>0</xdr:rowOff>
    </xdr:from>
    <xdr:ext cx="523875" cy="419100"/>
    <xdr:pic>
      <xdr:nvPicPr>
        <xdr:cNvPr id="0" name="image80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0</xdr:colOff>
      <xdr:row>16</xdr:row>
      <xdr:rowOff>0</xdr:rowOff>
    </xdr:from>
    <xdr:ext cx="523875" cy="419100"/>
    <xdr:pic>
      <xdr:nvPicPr>
        <xdr:cNvPr id="0" name="image6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16</xdr:row>
      <xdr:rowOff>0</xdr:rowOff>
    </xdr:from>
    <xdr:ext cx="523875" cy="419100"/>
    <xdr:pic>
      <xdr:nvPicPr>
        <xdr:cNvPr id="0" name="image6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16</xdr:row>
      <xdr:rowOff>0</xdr:rowOff>
    </xdr:from>
    <xdr:ext cx="523875" cy="419100"/>
    <xdr:pic>
      <xdr:nvPicPr>
        <xdr:cNvPr id="0" name="image6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523875" cy="419100"/>
    <xdr:pic>
      <xdr:nvPicPr>
        <xdr:cNvPr id="0" name="image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523875" cy="476250"/>
    <xdr:pic>
      <xdr:nvPicPr>
        <xdr:cNvPr id="0" name="image15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19</xdr:row>
      <xdr:rowOff>0</xdr:rowOff>
    </xdr:from>
    <xdr:ext cx="523875" cy="419100"/>
    <xdr:pic>
      <xdr:nvPicPr>
        <xdr:cNvPr id="0" name="image2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20</xdr:row>
      <xdr:rowOff>0</xdr:rowOff>
    </xdr:from>
    <xdr:ext cx="523875" cy="419100"/>
    <xdr:pic>
      <xdr:nvPicPr>
        <xdr:cNvPr id="0" name="image5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21</xdr:row>
      <xdr:rowOff>0</xdr:rowOff>
    </xdr:from>
    <xdr:ext cx="523875" cy="419100"/>
    <xdr:pic>
      <xdr:nvPicPr>
        <xdr:cNvPr id="0" name="image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22</xdr:row>
      <xdr:rowOff>0</xdr:rowOff>
    </xdr:from>
    <xdr:ext cx="523875" cy="419100"/>
    <xdr:pic>
      <xdr:nvPicPr>
        <xdr:cNvPr id="0" name="image3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23</xdr:row>
      <xdr:rowOff>0</xdr:rowOff>
    </xdr:from>
    <xdr:ext cx="523875" cy="419100"/>
    <xdr:pic>
      <xdr:nvPicPr>
        <xdr:cNvPr id="0" name="image1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24</xdr:row>
      <xdr:rowOff>0</xdr:rowOff>
    </xdr:from>
    <xdr:ext cx="523875" cy="419100"/>
    <xdr:pic>
      <xdr:nvPicPr>
        <xdr:cNvPr id="0" name="image37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25</xdr:row>
      <xdr:rowOff>0</xdr:rowOff>
    </xdr:from>
    <xdr:ext cx="523875" cy="419100"/>
    <xdr:pic>
      <xdr:nvPicPr>
        <xdr:cNvPr id="0" name="image3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26</xdr:row>
      <xdr:rowOff>0</xdr:rowOff>
    </xdr:from>
    <xdr:ext cx="523875" cy="419100"/>
    <xdr:pic>
      <xdr:nvPicPr>
        <xdr:cNvPr id="0" name="image3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27</xdr:row>
      <xdr:rowOff>0</xdr:rowOff>
    </xdr:from>
    <xdr:ext cx="523875" cy="419100"/>
    <xdr:pic>
      <xdr:nvPicPr>
        <xdr:cNvPr id="0" name="image4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523875" cy="419100"/>
    <xdr:pic>
      <xdr:nvPicPr>
        <xdr:cNvPr id="0" name="image2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523875" cy="419100"/>
    <xdr:pic>
      <xdr:nvPicPr>
        <xdr:cNvPr id="0" name="image3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247650" cy="200025"/>
    <xdr:pic>
      <xdr:nvPicPr>
        <xdr:cNvPr id="0" name="image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247650" cy="200025"/>
    <xdr:pic>
      <xdr:nvPicPr>
        <xdr:cNvPr id="0" name="image8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247650" cy="200025"/>
    <xdr:pic>
      <xdr:nvPicPr>
        <xdr:cNvPr id="0" name="image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247650" cy="200025"/>
    <xdr:pic>
      <xdr:nvPicPr>
        <xdr:cNvPr id="0" name="image8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247650" cy="200025"/>
    <xdr:pic>
      <xdr:nvPicPr>
        <xdr:cNvPr id="0" name="image5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247650" cy="200025"/>
    <xdr:pic>
      <xdr:nvPicPr>
        <xdr:cNvPr id="0" name="image63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39</xdr:row>
      <xdr:rowOff>0</xdr:rowOff>
    </xdr:from>
    <xdr:ext cx="247650" cy="200025"/>
    <xdr:pic>
      <xdr:nvPicPr>
        <xdr:cNvPr id="0" name="image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247650" cy="200025"/>
    <xdr:pic>
      <xdr:nvPicPr>
        <xdr:cNvPr id="0" name="image7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247650" cy="200025"/>
    <xdr:pic>
      <xdr:nvPicPr>
        <xdr:cNvPr id="0" name="image4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247650" cy="200025"/>
    <xdr:pic>
      <xdr:nvPicPr>
        <xdr:cNvPr id="0" name="image77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247650" cy="200025"/>
    <xdr:pic>
      <xdr:nvPicPr>
        <xdr:cNvPr id="0" name="image39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247650" cy="200025"/>
    <xdr:pic>
      <xdr:nvPicPr>
        <xdr:cNvPr id="0" name="image66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247650" cy="200025"/>
    <xdr:pic>
      <xdr:nvPicPr>
        <xdr:cNvPr id="0" name="image3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247650" cy="200025"/>
    <xdr:pic>
      <xdr:nvPicPr>
        <xdr:cNvPr id="0" name="image8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43</xdr:row>
      <xdr:rowOff>0</xdr:rowOff>
    </xdr:from>
    <xdr:ext cx="247650" cy="200025"/>
    <xdr:pic>
      <xdr:nvPicPr>
        <xdr:cNvPr id="0" name="image18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247650" cy="200025"/>
    <xdr:pic>
      <xdr:nvPicPr>
        <xdr:cNvPr id="0" name="image5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247650" cy="200025"/>
    <xdr:pic>
      <xdr:nvPicPr>
        <xdr:cNvPr id="0" name="image8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45</xdr:row>
      <xdr:rowOff>0</xdr:rowOff>
    </xdr:from>
    <xdr:ext cx="247650" cy="200025"/>
    <xdr:pic>
      <xdr:nvPicPr>
        <xdr:cNvPr id="0" name="image67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46</xdr:row>
      <xdr:rowOff>0</xdr:rowOff>
    </xdr:from>
    <xdr:ext cx="247650" cy="200025"/>
    <xdr:pic>
      <xdr:nvPicPr>
        <xdr:cNvPr id="0" name="image5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247650" cy="200025"/>
    <xdr:pic>
      <xdr:nvPicPr>
        <xdr:cNvPr id="0" name="image54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247650" cy="200025"/>
    <xdr:pic>
      <xdr:nvPicPr>
        <xdr:cNvPr id="0" name="image75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49</xdr:row>
      <xdr:rowOff>0</xdr:rowOff>
    </xdr:from>
    <xdr:ext cx="247650" cy="200025"/>
    <xdr:pic>
      <xdr:nvPicPr>
        <xdr:cNvPr id="0" name="image70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50</xdr:row>
      <xdr:rowOff>0</xdr:rowOff>
    </xdr:from>
    <xdr:ext cx="247650" cy="200025"/>
    <xdr:pic>
      <xdr:nvPicPr>
        <xdr:cNvPr id="0" name="image8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51</xdr:row>
      <xdr:rowOff>0</xdr:rowOff>
    </xdr:from>
    <xdr:ext cx="247650" cy="200025"/>
    <xdr:pic>
      <xdr:nvPicPr>
        <xdr:cNvPr id="0" name="image9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52</xdr:row>
      <xdr:rowOff>0</xdr:rowOff>
    </xdr:from>
    <xdr:ext cx="247650" cy="200025"/>
    <xdr:pic>
      <xdr:nvPicPr>
        <xdr:cNvPr id="0" name="image10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53</xdr:row>
      <xdr:rowOff>0</xdr:rowOff>
    </xdr:from>
    <xdr:ext cx="247650" cy="200025"/>
    <xdr:pic>
      <xdr:nvPicPr>
        <xdr:cNvPr id="0" name="image36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54</xdr:row>
      <xdr:rowOff>0</xdr:rowOff>
    </xdr:from>
    <xdr:ext cx="247650" cy="200025"/>
    <xdr:pic>
      <xdr:nvPicPr>
        <xdr:cNvPr id="0" name="image20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55</xdr:row>
      <xdr:rowOff>0</xdr:rowOff>
    </xdr:from>
    <xdr:ext cx="247650" cy="200025"/>
    <xdr:pic>
      <xdr:nvPicPr>
        <xdr:cNvPr id="0" name="image47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60</xdr:row>
      <xdr:rowOff>0</xdr:rowOff>
    </xdr:from>
    <xdr:ext cx="247650" cy="200025"/>
    <xdr:pic>
      <xdr:nvPicPr>
        <xdr:cNvPr id="0" name="image3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247650" cy="200025"/>
    <xdr:pic>
      <xdr:nvPicPr>
        <xdr:cNvPr id="0" name="image8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266700" cy="200025"/>
    <xdr:pic>
      <xdr:nvPicPr>
        <xdr:cNvPr id="0" name="image14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61</xdr:row>
      <xdr:rowOff>0</xdr:rowOff>
    </xdr:from>
    <xdr:ext cx="247650" cy="200025"/>
    <xdr:pic>
      <xdr:nvPicPr>
        <xdr:cNvPr id="0" name="image87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62</xdr:row>
      <xdr:rowOff>0</xdr:rowOff>
    </xdr:from>
    <xdr:ext cx="247650" cy="200025"/>
    <xdr:pic>
      <xdr:nvPicPr>
        <xdr:cNvPr id="0" name="image19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62</xdr:row>
      <xdr:rowOff>0</xdr:rowOff>
    </xdr:from>
    <xdr:ext cx="247650" cy="200025"/>
    <xdr:pic>
      <xdr:nvPicPr>
        <xdr:cNvPr id="0" name="image5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63</xdr:row>
      <xdr:rowOff>0</xdr:rowOff>
    </xdr:from>
    <xdr:ext cx="247650" cy="200025"/>
    <xdr:pic>
      <xdr:nvPicPr>
        <xdr:cNvPr id="0" name="image12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247650" cy="200025"/>
    <xdr:pic>
      <xdr:nvPicPr>
        <xdr:cNvPr id="0" name="image82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247650" cy="200025"/>
    <xdr:pic>
      <xdr:nvPicPr>
        <xdr:cNvPr id="0" name="image2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64</xdr:row>
      <xdr:rowOff>0</xdr:rowOff>
    </xdr:from>
    <xdr:ext cx="247650" cy="200025"/>
    <xdr:pic>
      <xdr:nvPicPr>
        <xdr:cNvPr id="0" name="image67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65</xdr:row>
      <xdr:rowOff>0</xdr:rowOff>
    </xdr:from>
    <xdr:ext cx="247650" cy="200025"/>
    <xdr:pic>
      <xdr:nvPicPr>
        <xdr:cNvPr id="0" name="image28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65</xdr:row>
      <xdr:rowOff>0</xdr:rowOff>
    </xdr:from>
    <xdr:ext cx="247650" cy="200025"/>
    <xdr:pic>
      <xdr:nvPicPr>
        <xdr:cNvPr id="0" name="image5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66</xdr:row>
      <xdr:rowOff>0</xdr:rowOff>
    </xdr:from>
    <xdr:ext cx="247650" cy="200025"/>
    <xdr:pic>
      <xdr:nvPicPr>
        <xdr:cNvPr id="0" name="image1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67</xdr:row>
      <xdr:rowOff>0</xdr:rowOff>
    </xdr:from>
    <xdr:ext cx="247650" cy="200025"/>
    <xdr:pic>
      <xdr:nvPicPr>
        <xdr:cNvPr id="0" name="image1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68</xdr:row>
      <xdr:rowOff>0</xdr:rowOff>
    </xdr:from>
    <xdr:ext cx="247650" cy="200025"/>
    <xdr:pic>
      <xdr:nvPicPr>
        <xdr:cNvPr id="0" name="image22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69</xdr:row>
      <xdr:rowOff>0</xdr:rowOff>
    </xdr:from>
    <xdr:ext cx="247650" cy="200025"/>
    <xdr:pic>
      <xdr:nvPicPr>
        <xdr:cNvPr id="0" name="image29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70</xdr:row>
      <xdr:rowOff>0</xdr:rowOff>
    </xdr:from>
    <xdr:ext cx="247650" cy="200025"/>
    <xdr:pic>
      <xdr:nvPicPr>
        <xdr:cNvPr id="0" name="image13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962025</xdr:colOff>
      <xdr:row>39</xdr:row>
      <xdr:rowOff>161925</xdr:rowOff>
    </xdr:from>
    <xdr:ext cx="285750" cy="533400"/>
    <xdr:pic>
      <xdr:nvPicPr>
        <xdr:cNvPr id="0" name="image9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40</xdr:row>
      <xdr:rowOff>542925</xdr:rowOff>
    </xdr:from>
    <xdr:ext cx="285750" cy="533400"/>
    <xdr:pic>
      <xdr:nvPicPr>
        <xdr:cNvPr id="0" name="image9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42</xdr:row>
      <xdr:rowOff>-9525</xdr:rowOff>
    </xdr:from>
    <xdr:ext cx="285750" cy="533400"/>
    <xdr:pic>
      <xdr:nvPicPr>
        <xdr:cNvPr id="0" name="image88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37</xdr:row>
      <xdr:rowOff>542925</xdr:rowOff>
    </xdr:from>
    <xdr:ext cx="342900" cy="485775"/>
    <xdr:pic>
      <xdr:nvPicPr>
        <xdr:cNvPr id="0" name="image9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36</xdr:row>
      <xdr:rowOff>552450</xdr:rowOff>
    </xdr:from>
    <xdr:ext cx="342900" cy="533400"/>
    <xdr:pic>
      <xdr:nvPicPr>
        <xdr:cNvPr id="0" name="image89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62025" cy="76200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0</xdr:row>
      <xdr:rowOff>0</xdr:rowOff>
    </xdr:from>
    <xdr:ext cx="962025" cy="762000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962025" cy="762000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0</xdr:row>
      <xdr:rowOff>0</xdr:rowOff>
    </xdr:from>
    <xdr:ext cx="962025" cy="762000"/>
    <xdr:pic>
      <xdr:nvPicPr>
        <xdr:cNvPr id="0" name="image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0</xdr:rowOff>
    </xdr:from>
    <xdr:ext cx="962025" cy="762000"/>
    <xdr:pic>
      <xdr:nvPicPr>
        <xdr:cNvPr id="0" name="image4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0</xdr:row>
      <xdr:rowOff>0</xdr:rowOff>
    </xdr:from>
    <xdr:ext cx="962025" cy="762000"/>
    <xdr:pic>
      <xdr:nvPicPr>
        <xdr:cNvPr id="0" name="image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0</xdr:row>
      <xdr:rowOff>0</xdr:rowOff>
    </xdr:from>
    <xdr:ext cx="962025" cy="7620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962025" cy="762000"/>
    <xdr:pic>
      <xdr:nvPicPr>
        <xdr:cNvPr id="0" name="image2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962025" cy="762000"/>
    <xdr:pic>
      <xdr:nvPicPr>
        <xdr:cNvPr id="0" name="image4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962025" cy="762000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</xdr:row>
      <xdr:rowOff>0</xdr:rowOff>
    </xdr:from>
    <xdr:ext cx="933450" cy="857250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962025" cy="762000"/>
    <xdr:pic>
      <xdr:nvPicPr>
        <xdr:cNvPr id="0" name="image4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</xdr:row>
      <xdr:rowOff>0</xdr:rowOff>
    </xdr:from>
    <xdr:ext cx="962025" cy="762000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</xdr:row>
      <xdr:rowOff>0</xdr:rowOff>
    </xdr:from>
    <xdr:ext cx="962025" cy="762000"/>
    <xdr:pic>
      <xdr:nvPicPr>
        <xdr:cNvPr id="0" name="image6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962025" cy="762000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962025" cy="762000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962025" cy="762000"/>
    <xdr:pic>
      <xdr:nvPicPr>
        <xdr:cNvPr id="0" name="image4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962025" cy="762000"/>
    <xdr:pic>
      <xdr:nvPicPr>
        <xdr:cNvPr id="0" name="image2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962025" cy="762000"/>
    <xdr:pic>
      <xdr:nvPicPr>
        <xdr:cNvPr id="0" name="image4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</xdr:row>
      <xdr:rowOff>0</xdr:rowOff>
    </xdr:from>
    <xdr:ext cx="962025" cy="7620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962025" cy="762000"/>
    <xdr:pic>
      <xdr:nvPicPr>
        <xdr:cNvPr id="0" name="image4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</xdr:row>
      <xdr:rowOff>0</xdr:rowOff>
    </xdr:from>
    <xdr:ext cx="962025" cy="762000"/>
    <xdr:pic>
      <xdr:nvPicPr>
        <xdr:cNvPr id="0" name="image2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962025" cy="762000"/>
    <xdr:pic>
      <xdr:nvPicPr>
        <xdr:cNvPr id="0" name="image1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962025" cy="762000"/>
    <xdr:pic>
      <xdr:nvPicPr>
        <xdr:cNvPr id="0" name="image5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962025" cy="762000"/>
    <xdr:pic>
      <xdr:nvPicPr>
        <xdr:cNvPr id="0" name="image5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962025" cy="762000"/>
    <xdr:pic>
      <xdr:nvPicPr>
        <xdr:cNvPr id="0" name="image7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962025" cy="762000"/>
    <xdr:pic>
      <xdr:nvPicPr>
        <xdr:cNvPr id="0" name="image5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962025" cy="762000"/>
    <xdr:pic>
      <xdr:nvPicPr>
        <xdr:cNvPr id="0" name="image8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962025" cy="7620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962025" cy="762000"/>
    <xdr:pic>
      <xdr:nvPicPr>
        <xdr:cNvPr id="0" name="image68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</xdr:row>
      <xdr:rowOff>0</xdr:rowOff>
    </xdr:from>
    <xdr:ext cx="962025" cy="762000"/>
    <xdr:pic>
      <xdr:nvPicPr>
        <xdr:cNvPr id="0" name="image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5</xdr:row>
      <xdr:rowOff>0</xdr:rowOff>
    </xdr:from>
    <xdr:ext cx="962025" cy="762000"/>
    <xdr:pic>
      <xdr:nvPicPr>
        <xdr:cNvPr id="0" name="image3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962025" cy="762000"/>
    <xdr:pic>
      <xdr:nvPicPr>
        <xdr:cNvPr id="0" name="image38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</xdr:row>
      <xdr:rowOff>0</xdr:rowOff>
    </xdr:from>
    <xdr:ext cx="933450" cy="857250"/>
    <xdr:pic>
      <xdr:nvPicPr>
        <xdr:cNvPr id="0" name="image1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962025" cy="762000"/>
    <xdr:pic>
      <xdr:nvPicPr>
        <xdr:cNvPr id="0" name="image6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</xdr:row>
      <xdr:rowOff>0</xdr:rowOff>
    </xdr:from>
    <xdr:ext cx="962025" cy="762000"/>
    <xdr:pic>
      <xdr:nvPicPr>
        <xdr:cNvPr id="0" name="image7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962025" cy="762000"/>
    <xdr:pic>
      <xdr:nvPicPr>
        <xdr:cNvPr id="0" name="image7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962025" cy="762000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962025" cy="762000"/>
    <xdr:pic>
      <xdr:nvPicPr>
        <xdr:cNvPr id="0" name="image6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962025" cy="762000"/>
    <xdr:pic>
      <xdr:nvPicPr>
        <xdr:cNvPr id="0" name="image4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0</xdr:rowOff>
    </xdr:from>
    <xdr:ext cx="962025" cy="762000"/>
    <xdr:pic>
      <xdr:nvPicPr>
        <xdr:cNvPr id="0" name="image3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</xdr:row>
      <xdr:rowOff>0</xdr:rowOff>
    </xdr:from>
    <xdr:ext cx="962025" cy="762000"/>
    <xdr:pic>
      <xdr:nvPicPr>
        <xdr:cNvPr id="0" name="image3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962025" cy="762000"/>
    <xdr:pic>
      <xdr:nvPicPr>
        <xdr:cNvPr id="0" name="image21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962025" cy="762000"/>
    <xdr:pic>
      <xdr:nvPicPr>
        <xdr:cNvPr id="0" name="image2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962025" cy="762000"/>
    <xdr:pic>
      <xdr:nvPicPr>
        <xdr:cNvPr id="0" name="image7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962025" cy="762000"/>
    <xdr:pic>
      <xdr:nvPicPr>
        <xdr:cNvPr id="0" name="image4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962025" cy="762000"/>
    <xdr:pic>
      <xdr:nvPicPr>
        <xdr:cNvPr id="0" name="image6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962025" cy="762000"/>
    <xdr:pic>
      <xdr:nvPicPr>
        <xdr:cNvPr id="0" name="image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962025" cy="762000"/>
    <xdr:pic>
      <xdr:nvPicPr>
        <xdr:cNvPr id="0" name="image69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962025" cy="762000"/>
    <xdr:pic>
      <xdr:nvPicPr>
        <xdr:cNvPr id="0" name="image5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</xdr:row>
      <xdr:rowOff>0</xdr:rowOff>
    </xdr:from>
    <xdr:ext cx="857250" cy="685800"/>
    <xdr:pic>
      <xdr:nvPicPr>
        <xdr:cNvPr id="0" name="image3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9</xdr:row>
      <xdr:rowOff>0</xdr:rowOff>
    </xdr:from>
    <xdr:ext cx="857250" cy="685800"/>
    <xdr:pic>
      <xdr:nvPicPr>
        <xdr:cNvPr id="0" name="image1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857250" cy="685800"/>
    <xdr:pic>
      <xdr:nvPicPr>
        <xdr:cNvPr id="0" name="image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923925" cy="685800"/>
    <xdr:pic>
      <xdr:nvPicPr>
        <xdr:cNvPr id="0" name="image1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61925" cy="123825"/>
    <xdr:pic>
      <xdr:nvPicPr>
        <xdr:cNvPr id="0" name="image3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857250" cy="685800"/>
    <xdr:pic>
      <xdr:nvPicPr>
        <xdr:cNvPr id="0" name="image7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847725" cy="685800"/>
    <xdr:pic>
      <xdr:nvPicPr>
        <xdr:cNvPr id="0" name="image8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857250" cy="685800"/>
    <xdr:pic>
      <xdr:nvPicPr>
        <xdr:cNvPr id="0" name="image6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9</xdr:row>
      <xdr:rowOff>0</xdr:rowOff>
    </xdr:from>
    <xdr:ext cx="857250" cy="685800"/>
    <xdr:pic>
      <xdr:nvPicPr>
        <xdr:cNvPr id="0" name="image81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857250" cy="685800"/>
    <xdr:pic>
      <xdr:nvPicPr>
        <xdr:cNvPr id="0" name="image20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10</xdr:row>
      <xdr:rowOff>0</xdr:rowOff>
    </xdr:from>
    <xdr:ext cx="857250" cy="685800"/>
    <xdr:pic>
      <xdr:nvPicPr>
        <xdr:cNvPr id="0" name="image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857250" cy="685800"/>
    <xdr:pic>
      <xdr:nvPicPr>
        <xdr:cNvPr id="0" name="image3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857250" cy="685800"/>
    <xdr:pic>
      <xdr:nvPicPr>
        <xdr:cNvPr id="0" name="image1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61925" cy="123825"/>
    <xdr:pic>
      <xdr:nvPicPr>
        <xdr:cNvPr id="0" name="image3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857250" cy="685800"/>
    <xdr:pic>
      <xdr:nvPicPr>
        <xdr:cNvPr id="0" name="image75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857250" cy="685800"/>
    <xdr:pic>
      <xdr:nvPicPr>
        <xdr:cNvPr id="0" name="image5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857250" cy="685800"/>
    <xdr:pic>
      <xdr:nvPicPr>
        <xdr:cNvPr id="0" name="image7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10</xdr:row>
      <xdr:rowOff>0</xdr:rowOff>
    </xdr:from>
    <xdr:ext cx="857250" cy="685800"/>
    <xdr:pic>
      <xdr:nvPicPr>
        <xdr:cNvPr id="0" name="image87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</xdr:row>
      <xdr:rowOff>0</xdr:rowOff>
    </xdr:from>
    <xdr:ext cx="857250" cy="685800"/>
    <xdr:pic>
      <xdr:nvPicPr>
        <xdr:cNvPr id="0" name="image47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11</xdr:row>
      <xdr:rowOff>0</xdr:rowOff>
    </xdr:from>
    <xdr:ext cx="857250" cy="685800"/>
    <xdr:pic>
      <xdr:nvPicPr>
        <xdr:cNvPr id="0" name="image8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857250" cy="685800"/>
    <xdr:pic>
      <xdr:nvPicPr>
        <xdr:cNvPr id="0" name="image5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857250" cy="685800"/>
    <xdr:pic>
      <xdr:nvPicPr>
        <xdr:cNvPr id="0" name="image1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857250" cy="685800"/>
    <xdr:pic>
      <xdr:nvPicPr>
        <xdr:cNvPr id="0" name="image74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857250" cy="685800"/>
    <xdr:pic>
      <xdr:nvPicPr>
        <xdr:cNvPr id="0" name="image5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857250" cy="685800"/>
    <xdr:pic>
      <xdr:nvPicPr>
        <xdr:cNvPr id="0" name="image66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12</xdr:row>
      <xdr:rowOff>0</xdr:rowOff>
    </xdr:from>
    <xdr:ext cx="857250" cy="685800"/>
    <xdr:pic>
      <xdr:nvPicPr>
        <xdr:cNvPr id="0" name="image18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857250" cy="685800"/>
    <xdr:pic>
      <xdr:nvPicPr>
        <xdr:cNvPr id="0" name="image51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857250" cy="685800"/>
    <xdr:pic>
      <xdr:nvPicPr>
        <xdr:cNvPr id="0" name="image30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857250" cy="685800"/>
    <xdr:pic>
      <xdr:nvPicPr>
        <xdr:cNvPr id="0" name="image6.jp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12</xdr:row>
      <xdr:rowOff>0</xdr:rowOff>
    </xdr:from>
    <xdr:ext cx="161925" cy="123825"/>
    <xdr:pic>
      <xdr:nvPicPr>
        <xdr:cNvPr id="0" name="image45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857250" cy="685800"/>
    <xdr:pic>
      <xdr:nvPicPr>
        <xdr:cNvPr id="0" name="image54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857250" cy="685800"/>
    <xdr:pic>
      <xdr:nvPicPr>
        <xdr:cNvPr id="0" name="image67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857250" cy="685800"/>
    <xdr:pic>
      <xdr:nvPicPr>
        <xdr:cNvPr id="0" name="image8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61925" cy="123825"/>
    <xdr:pic>
      <xdr:nvPicPr>
        <xdr:cNvPr id="0" name="image28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771525" cy="619125"/>
    <xdr:pic>
      <xdr:nvPicPr>
        <xdr:cNvPr id="0" name="image3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16</xdr:row>
      <xdr:rowOff>0</xdr:rowOff>
    </xdr:from>
    <xdr:ext cx="771525" cy="619125"/>
    <xdr:pic>
      <xdr:nvPicPr>
        <xdr:cNvPr id="0" name="image2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771525" cy="619125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771525" cy="619125"/>
    <xdr:pic>
      <xdr:nvPicPr>
        <xdr:cNvPr id="0" name="image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0</xdr:rowOff>
    </xdr:from>
    <xdr:ext cx="771525" cy="619125"/>
    <xdr:pic>
      <xdr:nvPicPr>
        <xdr:cNvPr id="0" name="image8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771525" cy="619125"/>
    <xdr:pic>
      <xdr:nvPicPr>
        <xdr:cNvPr id="0" name="image5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0</xdr:rowOff>
    </xdr:from>
    <xdr:ext cx="828675" cy="619125"/>
    <xdr:pic>
      <xdr:nvPicPr>
        <xdr:cNvPr id="0" name="image1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17</xdr:row>
      <xdr:rowOff>0</xdr:rowOff>
    </xdr:from>
    <xdr:ext cx="771525" cy="619125"/>
    <xdr:pic>
      <xdr:nvPicPr>
        <xdr:cNvPr id="0" name="image29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771525" cy="619125"/>
    <xdr:pic>
      <xdr:nvPicPr>
        <xdr:cNvPr id="0" name="image1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771525" cy="619125"/>
    <xdr:pic>
      <xdr:nvPicPr>
        <xdr:cNvPr id="0" name="image28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771525" cy="619125"/>
    <xdr:pic>
      <xdr:nvPicPr>
        <xdr:cNvPr id="0" name="image67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771525" cy="619125"/>
    <xdr:pic>
      <xdr:nvPicPr>
        <xdr:cNvPr id="0" name="image87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0</xdr:rowOff>
    </xdr:from>
    <xdr:ext cx="771525" cy="619125"/>
    <xdr:pic>
      <xdr:nvPicPr>
        <xdr:cNvPr id="0" name="image1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18</xdr:row>
      <xdr:rowOff>0</xdr:rowOff>
    </xdr:from>
    <xdr:ext cx="771525" cy="619125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771525" cy="619125"/>
    <xdr:pic>
      <xdr:nvPicPr>
        <xdr:cNvPr id="0" name="image13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771525" cy="619125"/>
    <xdr:pic>
      <xdr:nvPicPr>
        <xdr:cNvPr id="0" name="image8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771525" cy="619125"/>
    <xdr:pic>
      <xdr:nvPicPr>
        <xdr:cNvPr id="0" name="image5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28</xdr:row>
      <xdr:rowOff>0</xdr:rowOff>
    </xdr:from>
    <xdr:ext cx="676275" cy="533400"/>
    <xdr:pic>
      <xdr:nvPicPr>
        <xdr:cNvPr id="0" name="image10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676275" cy="533400"/>
    <xdr:pic>
      <xdr:nvPicPr>
        <xdr:cNvPr id="0" name="image2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723900" cy="533400"/>
    <xdr:pic>
      <xdr:nvPicPr>
        <xdr:cNvPr id="0" name="image1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676275" cy="533400"/>
    <xdr:pic>
      <xdr:nvPicPr>
        <xdr:cNvPr id="0" name="image70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28</xdr:row>
      <xdr:rowOff>0</xdr:rowOff>
    </xdr:from>
    <xdr:ext cx="676275" cy="542925"/>
    <xdr:pic>
      <xdr:nvPicPr>
        <xdr:cNvPr id="0" name="image8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676275" cy="533400"/>
    <xdr:pic>
      <xdr:nvPicPr>
        <xdr:cNvPr id="0" name="image63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29</xdr:row>
      <xdr:rowOff>0</xdr:rowOff>
    </xdr:from>
    <xdr:ext cx="676275" cy="533400"/>
    <xdr:pic>
      <xdr:nvPicPr>
        <xdr:cNvPr id="0" name="image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676275" cy="533400"/>
    <xdr:pic>
      <xdr:nvPicPr>
        <xdr:cNvPr id="0" name="image39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676275" cy="533400"/>
    <xdr:pic>
      <xdr:nvPicPr>
        <xdr:cNvPr id="0" name="image1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676275" cy="533400"/>
    <xdr:pic>
      <xdr:nvPicPr>
        <xdr:cNvPr id="0" name="image75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676275" cy="533400"/>
    <xdr:pic>
      <xdr:nvPicPr>
        <xdr:cNvPr id="0" name="image5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676275" cy="533400"/>
    <xdr:pic>
      <xdr:nvPicPr>
        <xdr:cNvPr id="0" name="image7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30</xdr:row>
      <xdr:rowOff>0</xdr:rowOff>
    </xdr:from>
    <xdr:ext cx="676275" cy="533400"/>
    <xdr:pic>
      <xdr:nvPicPr>
        <xdr:cNvPr id="0" name="image8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676275" cy="533400"/>
    <xdr:pic>
      <xdr:nvPicPr>
        <xdr:cNvPr id="0" name="image5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676275" cy="533400"/>
    <xdr:pic>
      <xdr:nvPicPr>
        <xdr:cNvPr id="0" name="image1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676275" cy="533400"/>
    <xdr:pic>
      <xdr:nvPicPr>
        <xdr:cNvPr id="0" name="image74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676275" cy="533400"/>
    <xdr:pic>
      <xdr:nvPicPr>
        <xdr:cNvPr id="0" name="image5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676275" cy="533400"/>
    <xdr:pic>
      <xdr:nvPicPr>
        <xdr:cNvPr id="0" name="image66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32</xdr:row>
      <xdr:rowOff>0</xdr:rowOff>
    </xdr:from>
    <xdr:ext cx="676275" cy="533400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676275" cy="533400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676275" cy="533400"/>
    <xdr:pic>
      <xdr:nvPicPr>
        <xdr:cNvPr id="0" name="image2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676275" cy="533400"/>
    <xdr:pic>
      <xdr:nvPicPr>
        <xdr:cNvPr id="0" name="image4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32</xdr:row>
      <xdr:rowOff>0</xdr:rowOff>
    </xdr:from>
    <xdr:ext cx="676275" cy="533400"/>
    <xdr:pic>
      <xdr:nvPicPr>
        <xdr:cNvPr id="0" name="image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676275" cy="5334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33</xdr:row>
      <xdr:rowOff>0</xdr:rowOff>
    </xdr:from>
    <xdr:ext cx="676275" cy="533400"/>
    <xdr:pic>
      <xdr:nvPicPr>
        <xdr:cNvPr id="0" name="image26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676275" cy="533400"/>
    <xdr:pic>
      <xdr:nvPicPr>
        <xdr:cNvPr id="0" name="image4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676275" cy="533400"/>
    <xdr:pic>
      <xdr:nvPicPr>
        <xdr:cNvPr id="0" name="image31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676275" cy="533400"/>
    <xdr:pic>
      <xdr:nvPicPr>
        <xdr:cNvPr id="0" name="image4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676275" cy="533400"/>
    <xdr:pic>
      <xdr:nvPicPr>
        <xdr:cNvPr id="0" name="image5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676275" cy="533400"/>
    <xdr:pic>
      <xdr:nvPicPr>
        <xdr:cNvPr id="0" name="image6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34</xdr:row>
      <xdr:rowOff>0</xdr:rowOff>
    </xdr:from>
    <xdr:ext cx="676275" cy="533400"/>
    <xdr:pic>
      <xdr:nvPicPr>
        <xdr:cNvPr id="0" name="image27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34</xdr:row>
      <xdr:rowOff>0</xdr:rowOff>
    </xdr:from>
    <xdr:ext cx="676275" cy="533400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676275" cy="533400"/>
    <xdr:pic>
      <xdr:nvPicPr>
        <xdr:cNvPr id="0" name="image4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676275" cy="533400"/>
    <xdr:pic>
      <xdr:nvPicPr>
        <xdr:cNvPr id="0" name="image4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676275" cy="533400"/>
    <xdr:pic>
      <xdr:nvPicPr>
        <xdr:cNvPr id="0" name="image8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676275" cy="533400"/>
    <xdr:pic>
      <xdr:nvPicPr>
        <xdr:cNvPr id="0" name="image6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36</xdr:row>
      <xdr:rowOff>0</xdr:rowOff>
    </xdr:from>
    <xdr:ext cx="676275" cy="533400"/>
    <xdr:pic>
      <xdr:nvPicPr>
        <xdr:cNvPr id="0" name="image48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36</xdr:row>
      <xdr:rowOff>0</xdr:rowOff>
    </xdr:from>
    <xdr:ext cx="676275" cy="533400"/>
    <xdr:pic>
      <xdr:nvPicPr>
        <xdr:cNvPr id="0" name="image24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676275" cy="533400"/>
    <xdr:pic>
      <xdr:nvPicPr>
        <xdr:cNvPr id="0" name="image17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676275" cy="533400"/>
    <xdr:pic>
      <xdr:nvPicPr>
        <xdr:cNvPr id="0" name="image57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676275" cy="533400"/>
    <xdr:pic>
      <xdr:nvPicPr>
        <xdr:cNvPr id="0" name="image78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676275" cy="533400"/>
    <xdr:pic>
      <xdr:nvPicPr>
        <xdr:cNvPr id="0" name="image59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37</xdr:row>
      <xdr:rowOff>0</xdr:rowOff>
    </xdr:from>
    <xdr:ext cx="676275" cy="533400"/>
    <xdr:pic>
      <xdr:nvPicPr>
        <xdr:cNvPr id="0" name="image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37</xdr:row>
      <xdr:rowOff>0</xdr:rowOff>
    </xdr:from>
    <xdr:ext cx="676275" cy="533400"/>
    <xdr:pic>
      <xdr:nvPicPr>
        <xdr:cNvPr id="0" name="image3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676275" cy="533400"/>
    <xdr:pic>
      <xdr:nvPicPr>
        <xdr:cNvPr id="0" name="image60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676275" cy="533400"/>
    <xdr:pic>
      <xdr:nvPicPr>
        <xdr:cNvPr id="0" name="image72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676275" cy="533400"/>
    <xdr:pic>
      <xdr:nvPicPr>
        <xdr:cNvPr id="0" name="image76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38</xdr:row>
      <xdr:rowOff>0</xdr:rowOff>
    </xdr:from>
    <xdr:ext cx="638175" cy="514350"/>
    <xdr:pic>
      <xdr:nvPicPr>
        <xdr:cNvPr id="0" name="image3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638175" cy="514350"/>
    <xdr:pic>
      <xdr:nvPicPr>
        <xdr:cNvPr id="0" name="image3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638175" cy="514350"/>
    <xdr:pic>
      <xdr:nvPicPr>
        <xdr:cNvPr id="0" name="image7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638175" cy="514350"/>
    <xdr:pic>
      <xdr:nvPicPr>
        <xdr:cNvPr id="0" name="image4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638175" cy="514350"/>
    <xdr:pic>
      <xdr:nvPicPr>
        <xdr:cNvPr id="0" name="image6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40</xdr:row>
      <xdr:rowOff>0</xdr:rowOff>
    </xdr:from>
    <xdr:ext cx="676275" cy="533400"/>
    <xdr:pic>
      <xdr:nvPicPr>
        <xdr:cNvPr id="0" name="image34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40</xdr:row>
      <xdr:rowOff>0</xdr:rowOff>
    </xdr:from>
    <xdr:ext cx="676275" cy="533400"/>
    <xdr:pic>
      <xdr:nvPicPr>
        <xdr:cNvPr id="0" name="image2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676275" cy="533400"/>
    <xdr:pic>
      <xdr:nvPicPr>
        <xdr:cNvPr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676275" cy="533400"/>
    <xdr:pic>
      <xdr:nvPicPr>
        <xdr:cNvPr id="0" name="image82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676275" cy="533400"/>
    <xdr:pic>
      <xdr:nvPicPr>
        <xdr:cNvPr id="0" name="image58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41</xdr:row>
      <xdr:rowOff>0</xdr:rowOff>
    </xdr:from>
    <xdr:ext cx="723900" cy="533400"/>
    <xdr:pic>
      <xdr:nvPicPr>
        <xdr:cNvPr id="0" name="image14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41</xdr:row>
      <xdr:rowOff>0</xdr:rowOff>
    </xdr:from>
    <xdr:ext cx="676275" cy="533400"/>
    <xdr:pic>
      <xdr:nvPicPr>
        <xdr:cNvPr id="0" name="image29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676275" cy="533400"/>
    <xdr:pic>
      <xdr:nvPicPr>
        <xdr:cNvPr id="0" name="image12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676275" cy="533400"/>
    <xdr:pic>
      <xdr:nvPicPr>
        <xdr:cNvPr id="0" name="image67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41</xdr:row>
      <xdr:rowOff>0</xdr:rowOff>
    </xdr:from>
    <xdr:ext cx="676275" cy="533400"/>
    <xdr:pic>
      <xdr:nvPicPr>
        <xdr:cNvPr id="0" name="image87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42</xdr:row>
      <xdr:rowOff>0</xdr:rowOff>
    </xdr:from>
    <xdr:ext cx="676275" cy="533400"/>
    <xdr:pic>
      <xdr:nvPicPr>
        <xdr:cNvPr id="0" name="image1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42</xdr:row>
      <xdr:rowOff>0</xdr:rowOff>
    </xdr:from>
    <xdr:ext cx="676275" cy="533400"/>
    <xdr:pic>
      <xdr:nvPicPr>
        <xdr:cNvPr id="0" name="image11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676275" cy="533400"/>
    <xdr:pic>
      <xdr:nvPicPr>
        <xdr:cNvPr id="0" name="image13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676275" cy="542925"/>
    <xdr:pic>
      <xdr:nvPicPr>
        <xdr:cNvPr id="0" name="image8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676275" cy="533400"/>
    <xdr:pic>
      <xdr:nvPicPr>
        <xdr:cNvPr id="0" name="image56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1</xdr:row>
      <xdr:rowOff>0</xdr:rowOff>
    </xdr:from>
    <xdr:ext cx="628650" cy="504825"/>
    <xdr:pic>
      <xdr:nvPicPr>
        <xdr:cNvPr id="0" name="image37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</xdr:row>
      <xdr:rowOff>0</xdr:rowOff>
    </xdr:from>
    <xdr:ext cx="628650" cy="504825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628650" cy="504825"/>
    <xdr:pic>
      <xdr:nvPicPr>
        <xdr:cNvPr id="0" name="image5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628650" cy="504825"/>
    <xdr:pic>
      <xdr:nvPicPr>
        <xdr:cNvPr id="0" name="image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</xdr:row>
      <xdr:rowOff>0</xdr:rowOff>
    </xdr:from>
    <xdr:ext cx="628650" cy="504825"/>
    <xdr:pic>
      <xdr:nvPicPr>
        <xdr:cNvPr id="0" name="image4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628650" cy="504825"/>
    <xdr:pic>
      <xdr:nvPicPr>
        <xdr:cNvPr id="0" name="image2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</xdr:row>
      <xdr:rowOff>0</xdr:rowOff>
    </xdr:from>
    <xdr:ext cx="628650" cy="504825"/>
    <xdr:pic>
      <xdr:nvPicPr>
        <xdr:cNvPr id="0" name="image3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5</xdr:row>
      <xdr:rowOff>0</xdr:rowOff>
    </xdr:from>
    <xdr:ext cx="628650" cy="504825"/>
    <xdr:pic>
      <xdr:nvPicPr>
        <xdr:cNvPr id="0" name="image8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6</xdr:row>
      <xdr:rowOff>0</xdr:rowOff>
    </xdr:from>
    <xdr:ext cx="628650" cy="504825"/>
    <xdr:pic>
      <xdr:nvPicPr>
        <xdr:cNvPr id="0" name="image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628650" cy="504825"/>
    <xdr:pic>
      <xdr:nvPicPr>
        <xdr:cNvPr id="0" name="image7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6</xdr:row>
      <xdr:rowOff>0</xdr:rowOff>
    </xdr:from>
    <xdr:ext cx="628650" cy="504825"/>
    <xdr:pic>
      <xdr:nvPicPr>
        <xdr:cNvPr id="0" name="image59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7</xdr:row>
      <xdr:rowOff>0</xdr:rowOff>
    </xdr:from>
    <xdr:ext cx="628650" cy="504825"/>
    <xdr:pic>
      <xdr:nvPicPr>
        <xdr:cNvPr id="0" name="image4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7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8</xdr:row>
      <xdr:rowOff>0</xdr:rowOff>
    </xdr:from>
    <xdr:ext cx="628650" cy="504825"/>
    <xdr:pic>
      <xdr:nvPicPr>
        <xdr:cNvPr id="0" name="image52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9</xdr:row>
      <xdr:rowOff>0</xdr:rowOff>
    </xdr:from>
    <xdr:ext cx="628650" cy="504825"/>
    <xdr:pic>
      <xdr:nvPicPr>
        <xdr:cNvPr id="0" name="image3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628650" cy="504825"/>
    <xdr:pic>
      <xdr:nvPicPr>
        <xdr:cNvPr id="0" name="image38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10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11</xdr:row>
      <xdr:rowOff>0</xdr:rowOff>
    </xdr:from>
    <xdr:ext cx="542925" cy="504825"/>
    <xdr:pic>
      <xdr:nvPicPr>
        <xdr:cNvPr id="0" name="image15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11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12</xdr:row>
      <xdr:rowOff>0</xdr:rowOff>
    </xdr:from>
    <xdr:ext cx="628650" cy="504825"/>
    <xdr:pic>
      <xdr:nvPicPr>
        <xdr:cNvPr id="0" name="image3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12</xdr:row>
      <xdr:rowOff>0</xdr:rowOff>
    </xdr:from>
    <xdr:ext cx="628650" cy="504825"/>
    <xdr:pic>
      <xdr:nvPicPr>
        <xdr:cNvPr id="0" name="image7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13</xdr:row>
      <xdr:rowOff>0</xdr:rowOff>
    </xdr:from>
    <xdr:ext cx="628650" cy="504825"/>
    <xdr:pic>
      <xdr:nvPicPr>
        <xdr:cNvPr id="0" name="image13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14</xdr:row>
      <xdr:rowOff>0</xdr:rowOff>
    </xdr:from>
    <xdr:ext cx="628650" cy="504825"/>
    <xdr:pic>
      <xdr:nvPicPr>
        <xdr:cNvPr id="0" name="image21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15</xdr:row>
      <xdr:rowOff>0</xdr:rowOff>
    </xdr:from>
    <xdr:ext cx="628650" cy="504825"/>
    <xdr:pic>
      <xdr:nvPicPr>
        <xdr:cNvPr id="0" name="image24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15</xdr:row>
      <xdr:rowOff>0</xdr:rowOff>
    </xdr:from>
    <xdr:ext cx="628650" cy="504825"/>
    <xdr:pic>
      <xdr:nvPicPr>
        <xdr:cNvPr id="0" name="image85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0</xdr:rowOff>
    </xdr:from>
    <xdr:ext cx="628650" cy="504825"/>
    <xdr:pic>
      <xdr:nvPicPr>
        <xdr:cNvPr id="0" name="image2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16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16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17</xdr:row>
      <xdr:rowOff>0</xdr:rowOff>
    </xdr:from>
    <xdr:ext cx="628650" cy="504825"/>
    <xdr:pic>
      <xdr:nvPicPr>
        <xdr:cNvPr id="0" name="image6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17</xdr:row>
      <xdr:rowOff>0</xdr:rowOff>
    </xdr:from>
    <xdr:ext cx="628650" cy="504825"/>
    <xdr:pic>
      <xdr:nvPicPr>
        <xdr:cNvPr id="0" name="image6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18</xdr:row>
      <xdr:rowOff>0</xdr:rowOff>
    </xdr:from>
    <xdr:ext cx="628650" cy="504825"/>
    <xdr:pic>
      <xdr:nvPicPr>
        <xdr:cNvPr id="0" name="image27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18</xdr:row>
      <xdr:rowOff>0</xdr:rowOff>
    </xdr:from>
    <xdr:ext cx="628650" cy="504825"/>
    <xdr:pic>
      <xdr:nvPicPr>
        <xdr:cNvPr id="0" name="image6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19</xdr:row>
      <xdr:rowOff>0</xdr:rowOff>
    </xdr:from>
    <xdr:ext cx="628650" cy="504825"/>
    <xdr:pic>
      <xdr:nvPicPr>
        <xdr:cNvPr id="0" name="image45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19</xdr:row>
      <xdr:rowOff>0</xdr:rowOff>
    </xdr:from>
    <xdr:ext cx="628650" cy="504825"/>
    <xdr:pic>
      <xdr:nvPicPr>
        <xdr:cNvPr id="0" name="image67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20</xdr:row>
      <xdr:rowOff>0</xdr:rowOff>
    </xdr:from>
    <xdr:ext cx="628650" cy="504825"/>
    <xdr:pic>
      <xdr:nvPicPr>
        <xdr:cNvPr id="0" name="image41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20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20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21</xdr:row>
      <xdr:rowOff>0</xdr:rowOff>
    </xdr:from>
    <xdr:ext cx="628650" cy="504825"/>
    <xdr:pic>
      <xdr:nvPicPr>
        <xdr:cNvPr id="0" name="image17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21</xdr:row>
      <xdr:rowOff>0</xdr:rowOff>
    </xdr:from>
    <xdr:ext cx="628650" cy="504825"/>
    <xdr:pic>
      <xdr:nvPicPr>
        <xdr:cNvPr id="0" name="image7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21</xdr:row>
      <xdr:rowOff>0</xdr:rowOff>
    </xdr:from>
    <xdr:ext cx="628650" cy="504825"/>
    <xdr:pic>
      <xdr:nvPicPr>
        <xdr:cNvPr id="0" name="image60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21</xdr:row>
      <xdr:rowOff>0</xdr:rowOff>
    </xdr:from>
    <xdr:ext cx="628650" cy="504825"/>
    <xdr:pic>
      <xdr:nvPicPr>
        <xdr:cNvPr id="0" name="image5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21</xdr:row>
      <xdr:rowOff>0</xdr:rowOff>
    </xdr:from>
    <xdr:ext cx="628650" cy="504825"/>
    <xdr:pic>
      <xdr:nvPicPr>
        <xdr:cNvPr id="0" name="image7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22</xdr:row>
      <xdr:rowOff>0</xdr:rowOff>
    </xdr:from>
    <xdr:ext cx="628650" cy="504825"/>
    <xdr:pic>
      <xdr:nvPicPr>
        <xdr:cNvPr id="0" name="image23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22</xdr:row>
      <xdr:rowOff>0</xdr:rowOff>
    </xdr:from>
    <xdr:ext cx="628650" cy="504825"/>
    <xdr:pic>
      <xdr:nvPicPr>
        <xdr:cNvPr id="0" name="image5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22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23</xdr:row>
      <xdr:rowOff>0</xdr:rowOff>
    </xdr:from>
    <xdr:ext cx="628650" cy="504825"/>
    <xdr:pic>
      <xdr:nvPicPr>
        <xdr:cNvPr id="0" name="image35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23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23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628650" cy="504825"/>
    <xdr:pic>
      <xdr:nvPicPr>
        <xdr:cNvPr id="0" name="image44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24</xdr:row>
      <xdr:rowOff>0</xdr:rowOff>
    </xdr:from>
    <xdr:ext cx="628650" cy="504825"/>
    <xdr:pic>
      <xdr:nvPicPr>
        <xdr:cNvPr id="0" name="image6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25</xdr:row>
      <xdr:rowOff>0</xdr:rowOff>
    </xdr:from>
    <xdr:ext cx="628650" cy="504825"/>
    <xdr:pic>
      <xdr:nvPicPr>
        <xdr:cNvPr id="0" name="image33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25</xdr:row>
      <xdr:rowOff>0</xdr:rowOff>
    </xdr:from>
    <xdr:ext cx="628650" cy="504825"/>
    <xdr:pic>
      <xdr:nvPicPr>
        <xdr:cNvPr id="0" name="image73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25</xdr:row>
      <xdr:rowOff>0</xdr:rowOff>
    </xdr:from>
    <xdr:ext cx="628650" cy="504825"/>
    <xdr:pic>
      <xdr:nvPicPr>
        <xdr:cNvPr id="0" name="image79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26</xdr:row>
      <xdr:rowOff>0</xdr:rowOff>
    </xdr:from>
    <xdr:ext cx="628650" cy="504825"/>
    <xdr:pic>
      <xdr:nvPicPr>
        <xdr:cNvPr id="0" name="image29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26</xdr:row>
      <xdr:rowOff>0</xdr:rowOff>
    </xdr:from>
    <xdr:ext cx="628650" cy="504825"/>
    <xdr:pic>
      <xdr:nvPicPr>
        <xdr:cNvPr id="0" name="image8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26</xdr:row>
      <xdr:rowOff>0</xdr:rowOff>
    </xdr:from>
    <xdr:ext cx="628650" cy="504825"/>
    <xdr:pic>
      <xdr:nvPicPr>
        <xdr:cNvPr id="0" name="image5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26</xdr:row>
      <xdr:rowOff>0</xdr:rowOff>
    </xdr:from>
    <xdr:ext cx="628650" cy="504825"/>
    <xdr:pic>
      <xdr:nvPicPr>
        <xdr:cNvPr id="0" name="image8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27</xdr:row>
      <xdr:rowOff>0</xdr:rowOff>
    </xdr:from>
    <xdr:ext cx="628650" cy="504825"/>
    <xdr:pic>
      <xdr:nvPicPr>
        <xdr:cNvPr id="0" name="image30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27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27</xdr:row>
      <xdr:rowOff>0</xdr:rowOff>
    </xdr:from>
    <xdr:ext cx="628650" cy="504825"/>
    <xdr:pic>
      <xdr:nvPicPr>
        <xdr:cNvPr id="0" name="image8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27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28</xdr:row>
      <xdr:rowOff>0</xdr:rowOff>
    </xdr:from>
    <xdr:ext cx="628650" cy="504825"/>
    <xdr:pic>
      <xdr:nvPicPr>
        <xdr:cNvPr id="0" name="image2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28</xdr:row>
      <xdr:rowOff>0</xdr:rowOff>
    </xdr:from>
    <xdr:ext cx="628650" cy="504825"/>
    <xdr:pic>
      <xdr:nvPicPr>
        <xdr:cNvPr id="0" name="image4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28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28</xdr:row>
      <xdr:rowOff>0</xdr:rowOff>
    </xdr:from>
    <xdr:ext cx="628650" cy="504825"/>
    <xdr:pic>
      <xdr:nvPicPr>
        <xdr:cNvPr id="0" name="image61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29</xdr:row>
      <xdr:rowOff>0</xdr:rowOff>
    </xdr:from>
    <xdr:ext cx="628650" cy="504825"/>
    <xdr:pic>
      <xdr:nvPicPr>
        <xdr:cNvPr id="0" name="image4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29</xdr:row>
      <xdr:rowOff>0</xdr:rowOff>
    </xdr:from>
    <xdr:ext cx="628650" cy="504825"/>
    <xdr:pic>
      <xdr:nvPicPr>
        <xdr:cNvPr id="0" name="image6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29</xdr:row>
      <xdr:rowOff>0</xdr:rowOff>
    </xdr:from>
    <xdr:ext cx="628650" cy="504825"/>
    <xdr:pic>
      <xdr:nvPicPr>
        <xdr:cNvPr id="0" name="image4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29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29</xdr:row>
      <xdr:rowOff>0</xdr:rowOff>
    </xdr:from>
    <xdr:ext cx="628650" cy="504825"/>
    <xdr:pic>
      <xdr:nvPicPr>
        <xdr:cNvPr id="0" name="image4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30</xdr:row>
      <xdr:rowOff>0</xdr:rowOff>
    </xdr:from>
    <xdr:ext cx="628650" cy="504825"/>
    <xdr:pic>
      <xdr:nvPicPr>
        <xdr:cNvPr id="0" name="image11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30</xdr:row>
      <xdr:rowOff>0</xdr:rowOff>
    </xdr:from>
    <xdr:ext cx="628650" cy="504825"/>
    <xdr:pic>
      <xdr:nvPicPr>
        <xdr:cNvPr id="0" name="image40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30</xdr:row>
      <xdr:rowOff>0</xdr:rowOff>
    </xdr:from>
    <xdr:ext cx="628650" cy="504825"/>
    <xdr:pic>
      <xdr:nvPicPr>
        <xdr:cNvPr id="0" name="image43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30</xdr:row>
      <xdr:rowOff>0</xdr:rowOff>
    </xdr:from>
    <xdr:ext cx="628650" cy="504825"/>
    <xdr:pic>
      <xdr:nvPicPr>
        <xdr:cNvPr id="0" name="image6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30</xdr:row>
      <xdr:rowOff>0</xdr:rowOff>
    </xdr:from>
    <xdr:ext cx="628650" cy="504825"/>
    <xdr:pic>
      <xdr:nvPicPr>
        <xdr:cNvPr id="0" name="image8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31</xdr:row>
      <xdr:rowOff>0</xdr:rowOff>
    </xdr:from>
    <xdr:ext cx="628650" cy="504825"/>
    <xdr:pic>
      <xdr:nvPicPr>
        <xdr:cNvPr id="0" name="image18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31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32</xdr:row>
      <xdr:rowOff>0</xdr:rowOff>
    </xdr:from>
    <xdr:ext cx="676275" cy="504825"/>
    <xdr:pic>
      <xdr:nvPicPr>
        <xdr:cNvPr id="0" name="image14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32</xdr:row>
      <xdr:rowOff>0</xdr:rowOff>
    </xdr:from>
    <xdr:ext cx="628650" cy="504825"/>
    <xdr:pic>
      <xdr:nvPicPr>
        <xdr:cNvPr id="0" name="image58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33</xdr:row>
      <xdr:rowOff>0</xdr:rowOff>
    </xdr:from>
    <xdr:ext cx="628650" cy="504825"/>
    <xdr:pic>
      <xdr:nvPicPr>
        <xdr:cNvPr id="0" name="image16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628650" cy="504825"/>
    <xdr:pic>
      <xdr:nvPicPr>
        <xdr:cNvPr id="0" name="image19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628650" cy="504825"/>
    <xdr:pic>
      <xdr:nvPicPr>
        <xdr:cNvPr id="0" name="image12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36</xdr:row>
      <xdr:rowOff>0</xdr:rowOff>
    </xdr:from>
    <xdr:ext cx="628650" cy="504825"/>
    <xdr:pic>
      <xdr:nvPicPr>
        <xdr:cNvPr id="0" name="image55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37</xdr:row>
      <xdr:rowOff>0</xdr:rowOff>
    </xdr:from>
    <xdr:ext cx="628650" cy="504825"/>
    <xdr:pic>
      <xdr:nvPicPr>
        <xdr:cNvPr id="0" name="image2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38</xdr:row>
      <xdr:rowOff>0</xdr:rowOff>
    </xdr:from>
    <xdr:ext cx="628650" cy="504825"/>
    <xdr:pic>
      <xdr:nvPicPr>
        <xdr:cNvPr id="0" name="image28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39</xdr:row>
      <xdr:rowOff>0</xdr:rowOff>
    </xdr:from>
    <xdr:ext cx="628650" cy="504825"/>
    <xdr:pic>
      <xdr:nvPicPr>
        <xdr:cNvPr id="0" name="image5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40</xdr:row>
      <xdr:rowOff>0</xdr:rowOff>
    </xdr:from>
    <xdr:ext cx="628650" cy="504825"/>
    <xdr:pic>
      <xdr:nvPicPr>
        <xdr:cNvPr id="0" name="image7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Derek Lomas" id="{3e4ace61-2980-40a1-aad7-71ceeb1546aa}" providerId="google-sheets"/>
  <x18tc:person displayName="mullen.tim@gmail.com" id="{b57f385b-f071-4c01-83bf-9bdfd6a5b404}" userId="mullen.tim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" dT="2021-03-16T21:33:33.00" personId="{3e4ace61-2980-40a1-aad7-71ceeb1546aa}" id="{30b94bb9-30fa-4c0a-b690-3acbfb3211e0}" done="0">
    <x18tc:text xml:space="preserve">@mullen.tim@gmail.com I started doing the pairwise similarities, based on the SSIM metric</x18tc:text>
    <x18tc:mentions>
      <x18tc:mention mentionpersonId="{b57f385b-f071-4c01-83bf-9bdfd6a5b404}" mentionId="{f84aed49-1979-4e75-b041-c6bebe71d5bc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5" t="s">
        <v>19</v>
      </c>
      <c r="V1" s="6"/>
      <c r="W1" s="6"/>
      <c r="X1" s="6"/>
      <c r="Y1" s="6"/>
      <c r="Z1" s="6"/>
      <c r="AA1" s="6"/>
    </row>
    <row r="2" ht="39.75" customHeight="1">
      <c r="A2" s="7">
        <v>53.0</v>
      </c>
      <c r="B2" s="7">
        <v>627.0</v>
      </c>
      <c r="C2" s="7"/>
      <c r="E2" s="7">
        <v>1.0</v>
      </c>
      <c r="F2" s="7">
        <v>1.0</v>
      </c>
      <c r="G2" s="7">
        <v>1.0</v>
      </c>
      <c r="I2" s="8"/>
      <c r="J2" s="8">
        <v>0.003</v>
      </c>
      <c r="K2" s="8">
        <v>29.299999999999997</v>
      </c>
      <c r="L2" s="8">
        <v>8.4</v>
      </c>
      <c r="M2" s="8">
        <v>8.0</v>
      </c>
      <c r="N2" s="9">
        <v>0.485</v>
      </c>
      <c r="O2" s="9">
        <v>1.397</v>
      </c>
      <c r="P2" s="9">
        <v>0.716</v>
      </c>
      <c r="Q2" s="9">
        <v>0.705</v>
      </c>
      <c r="T2" s="9"/>
    </row>
    <row r="3" ht="39.75" customHeight="1">
      <c r="A3" s="7">
        <v>53.0</v>
      </c>
      <c r="B3" s="7">
        <v>623.0</v>
      </c>
      <c r="F3" s="7">
        <v>1.0</v>
      </c>
      <c r="G3" s="7">
        <v>1.0</v>
      </c>
      <c r="I3" s="8"/>
      <c r="J3" s="8">
        <v>0.002</v>
      </c>
      <c r="K3" s="8">
        <v>21.7</v>
      </c>
      <c r="L3" s="8">
        <v>5.5</v>
      </c>
      <c r="M3" s="8">
        <v>7.6</v>
      </c>
      <c r="N3" s="9">
        <v>0.609</v>
      </c>
      <c r="O3" s="9">
        <v>1.218</v>
      </c>
      <c r="P3" s="9">
        <v>0.821</v>
      </c>
      <c r="Q3" s="9">
        <v>0.779</v>
      </c>
      <c r="T3" s="9"/>
    </row>
    <row r="4" ht="39.75" customHeight="1">
      <c r="A4" s="7">
        <v>53.0</v>
      </c>
      <c r="B4" s="7">
        <v>625.0</v>
      </c>
      <c r="F4" s="7">
        <v>1.0</v>
      </c>
      <c r="G4" s="7">
        <v>1.0</v>
      </c>
      <c r="H4" s="7">
        <v>1.0</v>
      </c>
      <c r="I4" s="8"/>
      <c r="J4" s="8">
        <v>0.003</v>
      </c>
      <c r="K4" s="8">
        <v>27.400000000000002</v>
      </c>
      <c r="L4" s="8">
        <v>9.6</v>
      </c>
      <c r="M4" s="8">
        <v>6.4</v>
      </c>
      <c r="N4" s="9">
        <v>0.469</v>
      </c>
      <c r="O4" s="9">
        <v>1.984</v>
      </c>
      <c r="P4" s="9">
        <v>0.504</v>
      </c>
      <c r="Q4" s="9">
        <v>0.73</v>
      </c>
      <c r="T4" s="9"/>
    </row>
    <row r="5" ht="39.75" customHeight="1">
      <c r="A5" s="7">
        <v>53.0</v>
      </c>
      <c r="B5" s="7">
        <v>629.0</v>
      </c>
      <c r="F5" s="7">
        <v>1.0</v>
      </c>
      <c r="G5" s="7">
        <v>1.0</v>
      </c>
      <c r="I5" s="8"/>
      <c r="J5" s="8">
        <v>0.003</v>
      </c>
      <c r="K5" s="8">
        <v>28.000000000000004</v>
      </c>
      <c r="L5" s="8">
        <v>9.0</v>
      </c>
      <c r="M5" s="8">
        <v>7.199999999999999</v>
      </c>
      <c r="N5" s="9">
        <v>0.479</v>
      </c>
      <c r="O5" s="9">
        <v>1.663</v>
      </c>
      <c r="P5" s="9">
        <v>0.601</v>
      </c>
      <c r="Q5" s="9">
        <v>0.708</v>
      </c>
      <c r="T5" s="9"/>
    </row>
    <row r="6" ht="39.75" customHeight="1">
      <c r="A6" s="7">
        <v>53.0</v>
      </c>
      <c r="B6" s="7">
        <v>631.0</v>
      </c>
      <c r="F6" s="7">
        <v>1.0</v>
      </c>
      <c r="G6" s="7">
        <v>1.0</v>
      </c>
      <c r="I6" s="8"/>
      <c r="J6" s="8">
        <v>0.007</v>
      </c>
      <c r="K6" s="8">
        <v>43.8</v>
      </c>
      <c r="L6" s="8">
        <v>15.4</v>
      </c>
      <c r="M6" s="8">
        <v>9.8</v>
      </c>
      <c r="N6" s="9">
        <v>0.442</v>
      </c>
      <c r="O6" s="9">
        <v>2.429</v>
      </c>
      <c r="P6" s="9">
        <v>0.412</v>
      </c>
      <c r="Q6" s="9">
        <v>0.696</v>
      </c>
      <c r="T6" s="9"/>
    </row>
    <row r="7" ht="39.75" customHeight="1">
      <c r="A7" s="7">
        <v>53.0</v>
      </c>
      <c r="B7" s="7">
        <v>632.0</v>
      </c>
      <c r="F7" s="7">
        <v>1.0</v>
      </c>
      <c r="G7" s="7">
        <v>1.0</v>
      </c>
      <c r="I7" s="8"/>
      <c r="J7" s="8">
        <v>0.006</v>
      </c>
      <c r="K7" s="8">
        <v>37.3</v>
      </c>
      <c r="L7" s="8">
        <v>10.2</v>
      </c>
      <c r="M7" s="8">
        <v>12.5</v>
      </c>
      <c r="N7" s="9">
        <v>0.535</v>
      </c>
      <c r="O7" s="9">
        <v>2.064</v>
      </c>
      <c r="P7" s="9">
        <v>0.485</v>
      </c>
      <c r="Q7" s="9">
        <v>0.818</v>
      </c>
      <c r="T7" s="9"/>
    </row>
    <row r="8" ht="39.75" customHeight="1">
      <c r="A8" s="7">
        <v>53.0</v>
      </c>
      <c r="B8" s="7">
        <v>620.0</v>
      </c>
      <c r="E8" s="7">
        <v>1.0</v>
      </c>
      <c r="G8" s="7">
        <v>1.0</v>
      </c>
      <c r="I8" s="8"/>
      <c r="J8" s="8">
        <v>0.005</v>
      </c>
      <c r="K8" s="8">
        <v>29.9</v>
      </c>
      <c r="L8" s="8">
        <v>9.4</v>
      </c>
      <c r="M8" s="8">
        <v>8.4</v>
      </c>
      <c r="N8" s="9">
        <v>0.639</v>
      </c>
      <c r="O8" s="9">
        <v>1.23</v>
      </c>
      <c r="P8" s="9">
        <v>0.813</v>
      </c>
      <c r="Q8" s="9">
        <v>0.819</v>
      </c>
      <c r="T8" s="9"/>
    </row>
    <row r="9" ht="39.75" customHeight="1">
      <c r="A9" s="7">
        <v>53.0</v>
      </c>
      <c r="B9" s="7">
        <v>624.0</v>
      </c>
      <c r="E9" s="7">
        <v>1.0</v>
      </c>
      <c r="G9" s="7">
        <v>1.0</v>
      </c>
      <c r="I9" s="8"/>
      <c r="J9" s="8">
        <v>0.003</v>
      </c>
      <c r="K9" s="8">
        <v>27.3</v>
      </c>
      <c r="L9" s="8">
        <v>8.0</v>
      </c>
      <c r="M9" s="8">
        <v>8.200000000000001</v>
      </c>
      <c r="N9" s="9">
        <v>0.514</v>
      </c>
      <c r="O9" s="9">
        <v>1.323</v>
      </c>
      <c r="P9" s="9">
        <v>0.756</v>
      </c>
      <c r="Q9" s="9">
        <v>0.715</v>
      </c>
      <c r="T9" s="9"/>
    </row>
    <row r="10" ht="39.75" customHeight="1">
      <c r="A10" s="7">
        <v>53.0</v>
      </c>
      <c r="B10" s="7">
        <v>605.0</v>
      </c>
      <c r="G10" s="7">
        <v>1.0</v>
      </c>
      <c r="I10" s="8"/>
      <c r="J10" s="8">
        <v>0.003</v>
      </c>
      <c r="K10" s="8">
        <v>28.4</v>
      </c>
      <c r="L10" s="8">
        <v>9.2</v>
      </c>
      <c r="M10" s="8">
        <v>7.3999999999999995</v>
      </c>
      <c r="N10" s="9">
        <v>0.508</v>
      </c>
      <c r="O10" s="9">
        <v>1.572</v>
      </c>
      <c r="P10" s="9">
        <v>0.636</v>
      </c>
      <c r="Q10" s="9">
        <v>0.715</v>
      </c>
      <c r="T10" s="9"/>
    </row>
    <row r="11" ht="39.75" customHeight="1">
      <c r="A11" s="7">
        <v>53.0</v>
      </c>
      <c r="B11" s="7">
        <v>612.0</v>
      </c>
      <c r="G11" s="7">
        <v>1.0</v>
      </c>
      <c r="I11" s="8"/>
      <c r="J11" s="8">
        <v>0.003</v>
      </c>
      <c r="K11" s="8">
        <v>24.099999999999998</v>
      </c>
      <c r="L11" s="8">
        <v>7.3999999999999995</v>
      </c>
      <c r="M11" s="8">
        <v>6.800000000000001</v>
      </c>
      <c r="N11" s="9">
        <v>0.599</v>
      </c>
      <c r="O11" s="9">
        <v>1.337</v>
      </c>
      <c r="P11" s="9">
        <v>0.748</v>
      </c>
      <c r="Q11" s="9">
        <v>0.773</v>
      </c>
      <c r="T11" s="9"/>
    </row>
    <row r="12" ht="39.75" customHeight="1">
      <c r="A12" s="7">
        <v>53.0</v>
      </c>
      <c r="B12" s="7">
        <v>638.0</v>
      </c>
      <c r="G12" s="7">
        <v>1.0</v>
      </c>
      <c r="H12" s="7">
        <v>1.0</v>
      </c>
      <c r="I12" s="8"/>
      <c r="J12" s="8">
        <v>0.004</v>
      </c>
      <c r="K12" s="8">
        <v>30.7</v>
      </c>
      <c r="L12" s="8">
        <v>9.4</v>
      </c>
      <c r="M12" s="8">
        <v>8.6</v>
      </c>
      <c r="N12" s="9">
        <v>0.469</v>
      </c>
      <c r="O12" s="9">
        <v>1.355</v>
      </c>
      <c r="P12" s="9">
        <v>0.738</v>
      </c>
      <c r="Q12" s="9">
        <v>0.682</v>
      </c>
      <c r="T12" s="9"/>
    </row>
    <row r="13" ht="39.75" customHeight="1">
      <c r="A13" s="7">
        <v>53.0</v>
      </c>
      <c r="B13" s="7">
        <v>622.0</v>
      </c>
      <c r="E13" s="7">
        <v>1.0</v>
      </c>
      <c r="F13" s="7">
        <v>1.0</v>
      </c>
      <c r="I13" s="8"/>
      <c r="J13" s="8">
        <v>0.002</v>
      </c>
      <c r="K13" s="8">
        <v>19.6</v>
      </c>
      <c r="L13" s="8">
        <v>5.3</v>
      </c>
      <c r="M13" s="8">
        <v>6.1</v>
      </c>
      <c r="N13" s="9">
        <v>0.568</v>
      </c>
      <c r="O13" s="9">
        <v>1.234</v>
      </c>
      <c r="P13" s="9">
        <v>0.811</v>
      </c>
      <c r="Q13" s="9">
        <v>0.764</v>
      </c>
      <c r="T13" s="9"/>
    </row>
    <row r="14" ht="39.75" customHeight="1">
      <c r="A14" s="7">
        <v>53.0</v>
      </c>
      <c r="B14" s="7">
        <v>619.0</v>
      </c>
      <c r="C14" s="7">
        <v>1.0</v>
      </c>
      <c r="F14" s="7">
        <v>1.0</v>
      </c>
      <c r="I14" s="8"/>
      <c r="J14" s="8">
        <v>0.005</v>
      </c>
      <c r="K14" s="8">
        <v>42.699999999999996</v>
      </c>
      <c r="L14" s="8">
        <v>13.5</v>
      </c>
      <c r="M14" s="8">
        <v>11.3</v>
      </c>
      <c r="N14" s="9">
        <v>0.348</v>
      </c>
      <c r="O14" s="9">
        <v>1.749</v>
      </c>
      <c r="P14" s="9">
        <v>0.572</v>
      </c>
      <c r="Q14" s="9">
        <v>0.554</v>
      </c>
      <c r="R14" s="7">
        <v>94.0</v>
      </c>
      <c r="S14" s="7">
        <v>94.0</v>
      </c>
      <c r="T14" s="9">
        <f>R14/S14</f>
        <v>1</v>
      </c>
    </row>
    <row r="15" ht="39.75" customHeight="1">
      <c r="A15" s="7">
        <v>53.0</v>
      </c>
      <c r="B15" s="7">
        <v>602.0</v>
      </c>
      <c r="F15" s="7">
        <v>1.0</v>
      </c>
      <c r="I15" s="8"/>
      <c r="J15" s="8">
        <v>0.005</v>
      </c>
      <c r="K15" s="8">
        <v>39.900000000000006</v>
      </c>
      <c r="L15" s="8">
        <v>13.5</v>
      </c>
      <c r="M15" s="8">
        <v>9.0</v>
      </c>
      <c r="N15" s="9">
        <v>0.355</v>
      </c>
      <c r="O15" s="9">
        <v>2.338</v>
      </c>
      <c r="P15" s="9">
        <v>0.428</v>
      </c>
      <c r="Q15" s="9">
        <v>0.586</v>
      </c>
      <c r="T15" s="9"/>
    </row>
    <row r="16" ht="39.75" customHeight="1">
      <c r="A16" s="7">
        <v>53.0</v>
      </c>
      <c r="B16" s="7">
        <v>604.0</v>
      </c>
      <c r="F16" s="7">
        <v>1.0</v>
      </c>
      <c r="I16" s="8"/>
      <c r="J16" s="8">
        <v>0.005</v>
      </c>
      <c r="K16" s="8">
        <v>29.2</v>
      </c>
      <c r="L16" s="8">
        <v>10.7</v>
      </c>
      <c r="M16" s="8">
        <v>6.1</v>
      </c>
      <c r="N16" s="9">
        <v>0.68</v>
      </c>
      <c r="O16" s="9">
        <v>2.091</v>
      </c>
      <c r="P16" s="9">
        <v>0.478</v>
      </c>
      <c r="Q16" s="9">
        <v>0.923</v>
      </c>
      <c r="T16" s="9"/>
    </row>
    <row r="17" ht="39.75" customHeight="1">
      <c r="A17" s="7">
        <v>53.0</v>
      </c>
      <c r="B17" s="7">
        <v>613.0</v>
      </c>
      <c r="F17" s="7">
        <v>1.0</v>
      </c>
      <c r="I17" s="8"/>
      <c r="J17" s="8">
        <v>0.009</v>
      </c>
      <c r="K17" s="8">
        <v>54.0</v>
      </c>
      <c r="L17" s="8">
        <v>17.2</v>
      </c>
      <c r="M17" s="8">
        <v>13.900000000000002</v>
      </c>
      <c r="N17" s="9">
        <v>0.379</v>
      </c>
      <c r="O17" s="9">
        <v>1.907</v>
      </c>
      <c r="P17" s="9">
        <v>0.525</v>
      </c>
      <c r="Q17" s="9">
        <v>0.622</v>
      </c>
      <c r="T17" s="9"/>
    </row>
    <row r="18" ht="39.75" customHeight="1">
      <c r="A18" s="7">
        <v>53.0</v>
      </c>
      <c r="B18" s="7">
        <v>615.0</v>
      </c>
      <c r="F18" s="7">
        <v>1.0</v>
      </c>
      <c r="I18" s="8"/>
      <c r="J18" s="8">
        <v>0.005</v>
      </c>
      <c r="K18" s="8">
        <v>40.6</v>
      </c>
      <c r="L18" s="8">
        <v>13.5</v>
      </c>
      <c r="M18" s="8">
        <v>9.8</v>
      </c>
      <c r="N18" s="9">
        <v>0.409</v>
      </c>
      <c r="O18" s="9">
        <v>2.346</v>
      </c>
      <c r="P18" s="9">
        <v>0.426</v>
      </c>
      <c r="Q18" s="9">
        <v>0.649</v>
      </c>
      <c r="T18" s="9"/>
    </row>
    <row r="19" ht="39.75" customHeight="1">
      <c r="A19" s="7">
        <v>53.0</v>
      </c>
      <c r="B19" s="7">
        <v>621.0</v>
      </c>
      <c r="F19" s="7">
        <v>1.0</v>
      </c>
      <c r="H19" s="7">
        <v>1.0</v>
      </c>
      <c r="I19" s="8"/>
      <c r="J19" s="8">
        <v>0.003</v>
      </c>
      <c r="K19" s="8">
        <v>26.200000000000003</v>
      </c>
      <c r="L19" s="8">
        <v>7.8</v>
      </c>
      <c r="M19" s="8">
        <v>7.6</v>
      </c>
      <c r="N19" s="9">
        <v>0.489</v>
      </c>
      <c r="O19" s="9">
        <v>1.542</v>
      </c>
      <c r="P19" s="9">
        <v>0.649</v>
      </c>
      <c r="Q19" s="9">
        <v>0.707</v>
      </c>
      <c r="T19" s="9"/>
    </row>
    <row r="20" ht="39.75" customHeight="1">
      <c r="A20" s="7">
        <v>53.0</v>
      </c>
      <c r="B20" s="7">
        <v>634.0</v>
      </c>
      <c r="F20" s="7">
        <v>1.0</v>
      </c>
      <c r="H20" s="7">
        <v>1.0</v>
      </c>
      <c r="I20" s="8"/>
      <c r="J20" s="8">
        <v>0.004</v>
      </c>
      <c r="K20" s="8">
        <v>33.800000000000004</v>
      </c>
      <c r="L20" s="8">
        <v>10.5</v>
      </c>
      <c r="M20" s="8">
        <v>9.2</v>
      </c>
      <c r="N20" s="9">
        <v>0.409</v>
      </c>
      <c r="O20" s="9">
        <v>1.527</v>
      </c>
      <c r="P20" s="9">
        <v>0.655</v>
      </c>
      <c r="Q20" s="9">
        <v>0.663</v>
      </c>
      <c r="T20" s="9"/>
    </row>
    <row r="21" ht="39.75" customHeight="1">
      <c r="B21" s="7" t="s">
        <v>20</v>
      </c>
      <c r="F21" s="7">
        <v>1.0</v>
      </c>
      <c r="I21" s="8"/>
      <c r="J21" s="7">
        <v>84.247</v>
      </c>
      <c r="K21" s="10">
        <v>47.224</v>
      </c>
      <c r="L21" s="10">
        <v>14.889</v>
      </c>
      <c r="M21" s="7">
        <v>12.556</v>
      </c>
      <c r="N21" s="7">
        <v>0.475</v>
      </c>
      <c r="O21" s="7">
        <v>1.748</v>
      </c>
      <c r="P21" s="7">
        <v>0.572</v>
      </c>
      <c r="Q21" s="7">
        <v>0.751</v>
      </c>
      <c r="T21" s="9"/>
    </row>
    <row r="22" ht="39.75" customHeight="1">
      <c r="B22" s="7" t="s">
        <v>21</v>
      </c>
      <c r="F22" s="7">
        <v>1.0</v>
      </c>
      <c r="I22" s="8"/>
      <c r="J22" s="7">
        <v>167.309</v>
      </c>
      <c r="K22" s="10">
        <v>64.951</v>
      </c>
      <c r="L22" s="10">
        <v>20.667</v>
      </c>
      <c r="M22" s="7">
        <v>17.667</v>
      </c>
      <c r="N22" s="7">
        <v>0.498</v>
      </c>
      <c r="O22" s="7">
        <v>1.651</v>
      </c>
      <c r="P22" s="7">
        <v>0.606</v>
      </c>
      <c r="Q22" s="7">
        <v>0.777</v>
      </c>
      <c r="T22" s="9"/>
    </row>
    <row r="23" ht="39.75" customHeight="1">
      <c r="B23" s="7" t="s">
        <v>22</v>
      </c>
      <c r="F23" s="7">
        <v>1.0</v>
      </c>
      <c r="I23" s="8"/>
      <c r="J23" s="7">
        <v>99.864</v>
      </c>
      <c r="K23" s="10">
        <v>53.642</v>
      </c>
      <c r="L23" s="10">
        <v>17.0</v>
      </c>
      <c r="M23" s="7">
        <v>13.444</v>
      </c>
      <c r="N23" s="7">
        <v>0.436</v>
      </c>
      <c r="O23" s="7">
        <v>2.05</v>
      </c>
      <c r="P23" s="7">
        <v>0.488</v>
      </c>
      <c r="Q23" s="7">
        <v>0.711</v>
      </c>
      <c r="T23" s="9"/>
    </row>
    <row r="24" ht="39.75" customHeight="1">
      <c r="B24" s="7" t="s">
        <v>23</v>
      </c>
      <c r="F24" s="7">
        <v>1.0</v>
      </c>
      <c r="I24" s="8"/>
      <c r="J24" s="7">
        <v>86.395</v>
      </c>
      <c r="K24" s="10">
        <v>44.407</v>
      </c>
      <c r="L24" s="10">
        <v>14.111</v>
      </c>
      <c r="M24" s="7">
        <v>11.444</v>
      </c>
      <c r="N24" s="7">
        <v>0.551</v>
      </c>
      <c r="O24" s="7">
        <v>1.766</v>
      </c>
      <c r="P24" s="7">
        <v>0.566</v>
      </c>
      <c r="Q24" s="7">
        <v>0.82</v>
      </c>
      <c r="T24" s="9"/>
    </row>
    <row r="25" ht="39.75" customHeight="1">
      <c r="B25" s="7" t="s">
        <v>24</v>
      </c>
      <c r="F25" s="7">
        <v>1.0</v>
      </c>
      <c r="I25" s="8"/>
      <c r="J25" s="7">
        <v>111.074</v>
      </c>
      <c r="K25" s="10">
        <v>51.788</v>
      </c>
      <c r="L25" s="10">
        <v>15.222</v>
      </c>
      <c r="M25" s="7">
        <v>14.889</v>
      </c>
      <c r="N25" s="7">
        <v>0.52</v>
      </c>
      <c r="O25" s="7">
        <v>1.515</v>
      </c>
      <c r="P25" s="7">
        <v>0.66</v>
      </c>
      <c r="Q25" s="7">
        <v>0.787</v>
      </c>
    </row>
    <row r="26" ht="39.75" customHeight="1">
      <c r="B26" s="7" t="s">
        <v>25</v>
      </c>
      <c r="F26" s="7">
        <v>1.0</v>
      </c>
      <c r="I26" s="8"/>
      <c r="J26" s="7">
        <v>107.79</v>
      </c>
      <c r="K26" s="10">
        <v>55.175</v>
      </c>
      <c r="L26" s="10">
        <v>16.889</v>
      </c>
      <c r="M26" s="7">
        <v>15.222</v>
      </c>
      <c r="N26" s="7">
        <v>0.445</v>
      </c>
      <c r="O26" s="7">
        <v>1.576</v>
      </c>
      <c r="P26" s="7">
        <v>0.634</v>
      </c>
      <c r="Q26" s="7">
        <v>0.708</v>
      </c>
    </row>
    <row r="27" ht="39.75" customHeight="1">
      <c r="A27" s="7">
        <v>53.0</v>
      </c>
      <c r="B27" s="7">
        <v>595.0</v>
      </c>
      <c r="C27" s="7">
        <v>1.0</v>
      </c>
      <c r="E27" s="7">
        <v>1.0</v>
      </c>
      <c r="I27" s="8"/>
      <c r="J27" s="8">
        <v>0.004</v>
      </c>
      <c r="K27" s="8">
        <v>33.6</v>
      </c>
      <c r="L27" s="8">
        <v>8.6</v>
      </c>
      <c r="M27" s="8">
        <v>10.2</v>
      </c>
      <c r="N27" s="9">
        <v>0.43</v>
      </c>
      <c r="O27" s="9">
        <v>1.135</v>
      </c>
      <c r="P27" s="9">
        <v>0.881</v>
      </c>
      <c r="Q27" s="9">
        <v>0.66</v>
      </c>
      <c r="R27" s="7">
        <v>164.0</v>
      </c>
      <c r="S27" s="7">
        <v>143.0</v>
      </c>
      <c r="T27" s="9">
        <f t="shared" ref="T27:T29" si="1">R27/S27</f>
        <v>1.146853147</v>
      </c>
    </row>
    <row r="28" ht="39.75" customHeight="1">
      <c r="A28" s="7">
        <v>53.0</v>
      </c>
      <c r="B28" s="7">
        <v>628.0</v>
      </c>
      <c r="C28" s="7">
        <v>1.0</v>
      </c>
      <c r="E28" s="7">
        <v>1.0</v>
      </c>
      <c r="I28" s="8"/>
      <c r="J28" s="8">
        <v>0.004</v>
      </c>
      <c r="K28" s="8">
        <v>29.4</v>
      </c>
      <c r="L28" s="8">
        <v>8.200000000000001</v>
      </c>
      <c r="M28" s="8">
        <v>9.0</v>
      </c>
      <c r="N28" s="9">
        <v>0.523</v>
      </c>
      <c r="O28" s="9">
        <v>1.32</v>
      </c>
      <c r="P28" s="9">
        <v>0.758</v>
      </c>
      <c r="Q28" s="9">
        <v>0.731</v>
      </c>
      <c r="R28" s="7">
        <v>155.0</v>
      </c>
      <c r="S28" s="7">
        <v>143.0</v>
      </c>
      <c r="T28" s="9">
        <f t="shared" si="1"/>
        <v>1.083916084</v>
      </c>
    </row>
    <row r="29" ht="39.75" customHeight="1">
      <c r="A29" s="7">
        <v>53.0</v>
      </c>
      <c r="B29" s="7">
        <v>616.0</v>
      </c>
      <c r="C29" s="7">
        <v>1.0</v>
      </c>
      <c r="E29" s="7">
        <v>1.0</v>
      </c>
      <c r="I29" s="8"/>
      <c r="J29" s="8">
        <v>0.003</v>
      </c>
      <c r="K29" s="8">
        <v>25.1</v>
      </c>
      <c r="L29" s="8">
        <v>7.8</v>
      </c>
      <c r="M29" s="8">
        <v>6.6000000000000005</v>
      </c>
      <c r="N29" s="9">
        <v>0.621</v>
      </c>
      <c r="O29" s="9">
        <v>1.311</v>
      </c>
      <c r="P29" s="9">
        <v>0.763</v>
      </c>
      <c r="Q29" s="9">
        <v>0.812</v>
      </c>
      <c r="R29" s="7">
        <v>180.0</v>
      </c>
      <c r="S29" s="7">
        <v>173.0</v>
      </c>
      <c r="T29" s="9">
        <f t="shared" si="1"/>
        <v>1.040462428</v>
      </c>
    </row>
    <row r="30" ht="39.75" customHeight="1">
      <c r="A30" s="7">
        <v>53.0</v>
      </c>
      <c r="B30" s="7">
        <v>603.0</v>
      </c>
      <c r="E30" s="7">
        <v>1.0</v>
      </c>
      <c r="I30" s="8"/>
      <c r="J30" s="8">
        <v>0.003</v>
      </c>
      <c r="K30" s="8">
        <v>27.900000000000002</v>
      </c>
      <c r="L30" s="8">
        <v>9.0</v>
      </c>
      <c r="M30" s="8">
        <v>7.000000000000001</v>
      </c>
      <c r="N30" s="9">
        <v>0.541</v>
      </c>
      <c r="O30" s="9">
        <v>1.812</v>
      </c>
      <c r="P30" s="9">
        <v>0.552</v>
      </c>
      <c r="Q30" s="9">
        <v>0.745</v>
      </c>
      <c r="T30" s="9"/>
    </row>
    <row r="31" ht="39.75" customHeight="1">
      <c r="A31" s="7">
        <v>53.0</v>
      </c>
      <c r="B31" s="7">
        <v>608.0</v>
      </c>
      <c r="E31" s="7">
        <v>1.0</v>
      </c>
      <c r="I31" s="8"/>
      <c r="J31" s="8">
        <v>0.003</v>
      </c>
      <c r="K31" s="8">
        <v>26.0</v>
      </c>
      <c r="L31" s="8">
        <v>8.200000000000001</v>
      </c>
      <c r="M31" s="8">
        <v>7.6</v>
      </c>
      <c r="N31" s="9">
        <v>0.575</v>
      </c>
      <c r="O31" s="9">
        <v>1.396</v>
      </c>
      <c r="P31" s="9">
        <v>0.716</v>
      </c>
      <c r="Q31" s="9">
        <v>0.756</v>
      </c>
      <c r="T31" s="9"/>
    </row>
    <row r="32" ht="39.75" customHeight="1">
      <c r="A32" s="7">
        <v>53.0</v>
      </c>
      <c r="B32" s="7">
        <v>610.0</v>
      </c>
      <c r="E32" s="7">
        <v>1.0</v>
      </c>
      <c r="I32" s="8"/>
      <c r="J32" s="8">
        <v>0.01</v>
      </c>
      <c r="K32" s="8">
        <v>55.7</v>
      </c>
      <c r="L32" s="8">
        <v>19.900000000000002</v>
      </c>
      <c r="M32" s="8">
        <v>11.700000000000001</v>
      </c>
      <c r="N32" s="9">
        <v>0.391</v>
      </c>
      <c r="O32" s="9">
        <v>2.581</v>
      </c>
      <c r="P32" s="9">
        <v>0.387</v>
      </c>
      <c r="Q32" s="9">
        <v>0.658</v>
      </c>
      <c r="T32" s="9"/>
    </row>
    <row r="33" ht="39.75" customHeight="1">
      <c r="A33" s="7">
        <v>53.0</v>
      </c>
      <c r="B33" s="7">
        <v>617.0</v>
      </c>
      <c r="E33" s="7">
        <v>1.0</v>
      </c>
      <c r="I33" s="8"/>
      <c r="J33" s="8">
        <v>0.003</v>
      </c>
      <c r="K33" s="8">
        <v>27.3</v>
      </c>
      <c r="L33" s="8">
        <v>9.0</v>
      </c>
      <c r="M33" s="8">
        <v>7.000000000000001</v>
      </c>
      <c r="N33" s="9">
        <v>0.52</v>
      </c>
      <c r="O33" s="9">
        <v>1.53</v>
      </c>
      <c r="P33" s="9">
        <v>0.654</v>
      </c>
      <c r="Q33" s="9">
        <v>0.726</v>
      </c>
      <c r="T33" s="9"/>
    </row>
    <row r="34" ht="39.75" customHeight="1">
      <c r="A34" s="7">
        <v>53.0</v>
      </c>
      <c r="B34" s="7">
        <v>636.0</v>
      </c>
      <c r="E34" s="7">
        <v>1.0</v>
      </c>
      <c r="I34" s="8"/>
      <c r="J34" s="8">
        <v>0.004</v>
      </c>
      <c r="K34" s="8">
        <v>28.599999999999998</v>
      </c>
      <c r="L34" s="8">
        <v>8.799999999999999</v>
      </c>
      <c r="M34" s="8">
        <v>8.200000000000001</v>
      </c>
      <c r="N34" s="9">
        <v>0.566</v>
      </c>
      <c r="O34" s="9">
        <v>1.47</v>
      </c>
      <c r="P34" s="9">
        <v>0.68</v>
      </c>
      <c r="Q34" s="9">
        <v>0.748</v>
      </c>
      <c r="T34" s="9"/>
    </row>
    <row r="35" ht="39.75" customHeight="1">
      <c r="A35" s="7">
        <v>53.0</v>
      </c>
      <c r="B35" s="7">
        <v>597.0</v>
      </c>
      <c r="C35" s="7">
        <v>1.0</v>
      </c>
      <c r="I35" s="8"/>
      <c r="J35" s="8">
        <v>0.003</v>
      </c>
      <c r="K35" s="8">
        <v>36.3</v>
      </c>
      <c r="L35" s="8">
        <v>8.6</v>
      </c>
      <c r="M35" s="8">
        <v>10.2</v>
      </c>
      <c r="N35" s="9">
        <v>0.332</v>
      </c>
      <c r="O35" s="9">
        <v>1.085</v>
      </c>
      <c r="P35" s="9">
        <v>0.922</v>
      </c>
      <c r="Q35" s="9">
        <v>0.571</v>
      </c>
      <c r="R35" s="7">
        <v>154.0</v>
      </c>
      <c r="S35" s="7">
        <v>95.0</v>
      </c>
      <c r="T35" s="9">
        <f t="shared" ref="T35:T43" si="2">R35/S35</f>
        <v>1.621052632</v>
      </c>
    </row>
    <row r="36" ht="39.75" customHeight="1">
      <c r="A36" s="7">
        <v>53.0</v>
      </c>
      <c r="B36" s="7">
        <v>609.0</v>
      </c>
      <c r="C36" s="7">
        <v>1.0</v>
      </c>
      <c r="D36" s="7">
        <v>1.0</v>
      </c>
      <c r="I36" s="8"/>
      <c r="J36" s="8">
        <v>0.004</v>
      </c>
      <c r="K36" s="8">
        <v>48.699999999999996</v>
      </c>
      <c r="L36" s="8">
        <v>13.3</v>
      </c>
      <c r="M36" s="8">
        <v>11.700000000000001</v>
      </c>
      <c r="N36" s="9">
        <v>0.223</v>
      </c>
      <c r="O36" s="9">
        <v>1.963</v>
      </c>
      <c r="P36" s="9">
        <v>0.509</v>
      </c>
      <c r="Q36" s="9">
        <v>0.467</v>
      </c>
      <c r="R36" s="7">
        <v>102.0</v>
      </c>
      <c r="S36" s="7">
        <v>65.0</v>
      </c>
      <c r="T36" s="9">
        <f t="shared" si="2"/>
        <v>1.569230769</v>
      </c>
    </row>
    <row r="37" ht="39.75" customHeight="1">
      <c r="A37" s="7">
        <v>53.0</v>
      </c>
      <c r="B37" s="7">
        <v>607.0</v>
      </c>
      <c r="C37" s="7">
        <v>1.0</v>
      </c>
      <c r="I37" s="8"/>
      <c r="J37" s="8">
        <v>0.005</v>
      </c>
      <c r="K37" s="8">
        <v>39.2</v>
      </c>
      <c r="L37" s="8">
        <v>10.7</v>
      </c>
      <c r="M37" s="8">
        <v>10.5</v>
      </c>
      <c r="N37" s="9">
        <v>0.444</v>
      </c>
      <c r="O37" s="9">
        <v>1.282</v>
      </c>
      <c r="P37" s="9">
        <v>0.78</v>
      </c>
      <c r="Q37" s="9">
        <v>0.697</v>
      </c>
      <c r="R37" s="7">
        <v>139.0</v>
      </c>
      <c r="S37" s="7">
        <v>106.0</v>
      </c>
      <c r="T37" s="9">
        <f t="shared" si="2"/>
        <v>1.311320755</v>
      </c>
    </row>
    <row r="38" ht="39.75" customHeight="1">
      <c r="A38" s="7">
        <v>53.0</v>
      </c>
      <c r="B38" s="7">
        <v>596.0</v>
      </c>
      <c r="C38" s="7">
        <v>1.0</v>
      </c>
      <c r="D38" s="7">
        <v>1.0</v>
      </c>
      <c r="I38" s="8"/>
      <c r="J38" s="8">
        <v>0.01</v>
      </c>
      <c r="K38" s="8">
        <v>59.4</v>
      </c>
      <c r="L38" s="8">
        <v>16.0</v>
      </c>
      <c r="M38" s="8">
        <v>15.0</v>
      </c>
      <c r="N38" s="9">
        <v>0.348</v>
      </c>
      <c r="O38" s="9">
        <v>1.4</v>
      </c>
      <c r="P38" s="9">
        <v>0.714</v>
      </c>
      <c r="Q38" s="9">
        <v>0.653</v>
      </c>
      <c r="R38" s="7">
        <v>118.0</v>
      </c>
      <c r="S38" s="7">
        <v>90.0</v>
      </c>
      <c r="T38" s="9">
        <f t="shared" si="2"/>
        <v>1.311111111</v>
      </c>
    </row>
    <row r="39" ht="39.75" customHeight="1">
      <c r="A39" s="7">
        <v>53.0</v>
      </c>
      <c r="B39" s="7">
        <v>614.0</v>
      </c>
      <c r="C39" s="7">
        <v>1.0</v>
      </c>
      <c r="I39" s="8"/>
      <c r="J39" s="8">
        <v>0.004</v>
      </c>
      <c r="K39" s="8">
        <v>36.1</v>
      </c>
      <c r="L39" s="8">
        <v>10.0</v>
      </c>
      <c r="M39" s="8">
        <v>9.6</v>
      </c>
      <c r="N39" s="9">
        <v>0.413</v>
      </c>
      <c r="O39" s="9">
        <v>1.127</v>
      </c>
      <c r="P39" s="9">
        <v>0.887</v>
      </c>
      <c r="Q39" s="9">
        <v>0.65</v>
      </c>
      <c r="R39" s="7">
        <v>194.0</v>
      </c>
      <c r="S39" s="7">
        <v>156.0</v>
      </c>
      <c r="T39" s="9">
        <f t="shared" si="2"/>
        <v>1.243589744</v>
      </c>
    </row>
    <row r="40" ht="39.75" customHeight="1">
      <c r="A40" s="7">
        <v>53.0</v>
      </c>
      <c r="B40" s="7">
        <v>626.0</v>
      </c>
      <c r="C40" s="7">
        <v>1.0</v>
      </c>
      <c r="I40" s="8"/>
      <c r="J40" s="8">
        <v>0.003</v>
      </c>
      <c r="K40" s="8">
        <v>35.199999999999996</v>
      </c>
      <c r="L40" s="8">
        <v>10.9</v>
      </c>
      <c r="M40" s="8">
        <v>8.799999999999999</v>
      </c>
      <c r="N40" s="9">
        <v>0.347</v>
      </c>
      <c r="O40" s="9">
        <v>1.713</v>
      </c>
      <c r="P40" s="9">
        <v>0.584</v>
      </c>
      <c r="Q40" s="9">
        <v>0.57</v>
      </c>
      <c r="R40" s="7">
        <v>111.0</v>
      </c>
      <c r="S40" s="7">
        <v>93.0</v>
      </c>
      <c r="T40" s="9">
        <f t="shared" si="2"/>
        <v>1.193548387</v>
      </c>
    </row>
    <row r="41" ht="39.75" customHeight="1">
      <c r="A41" s="7">
        <v>53.0</v>
      </c>
      <c r="B41" s="7">
        <v>601.0</v>
      </c>
      <c r="C41" s="7">
        <v>1.0</v>
      </c>
      <c r="D41" s="7">
        <v>1.0</v>
      </c>
      <c r="I41" s="8"/>
      <c r="J41" s="8">
        <v>0.012</v>
      </c>
      <c r="K41" s="8">
        <v>64.3</v>
      </c>
      <c r="L41" s="8">
        <v>18.0</v>
      </c>
      <c r="M41" s="8">
        <v>16.0</v>
      </c>
      <c r="N41" s="9">
        <v>0.357</v>
      </c>
      <c r="O41" s="9">
        <v>1.366</v>
      </c>
      <c r="P41" s="9">
        <v>0.732</v>
      </c>
      <c r="Q41" s="9">
        <v>0.666</v>
      </c>
      <c r="R41" s="7">
        <v>140.0</v>
      </c>
      <c r="S41" s="7">
        <v>119.0</v>
      </c>
      <c r="T41" s="9">
        <f t="shared" si="2"/>
        <v>1.176470588</v>
      </c>
    </row>
    <row r="42" ht="39.75" customHeight="1">
      <c r="A42" s="7">
        <v>53.0</v>
      </c>
      <c r="B42" s="7">
        <v>720.0</v>
      </c>
      <c r="C42" s="7">
        <v>1.0</v>
      </c>
      <c r="I42" s="8"/>
      <c r="J42" s="8">
        <v>0.002</v>
      </c>
      <c r="K42" s="8">
        <v>24.5</v>
      </c>
      <c r="L42" s="8">
        <v>7.000000000000001</v>
      </c>
      <c r="M42" s="8">
        <v>7.3999999999999995</v>
      </c>
      <c r="N42" s="9">
        <v>0.476</v>
      </c>
      <c r="O42" s="9">
        <v>1.139</v>
      </c>
      <c r="P42" s="9">
        <v>0.878</v>
      </c>
      <c r="Q42" s="9">
        <v>0.678</v>
      </c>
      <c r="R42" s="7">
        <v>148.0</v>
      </c>
      <c r="S42" s="7">
        <v>128.0</v>
      </c>
      <c r="T42" s="9">
        <f t="shared" si="2"/>
        <v>1.15625</v>
      </c>
    </row>
    <row r="43" ht="48.75" customHeight="1">
      <c r="A43" s="7">
        <v>53.0</v>
      </c>
      <c r="B43" s="7">
        <v>637.0</v>
      </c>
      <c r="C43" s="7">
        <v>1.0</v>
      </c>
      <c r="H43" s="7">
        <v>1.0</v>
      </c>
      <c r="I43" s="8"/>
      <c r="J43" s="8">
        <v>0.003</v>
      </c>
      <c r="K43" s="8">
        <v>31.7</v>
      </c>
      <c r="L43" s="8">
        <v>10.2</v>
      </c>
      <c r="M43" s="8">
        <v>8.200000000000001</v>
      </c>
      <c r="N43" s="9">
        <v>0.401</v>
      </c>
      <c r="O43" s="9">
        <v>1.672</v>
      </c>
      <c r="P43" s="9">
        <v>0.598</v>
      </c>
      <c r="Q43" s="9">
        <v>0.619</v>
      </c>
      <c r="R43" s="7">
        <v>156.0</v>
      </c>
      <c r="S43" s="7">
        <v>144.0</v>
      </c>
      <c r="T43" s="9">
        <f t="shared" si="2"/>
        <v>1.083333333</v>
      </c>
    </row>
    <row r="44" ht="48.75" customHeight="1">
      <c r="A44" s="7">
        <v>53.0</v>
      </c>
      <c r="B44" s="7">
        <v>600.0</v>
      </c>
      <c r="D44" s="7">
        <v>1.0</v>
      </c>
      <c r="H44" s="7">
        <v>1.0</v>
      </c>
      <c r="I44" s="8"/>
      <c r="J44" s="8">
        <v>0.004</v>
      </c>
      <c r="K44" s="8">
        <v>37.9</v>
      </c>
      <c r="L44" s="8">
        <v>14.499999999999998</v>
      </c>
      <c r="M44" s="8">
        <v>5.7</v>
      </c>
      <c r="N44" s="9">
        <v>0.36</v>
      </c>
      <c r="O44" s="9">
        <v>3.481</v>
      </c>
      <c r="P44" s="9">
        <v>0.287</v>
      </c>
      <c r="Q44" s="9">
        <v>0.691</v>
      </c>
      <c r="T44" s="9"/>
      <c r="V44" s="8">
        <f>average(T31:T43)</f>
        <v>1.296211924</v>
      </c>
      <c r="W44" s="8">
        <f>STDEVP(T31:T43)</f>
        <v>0.1741852639</v>
      </c>
    </row>
    <row r="45" ht="48.75" customHeight="1">
      <c r="A45" s="7">
        <v>53.0</v>
      </c>
      <c r="B45" s="7">
        <v>606.0</v>
      </c>
      <c r="I45" s="8"/>
      <c r="J45" s="8">
        <v>0.007</v>
      </c>
      <c r="K45" s="8">
        <v>40.5</v>
      </c>
      <c r="L45" s="8">
        <v>13.900000000000002</v>
      </c>
      <c r="M45" s="8">
        <v>9.4</v>
      </c>
      <c r="N45" s="9">
        <v>0.529</v>
      </c>
      <c r="O45" s="9">
        <v>2.165</v>
      </c>
      <c r="P45" s="9">
        <v>0.462</v>
      </c>
      <c r="Q45" s="9">
        <v>0.775</v>
      </c>
      <c r="R45" s="11"/>
      <c r="S45" s="11"/>
      <c r="T45" s="9"/>
    </row>
    <row r="46" ht="48.75" customHeight="1">
      <c r="A46" s="7">
        <v>53.0</v>
      </c>
      <c r="B46" s="7">
        <v>611.0</v>
      </c>
      <c r="D46" s="7">
        <v>1.0</v>
      </c>
      <c r="H46" s="7">
        <v>1.0</v>
      </c>
      <c r="I46" s="8"/>
      <c r="J46" s="8">
        <v>0.009</v>
      </c>
      <c r="K46" s="8">
        <v>79.4</v>
      </c>
      <c r="L46" s="8">
        <v>30.099999999999998</v>
      </c>
      <c r="M46" s="8">
        <v>10.0</v>
      </c>
      <c r="N46" s="9">
        <v>0.183</v>
      </c>
      <c r="O46" s="9">
        <v>5.372</v>
      </c>
      <c r="P46" s="9">
        <v>0.186</v>
      </c>
      <c r="Q46" s="9">
        <v>0.5</v>
      </c>
      <c r="T46" s="9"/>
    </row>
    <row r="47" ht="48.75" customHeight="1">
      <c r="A47" s="7">
        <v>53.0</v>
      </c>
      <c r="B47" s="7">
        <v>618.0</v>
      </c>
      <c r="D47" s="7">
        <v>1.0</v>
      </c>
      <c r="I47" s="8"/>
      <c r="J47" s="8">
        <v>0.004</v>
      </c>
      <c r="K47" s="8">
        <v>38.9</v>
      </c>
      <c r="L47" s="8">
        <v>12.7</v>
      </c>
      <c r="M47" s="8">
        <v>8.6</v>
      </c>
      <c r="N47" s="9">
        <v>0.345</v>
      </c>
      <c r="O47" s="9">
        <v>2.346</v>
      </c>
      <c r="P47" s="9">
        <v>0.426</v>
      </c>
      <c r="Q47" s="9">
        <v>0.621</v>
      </c>
      <c r="T47" s="9"/>
    </row>
    <row r="48" ht="48.75" customHeight="1">
      <c r="A48" s="7">
        <v>53.0</v>
      </c>
      <c r="B48" s="7">
        <v>630.0</v>
      </c>
      <c r="I48" s="8"/>
      <c r="J48" s="8">
        <v>0.002</v>
      </c>
      <c r="K48" s="8">
        <v>17.4</v>
      </c>
      <c r="L48" s="8">
        <v>5.3</v>
      </c>
      <c r="M48" s="8">
        <v>5.3</v>
      </c>
      <c r="N48" s="9">
        <v>0.829</v>
      </c>
      <c r="O48" s="9">
        <v>1.081</v>
      </c>
      <c r="P48" s="9">
        <v>0.925</v>
      </c>
      <c r="Q48" s="9">
        <v>0.928</v>
      </c>
      <c r="T48" s="9"/>
    </row>
    <row r="54">
      <c r="N54" s="9"/>
      <c r="O54" s="9"/>
      <c r="P54" s="9"/>
      <c r="Q54" s="9"/>
      <c r="T54" s="9"/>
    </row>
    <row r="55">
      <c r="N55" s="9"/>
      <c r="O55" s="9"/>
      <c r="P55" s="9"/>
      <c r="Q55" s="9"/>
      <c r="T55" s="9"/>
    </row>
    <row r="56">
      <c r="N56" s="9"/>
      <c r="O56" s="9"/>
      <c r="P56" s="9"/>
      <c r="Q56" s="9"/>
      <c r="T56" s="9"/>
    </row>
    <row r="57">
      <c r="N57" s="9"/>
      <c r="O57" s="9"/>
      <c r="P57" s="9"/>
      <c r="Q57" s="9"/>
      <c r="T57" s="9"/>
    </row>
    <row r="58">
      <c r="N58" s="9"/>
      <c r="O58" s="9"/>
      <c r="P58" s="9"/>
      <c r="Q58" s="9"/>
      <c r="T58" s="9"/>
    </row>
    <row r="59">
      <c r="N59" s="9"/>
      <c r="O59" s="9"/>
      <c r="P59" s="9"/>
      <c r="Q59" s="9"/>
      <c r="T59" s="9"/>
    </row>
    <row r="60">
      <c r="N60" s="9"/>
      <c r="O60" s="9"/>
      <c r="P60" s="9"/>
      <c r="Q60" s="9"/>
      <c r="T60" s="9"/>
    </row>
    <row r="61">
      <c r="N61" s="9"/>
      <c r="O61" s="9"/>
      <c r="P61" s="9"/>
      <c r="Q61" s="9"/>
      <c r="T61" s="9"/>
    </row>
    <row r="62">
      <c r="N62" s="9"/>
      <c r="O62" s="9"/>
      <c r="P62" s="9"/>
      <c r="Q62" s="9"/>
      <c r="T62" s="9"/>
    </row>
    <row r="63">
      <c r="N63" s="9"/>
      <c r="O63" s="9"/>
      <c r="P63" s="9"/>
      <c r="Q63" s="9"/>
      <c r="T63" s="9"/>
    </row>
    <row r="64">
      <c r="N64" s="9"/>
      <c r="O64" s="9"/>
      <c r="P64" s="9"/>
      <c r="Q64" s="9"/>
      <c r="T64" s="9"/>
    </row>
    <row r="65">
      <c r="N65" s="9"/>
      <c r="O65" s="9"/>
      <c r="P65" s="9"/>
      <c r="Q65" s="9"/>
      <c r="T65" s="9"/>
    </row>
    <row r="66">
      <c r="N66" s="9"/>
      <c r="O66" s="9"/>
      <c r="P66" s="9"/>
      <c r="Q66" s="9"/>
      <c r="T66" s="9"/>
    </row>
    <row r="67">
      <c r="N67" s="9"/>
      <c r="O67" s="9"/>
      <c r="P67" s="9"/>
      <c r="Q67" s="9"/>
      <c r="T67" s="9"/>
    </row>
    <row r="68">
      <c r="N68" s="9"/>
      <c r="O68" s="9"/>
      <c r="P68" s="9"/>
      <c r="Q68" s="9"/>
      <c r="T68" s="9"/>
    </row>
    <row r="69">
      <c r="N69" s="9"/>
      <c r="O69" s="9"/>
      <c r="P69" s="9"/>
      <c r="Q69" s="9"/>
      <c r="T69" s="9"/>
    </row>
    <row r="70">
      <c r="N70" s="9"/>
      <c r="O70" s="9"/>
      <c r="P70" s="9"/>
      <c r="Q70" s="9"/>
      <c r="T70" s="9"/>
    </row>
    <row r="71">
      <c r="N71" s="9"/>
      <c r="O71" s="9"/>
      <c r="P71" s="9"/>
      <c r="Q71" s="9"/>
      <c r="T71" s="9"/>
    </row>
    <row r="72">
      <c r="N72" s="9"/>
      <c r="O72" s="9"/>
      <c r="P72" s="9"/>
      <c r="Q72" s="9"/>
      <c r="T72" s="9"/>
    </row>
    <row r="73">
      <c r="N73" s="9"/>
      <c r="O73" s="9"/>
      <c r="P73" s="9"/>
      <c r="Q73" s="9"/>
      <c r="T73" s="9"/>
    </row>
    <row r="74">
      <c r="N74" s="9"/>
      <c r="O74" s="9"/>
      <c r="P74" s="9"/>
      <c r="Q74" s="9"/>
      <c r="T74" s="9"/>
    </row>
    <row r="75">
      <c r="N75" s="9"/>
      <c r="O75" s="9"/>
      <c r="P75" s="9"/>
      <c r="Q75" s="9"/>
      <c r="T75" s="9"/>
    </row>
    <row r="76">
      <c r="N76" s="9"/>
      <c r="O76" s="9"/>
      <c r="P76" s="9"/>
      <c r="Q76" s="9"/>
      <c r="T76" s="9"/>
    </row>
    <row r="77">
      <c r="N77" s="9"/>
      <c r="O77" s="9"/>
      <c r="P77" s="9"/>
      <c r="Q77" s="9"/>
      <c r="T77" s="9"/>
    </row>
    <row r="78">
      <c r="N78" s="9"/>
      <c r="O78" s="9"/>
      <c r="P78" s="9"/>
      <c r="Q78" s="9"/>
      <c r="T78" s="9"/>
    </row>
    <row r="79">
      <c r="N79" s="9"/>
      <c r="O79" s="9"/>
      <c r="P79" s="9"/>
      <c r="Q79" s="9"/>
      <c r="T79" s="9"/>
    </row>
    <row r="80">
      <c r="N80" s="9"/>
      <c r="O80" s="9"/>
      <c r="P80" s="9"/>
      <c r="Q80" s="9"/>
      <c r="T80" s="9"/>
    </row>
    <row r="81">
      <c r="N81" s="9"/>
      <c r="O81" s="9"/>
      <c r="P81" s="9"/>
      <c r="Q81" s="9"/>
      <c r="T81" s="9"/>
    </row>
    <row r="82">
      <c r="N82" s="9"/>
      <c r="O82" s="9"/>
      <c r="P82" s="9"/>
      <c r="Q82" s="9"/>
      <c r="T82" s="9"/>
    </row>
    <row r="83">
      <c r="N83" s="9"/>
      <c r="O83" s="9"/>
      <c r="P83" s="9"/>
      <c r="Q83" s="9"/>
      <c r="T83" s="9"/>
    </row>
    <row r="84">
      <c r="N84" s="9"/>
      <c r="O84" s="9"/>
      <c r="P84" s="9"/>
      <c r="Q84" s="9"/>
      <c r="T84" s="9"/>
    </row>
    <row r="85">
      <c r="N85" s="9"/>
      <c r="O85" s="9"/>
      <c r="P85" s="9"/>
      <c r="Q85" s="9"/>
      <c r="T85" s="9"/>
    </row>
    <row r="86">
      <c r="N86" s="9"/>
      <c r="O86" s="9"/>
      <c r="P86" s="9"/>
      <c r="Q86" s="9"/>
      <c r="T86" s="9"/>
    </row>
    <row r="87">
      <c r="N87" s="9"/>
      <c r="O87" s="9"/>
      <c r="P87" s="9"/>
      <c r="Q87" s="9"/>
      <c r="T87" s="9"/>
    </row>
    <row r="88">
      <c r="N88" s="9"/>
      <c r="O88" s="9"/>
      <c r="P88" s="9"/>
      <c r="Q88" s="9"/>
      <c r="T88" s="9"/>
    </row>
    <row r="89">
      <c r="N89" s="9"/>
      <c r="O89" s="9"/>
      <c r="P89" s="9"/>
      <c r="Q89" s="9"/>
      <c r="T89" s="9"/>
    </row>
    <row r="90">
      <c r="N90" s="9"/>
      <c r="O90" s="9"/>
      <c r="P90" s="9"/>
      <c r="Q90" s="9"/>
      <c r="T90" s="9"/>
    </row>
    <row r="91">
      <c r="N91" s="9"/>
      <c r="O91" s="9"/>
      <c r="P91" s="9"/>
      <c r="Q91" s="9"/>
      <c r="T91" s="9"/>
    </row>
    <row r="92">
      <c r="N92" s="9"/>
      <c r="O92" s="9"/>
      <c r="P92" s="9"/>
      <c r="Q92" s="9"/>
      <c r="T92" s="9"/>
    </row>
    <row r="93">
      <c r="N93" s="9"/>
      <c r="O93" s="9"/>
      <c r="P93" s="9"/>
      <c r="Q93" s="9"/>
      <c r="T93" s="9"/>
    </row>
    <row r="94">
      <c r="N94" s="9"/>
      <c r="O94" s="9"/>
      <c r="P94" s="9"/>
      <c r="Q94" s="9"/>
      <c r="T94" s="9"/>
    </row>
    <row r="95">
      <c r="N95" s="9"/>
      <c r="O95" s="9"/>
      <c r="P95" s="9"/>
      <c r="Q95" s="9"/>
      <c r="T95" s="9"/>
    </row>
    <row r="96">
      <c r="N96" s="9"/>
      <c r="O96" s="9"/>
      <c r="P96" s="9"/>
      <c r="Q96" s="9"/>
      <c r="T96" s="9"/>
    </row>
    <row r="97">
      <c r="N97" s="9"/>
      <c r="O97" s="9"/>
      <c r="P97" s="9"/>
      <c r="Q97" s="9"/>
      <c r="T97" s="9"/>
    </row>
    <row r="98">
      <c r="N98" s="9"/>
      <c r="O98" s="9"/>
      <c r="P98" s="9"/>
      <c r="Q98" s="9"/>
      <c r="T98" s="9"/>
    </row>
    <row r="99">
      <c r="N99" s="9"/>
      <c r="O99" s="9"/>
      <c r="P99" s="9"/>
      <c r="Q99" s="9"/>
      <c r="T99" s="9"/>
    </row>
    <row r="100">
      <c r="N100" s="9"/>
      <c r="O100" s="9"/>
      <c r="P100" s="9"/>
      <c r="Q100" s="9"/>
      <c r="T100" s="9"/>
    </row>
    <row r="101">
      <c r="N101" s="9"/>
      <c r="O101" s="9"/>
      <c r="P101" s="9"/>
      <c r="Q101" s="9"/>
      <c r="T101" s="9"/>
    </row>
    <row r="102">
      <c r="N102" s="9"/>
      <c r="O102" s="9"/>
      <c r="P102" s="9"/>
      <c r="Q102" s="9"/>
      <c r="T102" s="9"/>
    </row>
    <row r="103">
      <c r="N103" s="9"/>
      <c r="O103" s="9"/>
      <c r="P103" s="9"/>
      <c r="Q103" s="9"/>
      <c r="T103" s="9"/>
    </row>
    <row r="104">
      <c r="N104" s="9"/>
      <c r="O104" s="9"/>
      <c r="P104" s="9"/>
      <c r="Q104" s="9"/>
      <c r="T104" s="9"/>
    </row>
    <row r="105">
      <c r="N105" s="9"/>
      <c r="O105" s="9"/>
      <c r="P105" s="9"/>
      <c r="Q105" s="9"/>
      <c r="T105" s="9"/>
    </row>
    <row r="106">
      <c r="N106" s="9"/>
      <c r="O106" s="9"/>
      <c r="P106" s="9"/>
      <c r="Q106" s="9"/>
      <c r="T106" s="9"/>
    </row>
    <row r="107">
      <c r="N107" s="9"/>
      <c r="O107" s="9"/>
      <c r="P107" s="9"/>
      <c r="Q107" s="9"/>
      <c r="T107" s="9"/>
    </row>
    <row r="108">
      <c r="N108" s="9"/>
      <c r="O108" s="9"/>
      <c r="P108" s="9"/>
      <c r="Q108" s="9"/>
      <c r="T108" s="9"/>
    </row>
    <row r="109">
      <c r="N109" s="9"/>
      <c r="O109" s="9"/>
      <c r="P109" s="9"/>
      <c r="Q109" s="9"/>
      <c r="T109" s="9"/>
    </row>
    <row r="110">
      <c r="N110" s="9"/>
      <c r="O110" s="9"/>
      <c r="P110" s="9"/>
      <c r="Q110" s="9"/>
      <c r="T110" s="9"/>
    </row>
    <row r="111">
      <c r="N111" s="9"/>
      <c r="O111" s="9"/>
      <c r="P111" s="9"/>
      <c r="Q111" s="9"/>
      <c r="T111" s="9"/>
    </row>
    <row r="112">
      <c r="N112" s="9"/>
      <c r="O112" s="9"/>
      <c r="P112" s="9"/>
      <c r="Q112" s="9"/>
      <c r="T112" s="9"/>
    </row>
    <row r="113">
      <c r="N113" s="9"/>
      <c r="O113" s="9"/>
      <c r="P113" s="9"/>
      <c r="Q113" s="9"/>
      <c r="T113" s="9"/>
    </row>
    <row r="114">
      <c r="N114" s="9"/>
      <c r="O114" s="9"/>
      <c r="P114" s="9"/>
      <c r="Q114" s="9"/>
      <c r="T114" s="9"/>
    </row>
    <row r="115">
      <c r="N115" s="9"/>
      <c r="O115" s="9"/>
      <c r="P115" s="9"/>
      <c r="Q115" s="9"/>
      <c r="T115" s="9"/>
    </row>
    <row r="116">
      <c r="N116" s="9"/>
      <c r="O116" s="9"/>
      <c r="P116" s="9"/>
      <c r="Q116" s="9"/>
      <c r="T116" s="9"/>
    </row>
    <row r="117">
      <c r="N117" s="9"/>
      <c r="O117" s="9"/>
      <c r="P117" s="9"/>
      <c r="Q117" s="9"/>
      <c r="T117" s="9"/>
    </row>
    <row r="118">
      <c r="N118" s="9"/>
      <c r="O118" s="9"/>
      <c r="P118" s="9"/>
      <c r="Q118" s="9"/>
      <c r="T118" s="9"/>
    </row>
    <row r="119">
      <c r="N119" s="9"/>
      <c r="O119" s="9"/>
      <c r="P119" s="9"/>
      <c r="Q119" s="9"/>
      <c r="T119" s="9"/>
    </row>
    <row r="120">
      <c r="N120" s="9"/>
      <c r="O120" s="9"/>
      <c r="P120" s="9"/>
      <c r="Q120" s="9"/>
      <c r="T120" s="9"/>
    </row>
    <row r="121">
      <c r="N121" s="9"/>
      <c r="O121" s="9"/>
      <c r="P121" s="9"/>
      <c r="Q121" s="9"/>
      <c r="T121" s="9"/>
    </row>
    <row r="122">
      <c r="N122" s="9"/>
      <c r="O122" s="9"/>
      <c r="P122" s="9"/>
      <c r="Q122" s="9"/>
      <c r="T122" s="9"/>
    </row>
    <row r="123">
      <c r="N123" s="9"/>
      <c r="O123" s="9"/>
      <c r="P123" s="9"/>
      <c r="Q123" s="9"/>
      <c r="T123" s="9"/>
    </row>
    <row r="124">
      <c r="N124" s="9"/>
      <c r="O124" s="9"/>
      <c r="P124" s="9"/>
      <c r="Q124" s="9"/>
      <c r="T124" s="9"/>
    </row>
    <row r="125">
      <c r="N125" s="9"/>
      <c r="O125" s="9"/>
      <c r="P125" s="9"/>
      <c r="Q125" s="9"/>
      <c r="T125" s="9"/>
    </row>
    <row r="126">
      <c r="N126" s="9"/>
      <c r="O126" s="9"/>
      <c r="P126" s="9"/>
      <c r="Q126" s="9"/>
      <c r="T126" s="9"/>
    </row>
    <row r="127">
      <c r="N127" s="9"/>
      <c r="O127" s="9"/>
      <c r="P127" s="9"/>
      <c r="Q127" s="9"/>
      <c r="T127" s="9"/>
    </row>
    <row r="128">
      <c r="N128" s="9"/>
      <c r="O128" s="9"/>
      <c r="P128" s="9"/>
      <c r="Q128" s="9"/>
      <c r="T128" s="9"/>
    </row>
    <row r="129">
      <c r="N129" s="9"/>
      <c r="O129" s="9"/>
      <c r="P129" s="9"/>
      <c r="Q129" s="9"/>
      <c r="T129" s="9"/>
    </row>
    <row r="130">
      <c r="N130" s="9"/>
      <c r="O130" s="9"/>
      <c r="P130" s="9"/>
      <c r="Q130" s="9"/>
      <c r="T130" s="9"/>
    </row>
    <row r="131">
      <c r="N131" s="9"/>
      <c r="O131" s="9"/>
      <c r="P131" s="9"/>
      <c r="Q131" s="9"/>
      <c r="T131" s="9"/>
    </row>
    <row r="132">
      <c r="N132" s="9"/>
      <c r="O132" s="9"/>
      <c r="P132" s="9"/>
      <c r="Q132" s="9"/>
      <c r="T132" s="9"/>
    </row>
    <row r="133">
      <c r="N133" s="9"/>
      <c r="O133" s="9"/>
      <c r="P133" s="9"/>
      <c r="Q133" s="9"/>
      <c r="T133" s="9"/>
    </row>
    <row r="134">
      <c r="N134" s="9"/>
      <c r="O134" s="9"/>
      <c r="P134" s="9"/>
      <c r="Q134" s="9"/>
      <c r="T134" s="9"/>
    </row>
    <row r="135">
      <c r="N135" s="9"/>
      <c r="O135" s="9"/>
      <c r="P135" s="9"/>
      <c r="Q135" s="9"/>
      <c r="T135" s="9"/>
    </row>
    <row r="136">
      <c r="N136" s="9"/>
      <c r="O136" s="9"/>
      <c r="P136" s="9"/>
      <c r="Q136" s="9"/>
      <c r="T136" s="9"/>
    </row>
    <row r="137">
      <c r="N137" s="9"/>
      <c r="O137" s="9"/>
      <c r="P137" s="9"/>
      <c r="Q137" s="9"/>
      <c r="T137" s="9"/>
    </row>
    <row r="138">
      <c r="N138" s="9"/>
      <c r="O138" s="9"/>
      <c r="P138" s="9"/>
      <c r="Q138" s="9"/>
      <c r="T138" s="9"/>
    </row>
    <row r="139">
      <c r="N139" s="9"/>
      <c r="O139" s="9"/>
      <c r="P139" s="9"/>
      <c r="Q139" s="9"/>
      <c r="T139" s="9"/>
    </row>
    <row r="140">
      <c r="N140" s="9"/>
      <c r="O140" s="9"/>
      <c r="P140" s="9"/>
      <c r="Q140" s="9"/>
      <c r="T140" s="9"/>
    </row>
    <row r="141">
      <c r="N141" s="9"/>
      <c r="O141" s="9"/>
      <c r="P141" s="9"/>
      <c r="Q141" s="9"/>
      <c r="T141" s="9"/>
    </row>
    <row r="142">
      <c r="N142" s="9"/>
      <c r="O142" s="9"/>
      <c r="P142" s="9"/>
      <c r="Q142" s="9"/>
      <c r="T142" s="9"/>
    </row>
    <row r="143">
      <c r="N143" s="9"/>
      <c r="O143" s="9"/>
      <c r="P143" s="9"/>
      <c r="Q143" s="9"/>
      <c r="T143" s="9"/>
    </row>
    <row r="144">
      <c r="N144" s="9"/>
      <c r="O144" s="9"/>
      <c r="P144" s="9"/>
      <c r="Q144" s="9"/>
      <c r="T144" s="9"/>
    </row>
    <row r="145">
      <c r="N145" s="9"/>
      <c r="O145" s="9"/>
      <c r="P145" s="9"/>
      <c r="Q145" s="9"/>
      <c r="T145" s="9"/>
    </row>
    <row r="146">
      <c r="N146" s="9"/>
      <c r="O146" s="9"/>
      <c r="P146" s="9"/>
      <c r="Q146" s="9"/>
      <c r="T146" s="9"/>
    </row>
    <row r="147">
      <c r="N147" s="9"/>
      <c r="O147" s="9"/>
      <c r="P147" s="9"/>
      <c r="Q147" s="9"/>
      <c r="T147" s="9"/>
    </row>
    <row r="148">
      <c r="N148" s="9"/>
      <c r="O148" s="9"/>
      <c r="P148" s="9"/>
      <c r="Q148" s="9"/>
      <c r="T148" s="9"/>
    </row>
    <row r="149">
      <c r="N149" s="9"/>
      <c r="O149" s="9"/>
      <c r="P149" s="9"/>
      <c r="Q149" s="9"/>
      <c r="T149" s="9"/>
    </row>
    <row r="150">
      <c r="N150" s="9"/>
      <c r="O150" s="9"/>
      <c r="P150" s="9"/>
      <c r="Q150" s="9"/>
      <c r="T150" s="9"/>
    </row>
    <row r="151">
      <c r="N151" s="9"/>
      <c r="O151" s="9"/>
      <c r="P151" s="9"/>
      <c r="Q151" s="9"/>
      <c r="T151" s="9"/>
    </row>
    <row r="152">
      <c r="N152" s="9"/>
      <c r="O152" s="9"/>
      <c r="P152" s="9"/>
      <c r="Q152" s="9"/>
      <c r="T152" s="9"/>
    </row>
    <row r="153">
      <c r="N153" s="9"/>
      <c r="O153" s="9"/>
      <c r="P153" s="9"/>
      <c r="Q153" s="9"/>
      <c r="T153" s="9"/>
    </row>
    <row r="154">
      <c r="N154" s="9"/>
      <c r="O154" s="9"/>
      <c r="P154" s="9"/>
      <c r="Q154" s="9"/>
      <c r="T154" s="9"/>
    </row>
    <row r="155">
      <c r="N155" s="9"/>
      <c r="O155" s="9"/>
      <c r="P155" s="9"/>
      <c r="Q155" s="9"/>
      <c r="T155" s="9"/>
    </row>
    <row r="156">
      <c r="N156" s="9"/>
      <c r="O156" s="9"/>
      <c r="P156" s="9"/>
      <c r="Q156" s="9"/>
      <c r="T156" s="9"/>
    </row>
    <row r="157">
      <c r="N157" s="9"/>
      <c r="O157" s="9"/>
      <c r="P157" s="9"/>
      <c r="Q157" s="9"/>
      <c r="T157" s="9"/>
    </row>
    <row r="158">
      <c r="N158" s="9"/>
      <c r="O158" s="9"/>
      <c r="P158" s="9"/>
      <c r="Q158" s="9"/>
      <c r="T158" s="9"/>
    </row>
    <row r="159">
      <c r="N159" s="9"/>
      <c r="O159" s="9"/>
      <c r="P159" s="9"/>
      <c r="Q159" s="9"/>
      <c r="T159" s="9"/>
    </row>
    <row r="160">
      <c r="N160" s="9"/>
      <c r="O160" s="9"/>
      <c r="P160" s="9"/>
      <c r="Q160" s="9"/>
      <c r="T160" s="9"/>
    </row>
    <row r="161">
      <c r="N161" s="9"/>
      <c r="O161" s="9"/>
      <c r="P161" s="9"/>
      <c r="Q161" s="9"/>
      <c r="T161" s="9"/>
    </row>
    <row r="162">
      <c r="N162" s="9"/>
      <c r="O162" s="9"/>
      <c r="P162" s="9"/>
      <c r="Q162" s="9"/>
      <c r="T162" s="9"/>
    </row>
    <row r="163">
      <c r="N163" s="9"/>
      <c r="O163" s="9"/>
      <c r="P163" s="9"/>
      <c r="Q163" s="9"/>
      <c r="T163" s="9"/>
    </row>
    <row r="164">
      <c r="N164" s="9"/>
      <c r="O164" s="9"/>
      <c r="P164" s="9"/>
      <c r="Q164" s="9"/>
      <c r="T164" s="9"/>
    </row>
    <row r="165">
      <c r="N165" s="9"/>
      <c r="O165" s="9"/>
      <c r="P165" s="9"/>
      <c r="Q165" s="9"/>
      <c r="T165" s="9"/>
    </row>
    <row r="166">
      <c r="N166" s="9"/>
      <c r="O166" s="9"/>
      <c r="P166" s="9"/>
      <c r="Q166" s="9"/>
      <c r="T166" s="9"/>
    </row>
    <row r="167">
      <c r="N167" s="9"/>
      <c r="O167" s="9"/>
      <c r="P167" s="9"/>
      <c r="Q167" s="9"/>
      <c r="T167" s="9"/>
    </row>
    <row r="168">
      <c r="N168" s="9"/>
      <c r="O168" s="9"/>
      <c r="P168" s="9"/>
      <c r="Q168" s="9"/>
      <c r="T168" s="9"/>
    </row>
    <row r="169">
      <c r="N169" s="9"/>
      <c r="O169" s="9"/>
      <c r="P169" s="9"/>
      <c r="Q169" s="9"/>
      <c r="T169" s="9"/>
    </row>
    <row r="170">
      <c r="N170" s="9"/>
      <c r="O170" s="9"/>
      <c r="P170" s="9"/>
      <c r="Q170" s="9"/>
      <c r="T170" s="9"/>
    </row>
    <row r="171">
      <c r="N171" s="9"/>
      <c r="O171" s="9"/>
      <c r="P171" s="9"/>
      <c r="Q171" s="9"/>
      <c r="T171" s="9"/>
    </row>
    <row r="172">
      <c r="N172" s="9"/>
      <c r="O172" s="9"/>
      <c r="P172" s="9"/>
      <c r="Q172" s="9"/>
      <c r="T172" s="9"/>
    </row>
    <row r="173">
      <c r="N173" s="9"/>
      <c r="O173" s="9"/>
      <c r="P173" s="9"/>
      <c r="Q173" s="9"/>
      <c r="T173" s="9"/>
    </row>
    <row r="174">
      <c r="N174" s="9"/>
      <c r="O174" s="9"/>
      <c r="P174" s="9"/>
      <c r="Q174" s="9"/>
      <c r="T174" s="9"/>
    </row>
    <row r="175">
      <c r="N175" s="9"/>
      <c r="O175" s="9"/>
      <c r="P175" s="9"/>
      <c r="Q175" s="9"/>
      <c r="T175" s="9"/>
    </row>
    <row r="176">
      <c r="N176" s="9"/>
      <c r="O176" s="9"/>
      <c r="P176" s="9"/>
      <c r="Q176" s="9"/>
      <c r="T176" s="9"/>
    </row>
    <row r="177">
      <c r="N177" s="9"/>
      <c r="O177" s="9"/>
      <c r="P177" s="9"/>
      <c r="Q177" s="9"/>
      <c r="T177" s="9"/>
    </row>
    <row r="178">
      <c r="N178" s="9"/>
      <c r="O178" s="9"/>
      <c r="P178" s="9"/>
      <c r="Q178" s="9"/>
      <c r="T178" s="9"/>
    </row>
    <row r="179">
      <c r="N179" s="9"/>
      <c r="O179" s="9"/>
      <c r="P179" s="9"/>
      <c r="Q179" s="9"/>
      <c r="T179" s="9"/>
    </row>
    <row r="180">
      <c r="N180" s="9"/>
      <c r="O180" s="9"/>
      <c r="P180" s="9"/>
      <c r="Q180" s="9"/>
      <c r="T180" s="9"/>
    </row>
    <row r="181">
      <c r="N181" s="9"/>
      <c r="O181" s="9"/>
      <c r="P181" s="9"/>
      <c r="Q181" s="9"/>
      <c r="T181" s="9"/>
    </row>
    <row r="182">
      <c r="N182" s="9"/>
      <c r="O182" s="9"/>
      <c r="P182" s="9"/>
      <c r="Q182" s="9"/>
      <c r="T182" s="9"/>
    </row>
    <row r="183">
      <c r="N183" s="9"/>
      <c r="O183" s="9"/>
      <c r="P183" s="9"/>
      <c r="Q183" s="9"/>
      <c r="T183" s="9"/>
    </row>
    <row r="184">
      <c r="N184" s="9"/>
      <c r="O184" s="9"/>
      <c r="P184" s="9"/>
      <c r="Q184" s="9"/>
      <c r="T184" s="9"/>
    </row>
    <row r="185">
      <c r="N185" s="9"/>
      <c r="O185" s="9"/>
      <c r="P185" s="9"/>
      <c r="Q185" s="9"/>
      <c r="T185" s="9"/>
    </row>
    <row r="186">
      <c r="N186" s="9"/>
      <c r="O186" s="9"/>
      <c r="P186" s="9"/>
      <c r="Q186" s="9"/>
      <c r="T186" s="9"/>
    </row>
    <row r="187">
      <c r="N187" s="9"/>
      <c r="O187" s="9"/>
      <c r="P187" s="9"/>
      <c r="Q187" s="9"/>
      <c r="T187" s="9"/>
    </row>
    <row r="188">
      <c r="N188" s="9"/>
      <c r="O188" s="9"/>
      <c r="P188" s="9"/>
      <c r="Q188" s="9"/>
      <c r="T188" s="9"/>
    </row>
    <row r="189">
      <c r="N189" s="9"/>
      <c r="O189" s="9"/>
      <c r="P189" s="9"/>
      <c r="Q189" s="9"/>
      <c r="T189" s="9"/>
    </row>
    <row r="190">
      <c r="N190" s="9"/>
      <c r="O190" s="9"/>
      <c r="P190" s="9"/>
      <c r="Q190" s="9"/>
      <c r="T190" s="9"/>
    </row>
    <row r="191">
      <c r="N191" s="9"/>
      <c r="O191" s="9"/>
      <c r="P191" s="9"/>
      <c r="Q191" s="9"/>
      <c r="T191" s="9"/>
    </row>
    <row r="192">
      <c r="N192" s="9"/>
      <c r="O192" s="9"/>
      <c r="P192" s="9"/>
      <c r="Q192" s="9"/>
      <c r="T192" s="9"/>
    </row>
    <row r="193">
      <c r="N193" s="9"/>
      <c r="O193" s="9"/>
      <c r="P193" s="9"/>
      <c r="Q193" s="9"/>
      <c r="T193" s="9"/>
    </row>
    <row r="194">
      <c r="N194" s="9"/>
      <c r="O194" s="9"/>
      <c r="P194" s="9"/>
      <c r="Q194" s="9"/>
      <c r="T194" s="9"/>
    </row>
    <row r="195">
      <c r="N195" s="9"/>
      <c r="O195" s="9"/>
      <c r="P195" s="9"/>
      <c r="Q195" s="9"/>
      <c r="T195" s="9"/>
    </row>
    <row r="196">
      <c r="N196" s="9"/>
      <c r="O196" s="9"/>
      <c r="P196" s="9"/>
      <c r="Q196" s="9"/>
      <c r="T196" s="9"/>
    </row>
    <row r="197">
      <c r="N197" s="9"/>
      <c r="O197" s="9"/>
      <c r="P197" s="9"/>
      <c r="Q197" s="9"/>
      <c r="T197" s="9"/>
    </row>
    <row r="198">
      <c r="N198" s="9"/>
      <c r="O198" s="9"/>
      <c r="P198" s="9"/>
      <c r="Q198" s="9"/>
      <c r="T198" s="9"/>
    </row>
    <row r="199">
      <c r="N199" s="9"/>
      <c r="O199" s="9"/>
      <c r="P199" s="9"/>
      <c r="Q199" s="9"/>
      <c r="T199" s="9"/>
    </row>
    <row r="200">
      <c r="N200" s="9"/>
      <c r="O200" s="9"/>
      <c r="P200" s="9"/>
      <c r="Q200" s="9"/>
      <c r="T200" s="9"/>
    </row>
    <row r="201">
      <c r="N201" s="9"/>
      <c r="O201" s="9"/>
      <c r="P201" s="9"/>
      <c r="Q201" s="9"/>
      <c r="T201" s="9"/>
    </row>
    <row r="202">
      <c r="N202" s="9"/>
      <c r="O202" s="9"/>
      <c r="P202" s="9"/>
      <c r="Q202" s="9"/>
      <c r="T202" s="9"/>
    </row>
    <row r="203">
      <c r="N203" s="9"/>
      <c r="O203" s="9"/>
      <c r="P203" s="9"/>
      <c r="Q203" s="9"/>
      <c r="T203" s="9"/>
    </row>
    <row r="204">
      <c r="N204" s="9"/>
      <c r="O204" s="9"/>
      <c r="P204" s="9"/>
      <c r="Q204" s="9"/>
      <c r="T204" s="9"/>
    </row>
    <row r="205">
      <c r="N205" s="9"/>
      <c r="O205" s="9"/>
      <c r="P205" s="9"/>
      <c r="Q205" s="9"/>
      <c r="T205" s="9"/>
    </row>
    <row r="206">
      <c r="N206" s="9"/>
      <c r="O206" s="9"/>
      <c r="P206" s="9"/>
      <c r="Q206" s="9"/>
      <c r="T206" s="9"/>
    </row>
    <row r="207">
      <c r="N207" s="9"/>
      <c r="O207" s="9"/>
      <c r="P207" s="9"/>
      <c r="Q207" s="9"/>
      <c r="T207" s="9"/>
    </row>
    <row r="208">
      <c r="N208" s="9"/>
      <c r="O208" s="9"/>
      <c r="P208" s="9"/>
      <c r="Q208" s="9"/>
      <c r="T208" s="9"/>
    </row>
    <row r="209">
      <c r="N209" s="9"/>
      <c r="O209" s="9"/>
      <c r="P209" s="9"/>
      <c r="Q209" s="9"/>
      <c r="T209" s="9"/>
    </row>
    <row r="210">
      <c r="N210" s="9"/>
      <c r="O210" s="9"/>
      <c r="P210" s="9"/>
      <c r="Q210" s="9"/>
      <c r="T210" s="9"/>
    </row>
    <row r="211">
      <c r="N211" s="9"/>
      <c r="O211" s="9"/>
      <c r="P211" s="9"/>
      <c r="Q211" s="9"/>
      <c r="T211" s="9"/>
    </row>
    <row r="212">
      <c r="N212" s="9"/>
      <c r="O212" s="9"/>
      <c r="P212" s="9"/>
      <c r="Q212" s="9"/>
      <c r="T212" s="9"/>
    </row>
    <row r="213">
      <c r="N213" s="9"/>
      <c r="O213" s="9"/>
      <c r="P213" s="9"/>
      <c r="Q213" s="9"/>
      <c r="T213" s="9"/>
    </row>
    <row r="214">
      <c r="N214" s="9"/>
      <c r="O214" s="9"/>
      <c r="P214" s="9"/>
      <c r="Q214" s="9"/>
      <c r="T214" s="9"/>
    </row>
    <row r="215">
      <c r="N215" s="9"/>
      <c r="O215" s="9"/>
      <c r="P215" s="9"/>
      <c r="Q215" s="9"/>
      <c r="T215" s="9"/>
    </row>
    <row r="216">
      <c r="N216" s="9"/>
      <c r="O216" s="9"/>
      <c r="P216" s="9"/>
      <c r="Q216" s="9"/>
      <c r="T216" s="9"/>
    </row>
    <row r="217">
      <c r="N217" s="9"/>
      <c r="O217" s="9"/>
      <c r="P217" s="9"/>
      <c r="Q217" s="9"/>
      <c r="T217" s="9"/>
    </row>
    <row r="218">
      <c r="N218" s="9"/>
      <c r="O218" s="9"/>
      <c r="P218" s="9"/>
      <c r="Q218" s="9"/>
      <c r="T218" s="9"/>
    </row>
    <row r="219">
      <c r="N219" s="9"/>
      <c r="O219" s="9"/>
      <c r="P219" s="9"/>
      <c r="Q219" s="9"/>
      <c r="T219" s="9"/>
    </row>
    <row r="220">
      <c r="N220" s="9"/>
      <c r="O220" s="9"/>
      <c r="P220" s="9"/>
      <c r="Q220" s="9"/>
      <c r="T220" s="9"/>
    </row>
    <row r="221">
      <c r="N221" s="9"/>
      <c r="O221" s="9"/>
      <c r="P221" s="9"/>
      <c r="Q221" s="9"/>
      <c r="T221" s="9"/>
    </row>
    <row r="222">
      <c r="N222" s="9"/>
      <c r="O222" s="9"/>
      <c r="P222" s="9"/>
      <c r="Q222" s="9"/>
      <c r="T222" s="9"/>
    </row>
    <row r="223">
      <c r="N223" s="9"/>
      <c r="O223" s="9"/>
      <c r="P223" s="9"/>
      <c r="Q223" s="9"/>
      <c r="T223" s="9"/>
    </row>
    <row r="224">
      <c r="N224" s="9"/>
      <c r="O224" s="9"/>
      <c r="P224" s="9"/>
      <c r="Q224" s="9"/>
      <c r="T224" s="9"/>
    </row>
    <row r="225">
      <c r="N225" s="9"/>
      <c r="O225" s="9"/>
      <c r="P225" s="9"/>
      <c r="Q225" s="9"/>
      <c r="T225" s="9"/>
    </row>
    <row r="226">
      <c r="N226" s="9"/>
      <c r="O226" s="9"/>
      <c r="P226" s="9"/>
      <c r="Q226" s="9"/>
      <c r="T226" s="9"/>
    </row>
    <row r="227">
      <c r="N227" s="9"/>
      <c r="O227" s="9"/>
      <c r="P227" s="9"/>
      <c r="Q227" s="9"/>
      <c r="T227" s="9"/>
    </row>
    <row r="228">
      <c r="N228" s="9"/>
      <c r="O228" s="9"/>
      <c r="P228" s="9"/>
      <c r="Q228" s="9"/>
      <c r="T228" s="9"/>
    </row>
    <row r="229">
      <c r="N229" s="9"/>
      <c r="O229" s="9"/>
      <c r="P229" s="9"/>
      <c r="Q229" s="9"/>
      <c r="T229" s="9"/>
    </row>
    <row r="230">
      <c r="N230" s="9"/>
      <c r="O230" s="9"/>
      <c r="P230" s="9"/>
      <c r="Q230" s="9"/>
      <c r="T230" s="9"/>
    </row>
    <row r="231">
      <c r="N231" s="9"/>
      <c r="O231" s="9"/>
      <c r="P231" s="9"/>
      <c r="Q231" s="9"/>
      <c r="T231" s="9"/>
    </row>
    <row r="232">
      <c r="N232" s="9"/>
      <c r="O232" s="9"/>
      <c r="P232" s="9"/>
      <c r="Q232" s="9"/>
      <c r="T232" s="9"/>
    </row>
    <row r="233">
      <c r="N233" s="9"/>
      <c r="O233" s="9"/>
      <c r="P233" s="9"/>
      <c r="Q233" s="9"/>
      <c r="T233" s="9"/>
    </row>
    <row r="234">
      <c r="N234" s="9"/>
      <c r="O234" s="9"/>
      <c r="P234" s="9"/>
      <c r="Q234" s="9"/>
      <c r="T234" s="9"/>
    </row>
    <row r="235">
      <c r="N235" s="9"/>
      <c r="O235" s="9"/>
      <c r="P235" s="9"/>
      <c r="Q235" s="9"/>
      <c r="T235" s="9"/>
    </row>
    <row r="236">
      <c r="N236" s="9"/>
      <c r="O236" s="9"/>
      <c r="P236" s="9"/>
      <c r="Q236" s="9"/>
      <c r="T236" s="9"/>
    </row>
    <row r="237">
      <c r="N237" s="9"/>
      <c r="O237" s="9"/>
      <c r="P237" s="9"/>
      <c r="Q237" s="9"/>
      <c r="T237" s="9"/>
    </row>
    <row r="238">
      <c r="N238" s="9"/>
      <c r="O238" s="9"/>
      <c r="P238" s="9"/>
      <c r="Q238" s="9"/>
      <c r="T238" s="9"/>
    </row>
    <row r="239">
      <c r="N239" s="9"/>
      <c r="O239" s="9"/>
      <c r="P239" s="9"/>
      <c r="Q239" s="9"/>
      <c r="T239" s="9"/>
    </row>
    <row r="240">
      <c r="N240" s="9"/>
      <c r="O240" s="9"/>
      <c r="P240" s="9"/>
      <c r="Q240" s="9"/>
      <c r="T240" s="9"/>
    </row>
    <row r="241">
      <c r="N241" s="9"/>
      <c r="O241" s="9"/>
      <c r="P241" s="9"/>
      <c r="Q241" s="9"/>
      <c r="T241" s="9"/>
    </row>
    <row r="242">
      <c r="N242" s="9"/>
      <c r="O242" s="9"/>
      <c r="P242" s="9"/>
      <c r="Q242" s="9"/>
      <c r="T242" s="9"/>
    </row>
    <row r="243">
      <c r="N243" s="9"/>
      <c r="O243" s="9"/>
      <c r="P243" s="9"/>
      <c r="Q243" s="9"/>
      <c r="T243" s="9"/>
    </row>
    <row r="244">
      <c r="N244" s="9"/>
      <c r="O244" s="9"/>
      <c r="P244" s="9"/>
      <c r="Q244" s="9"/>
      <c r="T244" s="9"/>
    </row>
    <row r="245">
      <c r="N245" s="9"/>
      <c r="O245" s="9"/>
      <c r="P245" s="9"/>
      <c r="Q245" s="9"/>
      <c r="T245" s="9"/>
    </row>
    <row r="246">
      <c r="N246" s="9"/>
      <c r="O246" s="9"/>
      <c r="P246" s="9"/>
      <c r="Q246" s="9"/>
      <c r="T246" s="9"/>
    </row>
    <row r="247">
      <c r="N247" s="9"/>
      <c r="O247" s="9"/>
      <c r="P247" s="9"/>
      <c r="Q247" s="9"/>
      <c r="T247" s="9"/>
    </row>
    <row r="248">
      <c r="N248" s="9"/>
      <c r="O248" s="9"/>
      <c r="P248" s="9"/>
      <c r="Q248" s="9"/>
      <c r="T248" s="9"/>
    </row>
    <row r="249">
      <c r="N249" s="9"/>
      <c r="O249" s="9"/>
      <c r="P249" s="9"/>
      <c r="Q249" s="9"/>
      <c r="T249" s="9"/>
    </row>
    <row r="250">
      <c r="N250" s="9"/>
      <c r="O250" s="9"/>
      <c r="P250" s="9"/>
      <c r="Q250" s="9"/>
      <c r="T250" s="9"/>
    </row>
    <row r="251">
      <c r="N251" s="9"/>
      <c r="O251" s="9"/>
      <c r="P251" s="9"/>
      <c r="Q251" s="9"/>
      <c r="T251" s="9"/>
    </row>
    <row r="252">
      <c r="N252" s="9"/>
      <c r="O252" s="9"/>
      <c r="P252" s="9"/>
      <c r="Q252" s="9"/>
      <c r="T252" s="9"/>
    </row>
    <row r="253">
      <c r="N253" s="9"/>
      <c r="O253" s="9"/>
      <c r="P253" s="9"/>
      <c r="Q253" s="9"/>
      <c r="T253" s="9"/>
    </row>
    <row r="254">
      <c r="N254" s="9"/>
      <c r="O254" s="9"/>
      <c r="P254" s="9"/>
      <c r="Q254" s="9"/>
      <c r="T254" s="9"/>
    </row>
    <row r="255">
      <c r="N255" s="9"/>
      <c r="O255" s="9"/>
      <c r="P255" s="9"/>
      <c r="Q255" s="9"/>
      <c r="T255" s="9"/>
    </row>
    <row r="256">
      <c r="N256" s="9"/>
      <c r="O256" s="9"/>
      <c r="P256" s="9"/>
      <c r="Q256" s="9"/>
      <c r="T256" s="9"/>
    </row>
    <row r="257">
      <c r="N257" s="9"/>
      <c r="O257" s="9"/>
      <c r="P257" s="9"/>
      <c r="Q257" s="9"/>
      <c r="T257" s="9"/>
    </row>
    <row r="258">
      <c r="N258" s="9"/>
      <c r="O258" s="9"/>
      <c r="P258" s="9"/>
      <c r="Q258" s="9"/>
      <c r="T258" s="9"/>
    </row>
    <row r="259">
      <c r="N259" s="9"/>
      <c r="O259" s="9"/>
      <c r="P259" s="9"/>
      <c r="Q259" s="9"/>
      <c r="T259" s="9"/>
    </row>
    <row r="260">
      <c r="N260" s="9"/>
      <c r="O260" s="9"/>
      <c r="P260" s="9"/>
      <c r="Q260" s="9"/>
      <c r="T260" s="9"/>
    </row>
    <row r="261">
      <c r="N261" s="9"/>
      <c r="O261" s="9"/>
      <c r="P261" s="9"/>
      <c r="Q261" s="9"/>
      <c r="T261" s="9"/>
    </row>
    <row r="262">
      <c r="N262" s="9"/>
      <c r="O262" s="9"/>
      <c r="P262" s="9"/>
      <c r="Q262" s="9"/>
      <c r="T262" s="9"/>
    </row>
    <row r="263">
      <c r="N263" s="9"/>
      <c r="O263" s="9"/>
      <c r="P263" s="9"/>
      <c r="Q263" s="9"/>
      <c r="T263" s="9"/>
    </row>
    <row r="264">
      <c r="N264" s="9"/>
      <c r="O264" s="9"/>
      <c r="P264" s="9"/>
      <c r="Q264" s="9"/>
      <c r="T264" s="9"/>
    </row>
    <row r="265">
      <c r="N265" s="9"/>
      <c r="O265" s="9"/>
      <c r="P265" s="9"/>
      <c r="Q265" s="9"/>
      <c r="T265" s="9"/>
    </row>
    <row r="266">
      <c r="N266" s="9"/>
      <c r="O266" s="9"/>
      <c r="P266" s="9"/>
      <c r="Q266" s="9"/>
      <c r="T266" s="9"/>
    </row>
    <row r="267">
      <c r="N267" s="9"/>
      <c r="O267" s="9"/>
      <c r="P267" s="9"/>
      <c r="Q267" s="9"/>
      <c r="T267" s="9"/>
    </row>
    <row r="268">
      <c r="N268" s="9"/>
      <c r="O268" s="9"/>
      <c r="P268" s="9"/>
      <c r="Q268" s="9"/>
      <c r="T268" s="9"/>
    </row>
    <row r="269">
      <c r="N269" s="9"/>
      <c r="O269" s="9"/>
      <c r="P269" s="9"/>
      <c r="Q269" s="9"/>
      <c r="T269" s="9"/>
    </row>
    <row r="270">
      <c r="N270" s="9"/>
      <c r="O270" s="9"/>
      <c r="P270" s="9"/>
      <c r="Q270" s="9"/>
      <c r="T270" s="9"/>
    </row>
    <row r="271">
      <c r="N271" s="9"/>
      <c r="O271" s="9"/>
      <c r="P271" s="9"/>
      <c r="Q271" s="9"/>
      <c r="T271" s="9"/>
    </row>
    <row r="272">
      <c r="N272" s="9"/>
      <c r="O272" s="9"/>
      <c r="P272" s="9"/>
      <c r="Q272" s="9"/>
      <c r="T272" s="9"/>
    </row>
    <row r="273">
      <c r="N273" s="9"/>
      <c r="O273" s="9"/>
      <c r="P273" s="9"/>
      <c r="Q273" s="9"/>
      <c r="T273" s="9"/>
    </row>
    <row r="274">
      <c r="N274" s="9"/>
      <c r="O274" s="9"/>
      <c r="P274" s="9"/>
      <c r="Q274" s="9"/>
      <c r="T274" s="9"/>
    </row>
    <row r="275">
      <c r="N275" s="9"/>
      <c r="O275" s="9"/>
      <c r="P275" s="9"/>
      <c r="Q275" s="9"/>
      <c r="T275" s="9"/>
    </row>
    <row r="276">
      <c r="N276" s="9"/>
      <c r="O276" s="9"/>
      <c r="P276" s="9"/>
      <c r="Q276" s="9"/>
      <c r="T276" s="9"/>
    </row>
    <row r="277">
      <c r="N277" s="9"/>
      <c r="O277" s="9"/>
      <c r="P277" s="9"/>
      <c r="Q277" s="9"/>
      <c r="T277" s="9"/>
    </row>
    <row r="278">
      <c r="N278" s="9"/>
      <c r="O278" s="9"/>
      <c r="P278" s="9"/>
      <c r="Q278" s="9"/>
      <c r="T278" s="9"/>
    </row>
    <row r="279">
      <c r="N279" s="9"/>
      <c r="O279" s="9"/>
      <c r="P279" s="9"/>
      <c r="Q279" s="9"/>
      <c r="T279" s="9"/>
    </row>
    <row r="280">
      <c r="N280" s="9"/>
      <c r="O280" s="9"/>
      <c r="P280" s="9"/>
      <c r="Q280" s="9"/>
      <c r="T280" s="9"/>
    </row>
    <row r="281">
      <c r="N281" s="9"/>
      <c r="O281" s="9"/>
      <c r="P281" s="9"/>
      <c r="Q281" s="9"/>
      <c r="T281" s="9"/>
    </row>
    <row r="282">
      <c r="N282" s="9"/>
      <c r="O282" s="9"/>
      <c r="P282" s="9"/>
      <c r="Q282" s="9"/>
      <c r="T282" s="9"/>
    </row>
    <row r="283">
      <c r="N283" s="9"/>
      <c r="O283" s="9"/>
      <c r="P283" s="9"/>
      <c r="Q283" s="9"/>
      <c r="T283" s="9"/>
    </row>
    <row r="284">
      <c r="N284" s="9"/>
      <c r="O284" s="9"/>
      <c r="P284" s="9"/>
      <c r="Q284" s="9"/>
      <c r="T284" s="9"/>
    </row>
    <row r="285">
      <c r="N285" s="9"/>
      <c r="O285" s="9"/>
      <c r="P285" s="9"/>
      <c r="Q285" s="9"/>
      <c r="T285" s="9"/>
    </row>
    <row r="286">
      <c r="N286" s="9"/>
      <c r="O286" s="9"/>
      <c r="P286" s="9"/>
      <c r="Q286" s="9"/>
      <c r="T286" s="9"/>
    </row>
    <row r="287">
      <c r="N287" s="9"/>
      <c r="O287" s="9"/>
      <c r="P287" s="9"/>
      <c r="Q287" s="9"/>
      <c r="T287" s="9"/>
    </row>
    <row r="288">
      <c r="N288" s="9"/>
      <c r="O288" s="9"/>
      <c r="P288" s="9"/>
      <c r="Q288" s="9"/>
      <c r="T288" s="9"/>
    </row>
    <row r="289">
      <c r="N289" s="9"/>
      <c r="O289" s="9"/>
      <c r="P289" s="9"/>
      <c r="Q289" s="9"/>
      <c r="T289" s="9"/>
    </row>
    <row r="290">
      <c r="N290" s="9"/>
      <c r="O290" s="9"/>
      <c r="P290" s="9"/>
      <c r="Q290" s="9"/>
      <c r="T290" s="9"/>
    </row>
    <row r="291">
      <c r="N291" s="9"/>
      <c r="O291" s="9"/>
      <c r="P291" s="9"/>
      <c r="Q291" s="9"/>
      <c r="T291" s="9"/>
    </row>
    <row r="292">
      <c r="N292" s="9"/>
      <c r="O292" s="9"/>
      <c r="P292" s="9"/>
      <c r="Q292" s="9"/>
      <c r="T292" s="9"/>
    </row>
    <row r="293">
      <c r="N293" s="9"/>
      <c r="O293" s="9"/>
      <c r="P293" s="9"/>
      <c r="Q293" s="9"/>
      <c r="T293" s="9"/>
    </row>
    <row r="294">
      <c r="N294" s="9"/>
      <c r="O294" s="9"/>
      <c r="P294" s="9"/>
      <c r="Q294" s="9"/>
      <c r="T294" s="9"/>
    </row>
    <row r="295">
      <c r="N295" s="9"/>
      <c r="O295" s="9"/>
      <c r="P295" s="9"/>
      <c r="Q295" s="9"/>
      <c r="T295" s="9"/>
    </row>
    <row r="296">
      <c r="N296" s="9"/>
      <c r="O296" s="9"/>
      <c r="P296" s="9"/>
      <c r="Q296" s="9"/>
      <c r="T296" s="9"/>
    </row>
    <row r="297">
      <c r="N297" s="9"/>
      <c r="O297" s="9"/>
      <c r="P297" s="9"/>
      <c r="Q297" s="9"/>
      <c r="T297" s="9"/>
    </row>
    <row r="298">
      <c r="N298" s="9"/>
      <c r="O298" s="9"/>
      <c r="P298" s="9"/>
      <c r="Q298" s="9"/>
      <c r="T298" s="9"/>
    </row>
    <row r="299">
      <c r="N299" s="9"/>
      <c r="O299" s="9"/>
      <c r="P299" s="9"/>
      <c r="Q299" s="9"/>
      <c r="T299" s="9"/>
    </row>
    <row r="300">
      <c r="N300" s="9"/>
      <c r="O300" s="9"/>
      <c r="P300" s="9"/>
      <c r="Q300" s="9"/>
      <c r="T300" s="9"/>
    </row>
    <row r="301">
      <c r="N301" s="9"/>
      <c r="O301" s="9"/>
      <c r="P301" s="9"/>
      <c r="Q301" s="9"/>
      <c r="T301" s="9"/>
    </row>
    <row r="302">
      <c r="N302" s="9"/>
      <c r="O302" s="9"/>
      <c r="P302" s="9"/>
      <c r="Q302" s="9"/>
      <c r="T302" s="9"/>
    </row>
    <row r="303">
      <c r="N303" s="9"/>
      <c r="O303" s="9"/>
      <c r="P303" s="9"/>
      <c r="Q303" s="9"/>
      <c r="T303" s="9"/>
    </row>
    <row r="304">
      <c r="N304" s="9"/>
      <c r="O304" s="9"/>
      <c r="P304" s="9"/>
      <c r="Q304" s="9"/>
      <c r="T304" s="9"/>
    </row>
    <row r="305">
      <c r="N305" s="9"/>
      <c r="O305" s="9"/>
      <c r="P305" s="9"/>
      <c r="Q305" s="9"/>
      <c r="T305" s="9"/>
    </row>
    <row r="306">
      <c r="N306" s="9"/>
      <c r="O306" s="9"/>
      <c r="P306" s="9"/>
      <c r="Q306" s="9"/>
      <c r="T306" s="9"/>
    </row>
    <row r="307">
      <c r="N307" s="9"/>
      <c r="O307" s="9"/>
      <c r="P307" s="9"/>
      <c r="Q307" s="9"/>
      <c r="T307" s="9"/>
    </row>
    <row r="308">
      <c r="N308" s="9"/>
      <c r="O308" s="9"/>
      <c r="P308" s="9"/>
      <c r="Q308" s="9"/>
      <c r="T308" s="9"/>
    </row>
    <row r="309">
      <c r="N309" s="9"/>
      <c r="O309" s="9"/>
      <c r="P309" s="9"/>
      <c r="Q309" s="9"/>
      <c r="T309" s="9"/>
    </row>
    <row r="310">
      <c r="N310" s="9"/>
      <c r="O310" s="9"/>
      <c r="P310" s="9"/>
      <c r="Q310" s="9"/>
      <c r="T310" s="9"/>
    </row>
    <row r="311">
      <c r="N311" s="9"/>
      <c r="O311" s="9"/>
      <c r="P311" s="9"/>
      <c r="Q311" s="9"/>
      <c r="T311" s="9"/>
    </row>
    <row r="312">
      <c r="N312" s="9"/>
      <c r="O312" s="9"/>
      <c r="P312" s="9"/>
      <c r="Q312" s="9"/>
      <c r="T312" s="9"/>
    </row>
    <row r="313">
      <c r="N313" s="9"/>
      <c r="O313" s="9"/>
      <c r="P313" s="9"/>
      <c r="Q313" s="9"/>
      <c r="T313" s="9"/>
    </row>
    <row r="314">
      <c r="N314" s="9"/>
      <c r="O314" s="9"/>
      <c r="P314" s="9"/>
      <c r="Q314" s="9"/>
      <c r="T314" s="9"/>
    </row>
    <row r="315">
      <c r="N315" s="9"/>
      <c r="O315" s="9"/>
      <c r="P315" s="9"/>
      <c r="Q315" s="9"/>
      <c r="T315" s="9"/>
    </row>
    <row r="316">
      <c r="N316" s="9"/>
      <c r="O316" s="9"/>
      <c r="P316" s="9"/>
      <c r="Q316" s="9"/>
      <c r="T316" s="9"/>
    </row>
    <row r="317">
      <c r="N317" s="9"/>
      <c r="O317" s="9"/>
      <c r="P317" s="9"/>
      <c r="Q317" s="9"/>
      <c r="T317" s="9"/>
    </row>
    <row r="318">
      <c r="N318" s="9"/>
      <c r="O318" s="9"/>
      <c r="P318" s="9"/>
      <c r="Q318" s="9"/>
      <c r="T318" s="9"/>
    </row>
    <row r="319">
      <c r="N319" s="9"/>
      <c r="O319" s="9"/>
      <c r="P319" s="9"/>
      <c r="Q319" s="9"/>
      <c r="T319" s="9"/>
    </row>
    <row r="320">
      <c r="N320" s="9"/>
      <c r="O320" s="9"/>
      <c r="P320" s="9"/>
      <c r="Q320" s="9"/>
      <c r="T320" s="9"/>
    </row>
    <row r="321">
      <c r="N321" s="9"/>
      <c r="O321" s="9"/>
      <c r="P321" s="9"/>
      <c r="Q321" s="9"/>
      <c r="T321" s="9"/>
    </row>
    <row r="322">
      <c r="N322" s="9"/>
      <c r="O322" s="9"/>
      <c r="P322" s="9"/>
      <c r="Q322" s="9"/>
      <c r="T322" s="9"/>
    </row>
    <row r="323">
      <c r="N323" s="9"/>
      <c r="O323" s="9"/>
      <c r="P323" s="9"/>
      <c r="Q323" s="9"/>
      <c r="T323" s="9"/>
    </row>
    <row r="324">
      <c r="N324" s="9"/>
      <c r="O324" s="9"/>
      <c r="P324" s="9"/>
      <c r="Q324" s="9"/>
      <c r="T324" s="9"/>
    </row>
    <row r="325">
      <c r="N325" s="9"/>
      <c r="O325" s="9"/>
      <c r="P325" s="9"/>
      <c r="Q325" s="9"/>
      <c r="T325" s="9"/>
    </row>
    <row r="326">
      <c r="N326" s="9"/>
      <c r="O326" s="9"/>
      <c r="P326" s="9"/>
      <c r="Q326" s="9"/>
      <c r="T326" s="9"/>
    </row>
    <row r="327">
      <c r="N327" s="9"/>
      <c r="O327" s="9"/>
      <c r="P327" s="9"/>
      <c r="Q327" s="9"/>
      <c r="T327" s="9"/>
    </row>
    <row r="328">
      <c r="N328" s="9"/>
      <c r="O328" s="9"/>
      <c r="P328" s="9"/>
      <c r="Q328" s="9"/>
      <c r="T328" s="9"/>
    </row>
    <row r="329">
      <c r="N329" s="9"/>
      <c r="O329" s="9"/>
      <c r="P329" s="9"/>
      <c r="Q329" s="9"/>
      <c r="T329" s="9"/>
    </row>
    <row r="330">
      <c r="N330" s="9"/>
      <c r="O330" s="9"/>
      <c r="P330" s="9"/>
      <c r="Q330" s="9"/>
      <c r="T330" s="9"/>
    </row>
    <row r="331">
      <c r="N331" s="9"/>
      <c r="O331" s="9"/>
      <c r="P331" s="9"/>
      <c r="Q331" s="9"/>
      <c r="T331" s="9"/>
    </row>
    <row r="332">
      <c r="N332" s="9"/>
      <c r="O332" s="9"/>
      <c r="P332" s="9"/>
      <c r="Q332" s="9"/>
      <c r="T332" s="9"/>
    </row>
    <row r="333">
      <c r="N333" s="9"/>
      <c r="O333" s="9"/>
      <c r="P333" s="9"/>
      <c r="Q333" s="9"/>
      <c r="T333" s="9"/>
    </row>
    <row r="334">
      <c r="N334" s="9"/>
      <c r="O334" s="9"/>
      <c r="P334" s="9"/>
      <c r="Q334" s="9"/>
      <c r="T334" s="9"/>
    </row>
    <row r="335">
      <c r="N335" s="9"/>
      <c r="O335" s="9"/>
      <c r="P335" s="9"/>
      <c r="Q335" s="9"/>
      <c r="T335" s="9"/>
    </row>
    <row r="336">
      <c r="N336" s="9"/>
      <c r="O336" s="9"/>
      <c r="P336" s="9"/>
      <c r="Q336" s="9"/>
      <c r="T336" s="9"/>
    </row>
    <row r="337">
      <c r="N337" s="9"/>
      <c r="O337" s="9"/>
      <c r="P337" s="9"/>
      <c r="Q337" s="9"/>
      <c r="T337" s="9"/>
    </row>
    <row r="338">
      <c r="N338" s="9"/>
      <c r="O338" s="9"/>
      <c r="P338" s="9"/>
      <c r="Q338" s="9"/>
      <c r="T338" s="9"/>
    </row>
    <row r="339">
      <c r="N339" s="9"/>
      <c r="O339" s="9"/>
      <c r="P339" s="9"/>
      <c r="Q339" s="9"/>
      <c r="T339" s="9"/>
    </row>
    <row r="340">
      <c r="N340" s="9"/>
      <c r="O340" s="9"/>
      <c r="P340" s="9"/>
      <c r="Q340" s="9"/>
      <c r="T340" s="9"/>
    </row>
    <row r="341">
      <c r="N341" s="9"/>
      <c r="O341" s="9"/>
      <c r="P341" s="9"/>
      <c r="Q341" s="9"/>
      <c r="T341" s="9"/>
    </row>
    <row r="342">
      <c r="N342" s="9"/>
      <c r="O342" s="9"/>
      <c r="P342" s="9"/>
      <c r="Q342" s="9"/>
      <c r="T342" s="9"/>
    </row>
    <row r="343">
      <c r="N343" s="9"/>
      <c r="O343" s="9"/>
      <c r="P343" s="9"/>
      <c r="Q343" s="9"/>
      <c r="T343" s="9"/>
    </row>
    <row r="344">
      <c r="N344" s="9"/>
      <c r="O344" s="9"/>
      <c r="P344" s="9"/>
      <c r="Q344" s="9"/>
      <c r="T344" s="9"/>
    </row>
    <row r="345">
      <c r="N345" s="9"/>
      <c r="O345" s="9"/>
      <c r="P345" s="9"/>
      <c r="Q345" s="9"/>
      <c r="T345" s="9"/>
    </row>
    <row r="346">
      <c r="N346" s="9"/>
      <c r="O346" s="9"/>
      <c r="P346" s="9"/>
      <c r="Q346" s="9"/>
      <c r="T346" s="9"/>
    </row>
    <row r="347">
      <c r="N347" s="9"/>
      <c r="O347" s="9"/>
      <c r="P347" s="9"/>
      <c r="Q347" s="9"/>
      <c r="T347" s="9"/>
    </row>
    <row r="348">
      <c r="N348" s="9"/>
      <c r="O348" s="9"/>
      <c r="P348" s="9"/>
      <c r="Q348" s="9"/>
      <c r="T348" s="9"/>
    </row>
    <row r="349">
      <c r="N349" s="9"/>
      <c r="O349" s="9"/>
      <c r="P349" s="9"/>
      <c r="Q349" s="9"/>
      <c r="T349" s="9"/>
    </row>
    <row r="350">
      <c r="N350" s="9"/>
      <c r="O350" s="9"/>
      <c r="P350" s="9"/>
      <c r="Q350" s="9"/>
      <c r="T350" s="9"/>
    </row>
    <row r="351">
      <c r="N351" s="9"/>
      <c r="O351" s="9"/>
      <c r="P351" s="9"/>
      <c r="Q351" s="9"/>
      <c r="T351" s="9"/>
    </row>
    <row r="352">
      <c r="N352" s="9"/>
      <c r="O352" s="9"/>
      <c r="P352" s="9"/>
      <c r="Q352" s="9"/>
      <c r="T352" s="9"/>
    </row>
    <row r="353">
      <c r="N353" s="9"/>
      <c r="O353" s="9"/>
      <c r="P353" s="9"/>
      <c r="Q353" s="9"/>
      <c r="T353" s="9"/>
    </row>
    <row r="354">
      <c r="N354" s="9"/>
      <c r="O354" s="9"/>
      <c r="P354" s="9"/>
      <c r="Q354" s="9"/>
      <c r="T354" s="9"/>
    </row>
    <row r="355">
      <c r="N355" s="9"/>
      <c r="O355" s="9"/>
      <c r="P355" s="9"/>
      <c r="Q355" s="9"/>
      <c r="T355" s="9"/>
    </row>
    <row r="356">
      <c r="N356" s="9"/>
      <c r="O356" s="9"/>
      <c r="P356" s="9"/>
      <c r="Q356" s="9"/>
      <c r="T356" s="9"/>
    </row>
    <row r="357">
      <c r="N357" s="9"/>
      <c r="O357" s="9"/>
      <c r="P357" s="9"/>
      <c r="Q357" s="9"/>
      <c r="T357" s="9"/>
    </row>
    <row r="358">
      <c r="N358" s="9"/>
      <c r="O358" s="9"/>
      <c r="P358" s="9"/>
      <c r="Q358" s="9"/>
      <c r="T358" s="9"/>
    </row>
    <row r="359">
      <c r="N359" s="9"/>
      <c r="O359" s="9"/>
      <c r="P359" s="9"/>
      <c r="Q359" s="9"/>
      <c r="T359" s="9"/>
    </row>
    <row r="360">
      <c r="N360" s="9"/>
      <c r="O360" s="9"/>
      <c r="P360" s="9"/>
      <c r="Q360" s="9"/>
      <c r="T360" s="9"/>
    </row>
    <row r="361">
      <c r="N361" s="9"/>
      <c r="O361" s="9"/>
      <c r="P361" s="9"/>
      <c r="Q361" s="9"/>
      <c r="T361" s="9"/>
    </row>
    <row r="362">
      <c r="N362" s="9"/>
      <c r="O362" s="9"/>
      <c r="P362" s="9"/>
      <c r="Q362" s="9"/>
      <c r="T362" s="9"/>
    </row>
    <row r="363">
      <c r="N363" s="9"/>
      <c r="O363" s="9"/>
      <c r="P363" s="9"/>
      <c r="Q363" s="9"/>
      <c r="T363" s="9"/>
    </row>
    <row r="364">
      <c r="N364" s="9"/>
      <c r="O364" s="9"/>
      <c r="P364" s="9"/>
      <c r="Q364" s="9"/>
      <c r="T364" s="9"/>
    </row>
    <row r="365">
      <c r="N365" s="9"/>
      <c r="O365" s="9"/>
      <c r="P365" s="9"/>
      <c r="Q365" s="9"/>
      <c r="T365" s="9"/>
    </row>
    <row r="366">
      <c r="N366" s="9"/>
      <c r="O366" s="9"/>
      <c r="P366" s="9"/>
      <c r="Q366" s="9"/>
      <c r="T366" s="9"/>
    </row>
    <row r="367">
      <c r="N367" s="9"/>
      <c r="O367" s="9"/>
      <c r="P367" s="9"/>
      <c r="Q367" s="9"/>
      <c r="T367" s="9"/>
    </row>
    <row r="368">
      <c r="N368" s="9"/>
      <c r="O368" s="9"/>
      <c r="P368" s="9"/>
      <c r="Q368" s="9"/>
      <c r="T368" s="9"/>
    </row>
    <row r="369">
      <c r="N369" s="9"/>
      <c r="O369" s="9"/>
      <c r="P369" s="9"/>
      <c r="Q369" s="9"/>
      <c r="T369" s="9"/>
    </row>
    <row r="370">
      <c r="N370" s="9"/>
      <c r="O370" s="9"/>
      <c r="P370" s="9"/>
      <c r="Q370" s="9"/>
      <c r="T370" s="9"/>
    </row>
    <row r="371">
      <c r="N371" s="9"/>
      <c r="O371" s="9"/>
      <c r="P371" s="9"/>
      <c r="Q371" s="9"/>
      <c r="T371" s="9"/>
    </row>
    <row r="372">
      <c r="N372" s="9"/>
      <c r="O372" s="9"/>
      <c r="P372" s="9"/>
      <c r="Q372" s="9"/>
      <c r="T372" s="9"/>
    </row>
    <row r="373">
      <c r="N373" s="9"/>
      <c r="O373" s="9"/>
      <c r="P373" s="9"/>
      <c r="Q373" s="9"/>
      <c r="T373" s="9"/>
    </row>
    <row r="374">
      <c r="N374" s="9"/>
      <c r="O374" s="9"/>
      <c r="P374" s="9"/>
      <c r="Q374" s="9"/>
      <c r="T374" s="9"/>
    </row>
    <row r="375">
      <c r="N375" s="9"/>
      <c r="O375" s="9"/>
      <c r="P375" s="9"/>
      <c r="Q375" s="9"/>
      <c r="T375" s="9"/>
    </row>
    <row r="376">
      <c r="N376" s="9"/>
      <c r="O376" s="9"/>
      <c r="P376" s="9"/>
      <c r="Q376" s="9"/>
      <c r="T376" s="9"/>
    </row>
    <row r="377">
      <c r="N377" s="9"/>
      <c r="O377" s="9"/>
      <c r="P377" s="9"/>
      <c r="Q377" s="9"/>
      <c r="T377" s="9"/>
    </row>
    <row r="378">
      <c r="N378" s="9"/>
      <c r="O378" s="9"/>
      <c r="P378" s="9"/>
      <c r="Q378" s="9"/>
      <c r="T378" s="9"/>
    </row>
    <row r="379">
      <c r="N379" s="9"/>
      <c r="O379" s="9"/>
      <c r="P379" s="9"/>
      <c r="Q379" s="9"/>
      <c r="T379" s="9"/>
    </row>
    <row r="380">
      <c r="N380" s="9"/>
      <c r="O380" s="9"/>
      <c r="P380" s="9"/>
      <c r="Q380" s="9"/>
      <c r="T380" s="9"/>
    </row>
    <row r="381">
      <c r="N381" s="9"/>
      <c r="O381" s="9"/>
      <c r="P381" s="9"/>
      <c r="Q381" s="9"/>
      <c r="T381" s="9"/>
    </row>
    <row r="382">
      <c r="N382" s="9"/>
      <c r="O382" s="9"/>
      <c r="P382" s="9"/>
      <c r="Q382" s="9"/>
      <c r="T382" s="9"/>
    </row>
    <row r="383">
      <c r="N383" s="9"/>
      <c r="O383" s="9"/>
      <c r="P383" s="9"/>
      <c r="Q383" s="9"/>
      <c r="T383" s="9"/>
    </row>
    <row r="384">
      <c r="N384" s="9"/>
      <c r="O384" s="9"/>
      <c r="P384" s="9"/>
      <c r="Q384" s="9"/>
      <c r="T384" s="9"/>
    </row>
    <row r="385">
      <c r="N385" s="9"/>
      <c r="O385" s="9"/>
      <c r="P385" s="9"/>
      <c r="Q385" s="9"/>
      <c r="T385" s="9"/>
    </row>
    <row r="386">
      <c r="N386" s="9"/>
      <c r="O386" s="9"/>
      <c r="P386" s="9"/>
      <c r="Q386" s="9"/>
      <c r="T386" s="9"/>
    </row>
    <row r="387">
      <c r="N387" s="9"/>
      <c r="O387" s="9"/>
      <c r="P387" s="9"/>
      <c r="Q387" s="9"/>
      <c r="T387" s="9"/>
    </row>
    <row r="388">
      <c r="N388" s="9"/>
      <c r="O388" s="9"/>
      <c r="P388" s="9"/>
      <c r="Q388" s="9"/>
      <c r="T388" s="9"/>
    </row>
    <row r="389">
      <c r="N389" s="9"/>
      <c r="O389" s="9"/>
      <c r="P389" s="9"/>
      <c r="Q389" s="9"/>
      <c r="T389" s="9"/>
    </row>
    <row r="390">
      <c r="N390" s="9"/>
      <c r="O390" s="9"/>
      <c r="P390" s="9"/>
      <c r="Q390" s="9"/>
      <c r="T390" s="9"/>
    </row>
    <row r="391">
      <c r="N391" s="9"/>
      <c r="O391" s="9"/>
      <c r="P391" s="9"/>
      <c r="Q391" s="9"/>
      <c r="T391" s="9"/>
    </row>
    <row r="392">
      <c r="N392" s="9"/>
      <c r="O392" s="9"/>
      <c r="P392" s="9"/>
      <c r="Q392" s="9"/>
      <c r="T392" s="9"/>
    </row>
    <row r="393">
      <c r="N393" s="9"/>
      <c r="O393" s="9"/>
      <c r="P393" s="9"/>
      <c r="Q393" s="9"/>
      <c r="T393" s="9"/>
    </row>
    <row r="394">
      <c r="N394" s="9"/>
      <c r="O394" s="9"/>
      <c r="P394" s="9"/>
      <c r="Q394" s="9"/>
      <c r="T394" s="9"/>
    </row>
    <row r="395">
      <c r="N395" s="9"/>
      <c r="O395" s="9"/>
      <c r="P395" s="9"/>
      <c r="Q395" s="9"/>
      <c r="T395" s="9"/>
    </row>
    <row r="396">
      <c r="N396" s="9"/>
      <c r="O396" s="9"/>
      <c r="P396" s="9"/>
      <c r="Q396" s="9"/>
      <c r="T396" s="9"/>
    </row>
    <row r="397">
      <c r="N397" s="9"/>
      <c r="O397" s="9"/>
      <c r="P397" s="9"/>
      <c r="Q397" s="9"/>
      <c r="T397" s="9"/>
    </row>
    <row r="398">
      <c r="N398" s="9"/>
      <c r="O398" s="9"/>
      <c r="P398" s="9"/>
      <c r="Q398" s="9"/>
      <c r="T398" s="9"/>
    </row>
    <row r="399">
      <c r="N399" s="9"/>
      <c r="O399" s="9"/>
      <c r="P399" s="9"/>
      <c r="Q399" s="9"/>
      <c r="T399" s="9"/>
    </row>
    <row r="400">
      <c r="N400" s="9"/>
      <c r="O400" s="9"/>
      <c r="P400" s="9"/>
      <c r="Q400" s="9"/>
      <c r="T400" s="9"/>
    </row>
    <row r="401">
      <c r="N401" s="9"/>
      <c r="O401" s="9"/>
      <c r="P401" s="9"/>
      <c r="Q401" s="9"/>
      <c r="T401" s="9"/>
    </row>
    <row r="402">
      <c r="N402" s="9"/>
      <c r="O402" s="9"/>
      <c r="P402" s="9"/>
      <c r="Q402" s="9"/>
      <c r="T402" s="9"/>
    </row>
    <row r="403">
      <c r="N403" s="9"/>
      <c r="O403" s="9"/>
      <c r="P403" s="9"/>
      <c r="Q403" s="9"/>
      <c r="T403" s="9"/>
    </row>
    <row r="404">
      <c r="N404" s="9"/>
      <c r="O404" s="9"/>
      <c r="P404" s="9"/>
      <c r="Q404" s="9"/>
      <c r="T404" s="9"/>
    </row>
    <row r="405">
      <c r="N405" s="9"/>
      <c r="O405" s="9"/>
      <c r="P405" s="9"/>
      <c r="Q405" s="9"/>
      <c r="T405" s="9"/>
    </row>
    <row r="406">
      <c r="N406" s="9"/>
      <c r="O406" s="9"/>
      <c r="P406" s="9"/>
      <c r="Q406" s="9"/>
      <c r="T406" s="9"/>
    </row>
    <row r="407">
      <c r="N407" s="9"/>
      <c r="O407" s="9"/>
      <c r="P407" s="9"/>
      <c r="Q407" s="9"/>
      <c r="T407" s="9"/>
    </row>
    <row r="408">
      <c r="N408" s="9"/>
      <c r="O408" s="9"/>
      <c r="P408" s="9"/>
      <c r="Q408" s="9"/>
      <c r="T408" s="9"/>
    </row>
    <row r="409">
      <c r="N409" s="9"/>
      <c r="O409" s="9"/>
      <c r="P409" s="9"/>
      <c r="Q409" s="9"/>
      <c r="T409" s="9"/>
    </row>
    <row r="410">
      <c r="N410" s="9"/>
      <c r="O410" s="9"/>
      <c r="P410" s="9"/>
      <c r="Q410" s="9"/>
      <c r="T410" s="9"/>
    </row>
    <row r="411">
      <c r="N411" s="9"/>
      <c r="O411" s="9"/>
      <c r="P411" s="9"/>
      <c r="Q411" s="9"/>
      <c r="T411" s="9"/>
    </row>
    <row r="412">
      <c r="N412" s="9"/>
      <c r="O412" s="9"/>
      <c r="P412" s="9"/>
      <c r="Q412" s="9"/>
      <c r="T412" s="9"/>
    </row>
    <row r="413">
      <c r="N413" s="9"/>
      <c r="O413" s="9"/>
      <c r="P413" s="9"/>
      <c r="Q413" s="9"/>
      <c r="T413" s="9"/>
    </row>
    <row r="414">
      <c r="N414" s="9"/>
      <c r="O414" s="9"/>
      <c r="P414" s="9"/>
      <c r="Q414" s="9"/>
      <c r="T414" s="9"/>
    </row>
    <row r="415">
      <c r="N415" s="9"/>
      <c r="O415" s="9"/>
      <c r="P415" s="9"/>
      <c r="Q415" s="9"/>
      <c r="T415" s="9"/>
    </row>
    <row r="416">
      <c r="N416" s="9"/>
      <c r="O416" s="9"/>
      <c r="P416" s="9"/>
      <c r="Q416" s="9"/>
      <c r="T416" s="9"/>
    </row>
    <row r="417">
      <c r="N417" s="9"/>
      <c r="O417" s="9"/>
      <c r="P417" s="9"/>
      <c r="Q417" s="9"/>
      <c r="T417" s="9"/>
    </row>
    <row r="418">
      <c r="N418" s="9"/>
      <c r="O418" s="9"/>
      <c r="P418" s="9"/>
      <c r="Q418" s="9"/>
      <c r="T418" s="9"/>
    </row>
    <row r="419">
      <c r="N419" s="9"/>
      <c r="O419" s="9"/>
      <c r="P419" s="9"/>
      <c r="Q419" s="9"/>
      <c r="T419" s="9"/>
    </row>
    <row r="420">
      <c r="N420" s="9"/>
      <c r="O420" s="9"/>
      <c r="P420" s="9"/>
      <c r="Q420" s="9"/>
      <c r="T420" s="9"/>
    </row>
    <row r="421">
      <c r="N421" s="9"/>
      <c r="O421" s="9"/>
      <c r="P421" s="9"/>
      <c r="Q421" s="9"/>
      <c r="T421" s="9"/>
    </row>
    <row r="422">
      <c r="N422" s="9"/>
      <c r="O422" s="9"/>
      <c r="P422" s="9"/>
      <c r="Q422" s="9"/>
      <c r="T422" s="9"/>
    </row>
    <row r="423">
      <c r="N423" s="9"/>
      <c r="O423" s="9"/>
      <c r="P423" s="9"/>
      <c r="Q423" s="9"/>
      <c r="T423" s="9"/>
    </row>
    <row r="424">
      <c r="N424" s="9"/>
      <c r="O424" s="9"/>
      <c r="P424" s="9"/>
      <c r="Q424" s="9"/>
      <c r="T424" s="9"/>
    </row>
    <row r="425">
      <c r="N425" s="9"/>
      <c r="O425" s="9"/>
      <c r="P425" s="9"/>
      <c r="Q425" s="9"/>
      <c r="T425" s="9"/>
    </row>
    <row r="426">
      <c r="N426" s="9"/>
      <c r="O426" s="9"/>
      <c r="P426" s="9"/>
      <c r="Q426" s="9"/>
      <c r="T426" s="9"/>
    </row>
    <row r="427">
      <c r="N427" s="9"/>
      <c r="O427" s="9"/>
      <c r="P427" s="9"/>
      <c r="Q427" s="9"/>
      <c r="T427" s="9"/>
    </row>
    <row r="428">
      <c r="N428" s="9"/>
      <c r="O428" s="9"/>
      <c r="P428" s="9"/>
      <c r="Q428" s="9"/>
      <c r="T428" s="9"/>
    </row>
    <row r="429">
      <c r="N429" s="9"/>
      <c r="O429" s="9"/>
      <c r="P429" s="9"/>
      <c r="Q429" s="9"/>
      <c r="T429" s="9"/>
    </row>
    <row r="430">
      <c r="N430" s="9"/>
      <c r="O430" s="9"/>
      <c r="P430" s="9"/>
      <c r="Q430" s="9"/>
      <c r="T430" s="9"/>
    </row>
    <row r="431">
      <c r="N431" s="9"/>
      <c r="O431" s="9"/>
      <c r="P431" s="9"/>
      <c r="Q431" s="9"/>
      <c r="T431" s="9"/>
    </row>
    <row r="432">
      <c r="N432" s="9"/>
      <c r="O432" s="9"/>
      <c r="P432" s="9"/>
      <c r="Q432" s="9"/>
      <c r="T432" s="9"/>
    </row>
    <row r="433">
      <c r="N433" s="9"/>
      <c r="O433" s="9"/>
      <c r="P433" s="9"/>
      <c r="Q433" s="9"/>
      <c r="T433" s="9"/>
    </row>
    <row r="434">
      <c r="N434" s="9"/>
      <c r="O434" s="9"/>
      <c r="P434" s="9"/>
      <c r="Q434" s="9"/>
      <c r="T434" s="9"/>
    </row>
    <row r="435">
      <c r="N435" s="9"/>
      <c r="O435" s="9"/>
      <c r="P435" s="9"/>
      <c r="Q435" s="9"/>
      <c r="T435" s="9"/>
    </row>
    <row r="436">
      <c r="N436" s="9"/>
      <c r="O436" s="9"/>
      <c r="P436" s="9"/>
      <c r="Q436" s="9"/>
      <c r="T436" s="9"/>
    </row>
    <row r="437">
      <c r="N437" s="9"/>
      <c r="O437" s="9"/>
      <c r="P437" s="9"/>
      <c r="Q437" s="9"/>
      <c r="T437" s="9"/>
    </row>
    <row r="438">
      <c r="N438" s="9"/>
      <c r="O438" s="9"/>
      <c r="P438" s="9"/>
      <c r="Q438" s="9"/>
      <c r="T438" s="9"/>
    </row>
    <row r="439">
      <c r="N439" s="9"/>
      <c r="O439" s="9"/>
      <c r="P439" s="9"/>
      <c r="Q439" s="9"/>
      <c r="T439" s="9"/>
    </row>
    <row r="440">
      <c r="N440" s="9"/>
      <c r="O440" s="9"/>
      <c r="P440" s="9"/>
      <c r="Q440" s="9"/>
      <c r="T440" s="9"/>
    </row>
    <row r="441">
      <c r="N441" s="9"/>
      <c r="O441" s="9"/>
      <c r="P441" s="9"/>
      <c r="Q441" s="9"/>
      <c r="T441" s="9"/>
    </row>
    <row r="442">
      <c r="N442" s="9"/>
      <c r="O442" s="9"/>
      <c r="P442" s="9"/>
      <c r="Q442" s="9"/>
      <c r="T442" s="9"/>
    </row>
    <row r="443">
      <c r="N443" s="9"/>
      <c r="O443" s="9"/>
      <c r="P443" s="9"/>
      <c r="Q443" s="9"/>
      <c r="T443" s="9"/>
    </row>
    <row r="444">
      <c r="N444" s="9"/>
      <c r="O444" s="9"/>
      <c r="P444" s="9"/>
      <c r="Q444" s="9"/>
      <c r="T444" s="9"/>
    </row>
    <row r="445">
      <c r="N445" s="9"/>
      <c r="O445" s="9"/>
      <c r="P445" s="9"/>
      <c r="Q445" s="9"/>
      <c r="T445" s="9"/>
    </row>
    <row r="446">
      <c r="N446" s="9"/>
      <c r="O446" s="9"/>
      <c r="P446" s="9"/>
      <c r="Q446" s="9"/>
      <c r="T446" s="9"/>
    </row>
    <row r="447">
      <c r="N447" s="9"/>
      <c r="O447" s="9"/>
      <c r="P447" s="9"/>
      <c r="Q447" s="9"/>
      <c r="T447" s="9"/>
    </row>
    <row r="448">
      <c r="N448" s="9"/>
      <c r="O448" s="9"/>
      <c r="P448" s="9"/>
      <c r="Q448" s="9"/>
      <c r="T448" s="9"/>
    </row>
    <row r="449">
      <c r="N449" s="9"/>
      <c r="O449" s="9"/>
      <c r="P449" s="9"/>
      <c r="Q449" s="9"/>
      <c r="T449" s="9"/>
    </row>
    <row r="450">
      <c r="N450" s="9"/>
      <c r="O450" s="9"/>
      <c r="P450" s="9"/>
      <c r="Q450" s="9"/>
      <c r="T450" s="9"/>
    </row>
    <row r="451">
      <c r="N451" s="9"/>
      <c r="O451" s="9"/>
      <c r="P451" s="9"/>
      <c r="Q451" s="9"/>
      <c r="T451" s="9"/>
    </row>
    <row r="452">
      <c r="N452" s="9"/>
      <c r="O452" s="9"/>
      <c r="P452" s="9"/>
      <c r="Q452" s="9"/>
      <c r="T452" s="9"/>
    </row>
    <row r="453">
      <c r="N453" s="9"/>
      <c r="O453" s="9"/>
      <c r="P453" s="9"/>
      <c r="Q453" s="9"/>
      <c r="T453" s="9"/>
    </row>
    <row r="454">
      <c r="N454" s="9"/>
      <c r="O454" s="9"/>
      <c r="P454" s="9"/>
      <c r="Q454" s="9"/>
      <c r="T454" s="9"/>
    </row>
    <row r="455">
      <c r="N455" s="9"/>
      <c r="O455" s="9"/>
      <c r="P455" s="9"/>
      <c r="Q455" s="9"/>
      <c r="T455" s="9"/>
    </row>
    <row r="456">
      <c r="N456" s="9"/>
      <c r="O456" s="9"/>
      <c r="P456" s="9"/>
      <c r="Q456" s="9"/>
      <c r="T456" s="9"/>
    </row>
    <row r="457">
      <c r="N457" s="9"/>
      <c r="O457" s="9"/>
      <c r="P457" s="9"/>
      <c r="Q457" s="9"/>
      <c r="T457" s="9"/>
    </row>
    <row r="458">
      <c r="N458" s="9"/>
      <c r="O458" s="9"/>
      <c r="P458" s="9"/>
      <c r="Q458" s="9"/>
      <c r="T458" s="9"/>
    </row>
    <row r="459">
      <c r="N459" s="9"/>
      <c r="O459" s="9"/>
      <c r="P459" s="9"/>
      <c r="Q459" s="9"/>
      <c r="T459" s="9"/>
    </row>
    <row r="460">
      <c r="N460" s="9"/>
      <c r="O460" s="9"/>
      <c r="P460" s="9"/>
      <c r="Q460" s="9"/>
      <c r="T460" s="9"/>
    </row>
    <row r="461">
      <c r="N461" s="9"/>
      <c r="O461" s="9"/>
      <c r="P461" s="9"/>
      <c r="Q461" s="9"/>
      <c r="T461" s="9"/>
    </row>
    <row r="462">
      <c r="N462" s="9"/>
      <c r="O462" s="9"/>
      <c r="P462" s="9"/>
      <c r="Q462" s="9"/>
      <c r="T462" s="9"/>
    </row>
    <row r="463">
      <c r="N463" s="9"/>
      <c r="O463" s="9"/>
      <c r="P463" s="9"/>
      <c r="Q463" s="9"/>
      <c r="T463" s="9"/>
    </row>
    <row r="464">
      <c r="N464" s="9"/>
      <c r="O464" s="9"/>
      <c r="P464" s="9"/>
      <c r="Q464" s="9"/>
      <c r="T464" s="9"/>
    </row>
    <row r="465">
      <c r="N465" s="9"/>
      <c r="O465" s="9"/>
      <c r="P465" s="9"/>
      <c r="Q465" s="9"/>
      <c r="T465" s="9"/>
    </row>
    <row r="466">
      <c r="N466" s="9"/>
      <c r="O466" s="9"/>
      <c r="P466" s="9"/>
      <c r="Q466" s="9"/>
      <c r="T466" s="9"/>
    </row>
    <row r="467">
      <c r="N467" s="9"/>
      <c r="O467" s="9"/>
      <c r="P467" s="9"/>
      <c r="Q467" s="9"/>
      <c r="T467" s="9"/>
    </row>
    <row r="468">
      <c r="N468" s="9"/>
      <c r="O468" s="9"/>
      <c r="P468" s="9"/>
      <c r="Q468" s="9"/>
      <c r="T468" s="9"/>
    </row>
    <row r="469">
      <c r="N469" s="9"/>
      <c r="O469" s="9"/>
      <c r="P469" s="9"/>
      <c r="Q469" s="9"/>
      <c r="T469" s="9"/>
    </row>
    <row r="470">
      <c r="N470" s="9"/>
      <c r="O470" s="9"/>
      <c r="P470" s="9"/>
      <c r="Q470" s="9"/>
      <c r="T470" s="9"/>
    </row>
    <row r="471">
      <c r="N471" s="9"/>
      <c r="O471" s="9"/>
      <c r="P471" s="9"/>
      <c r="Q471" s="9"/>
      <c r="T471" s="9"/>
    </row>
    <row r="472">
      <c r="N472" s="9"/>
      <c r="O472" s="9"/>
      <c r="P472" s="9"/>
      <c r="Q472" s="9"/>
      <c r="T472" s="9"/>
    </row>
    <row r="473">
      <c r="N473" s="9"/>
      <c r="O473" s="9"/>
      <c r="P473" s="9"/>
      <c r="Q473" s="9"/>
      <c r="T473" s="9"/>
    </row>
    <row r="474">
      <c r="N474" s="9"/>
      <c r="O474" s="9"/>
      <c r="P474" s="9"/>
      <c r="Q474" s="9"/>
      <c r="T474" s="9"/>
    </row>
    <row r="475">
      <c r="N475" s="9"/>
      <c r="O475" s="9"/>
      <c r="P475" s="9"/>
      <c r="Q475" s="9"/>
      <c r="T475" s="9"/>
    </row>
    <row r="476">
      <c r="N476" s="9"/>
      <c r="O476" s="9"/>
      <c r="P476" s="9"/>
      <c r="Q476" s="9"/>
      <c r="T476" s="9"/>
    </row>
    <row r="477">
      <c r="N477" s="9"/>
      <c r="O477" s="9"/>
      <c r="P477" s="9"/>
      <c r="Q477" s="9"/>
      <c r="T477" s="9"/>
    </row>
    <row r="478">
      <c r="N478" s="9"/>
      <c r="O478" s="9"/>
      <c r="P478" s="9"/>
      <c r="Q478" s="9"/>
      <c r="T478" s="9"/>
    </row>
    <row r="479">
      <c r="N479" s="9"/>
      <c r="O479" s="9"/>
      <c r="P479" s="9"/>
      <c r="Q479" s="9"/>
      <c r="T479" s="9"/>
    </row>
    <row r="480">
      <c r="N480" s="9"/>
      <c r="O480" s="9"/>
      <c r="P480" s="9"/>
      <c r="Q480" s="9"/>
      <c r="T480" s="9"/>
    </row>
    <row r="481">
      <c r="N481" s="9"/>
      <c r="O481" s="9"/>
      <c r="P481" s="9"/>
      <c r="Q481" s="9"/>
      <c r="T481" s="9"/>
    </row>
    <row r="482">
      <c r="N482" s="9"/>
      <c r="O482" s="9"/>
      <c r="P482" s="9"/>
      <c r="Q482" s="9"/>
      <c r="T482" s="9"/>
    </row>
    <row r="483">
      <c r="N483" s="9"/>
      <c r="O483" s="9"/>
      <c r="P483" s="9"/>
      <c r="Q483" s="9"/>
      <c r="T483" s="9"/>
    </row>
    <row r="484">
      <c r="N484" s="9"/>
      <c r="O484" s="9"/>
      <c r="P484" s="9"/>
      <c r="Q484" s="9"/>
      <c r="T484" s="9"/>
    </row>
    <row r="485">
      <c r="N485" s="9"/>
      <c r="O485" s="9"/>
      <c r="P485" s="9"/>
      <c r="Q485" s="9"/>
      <c r="T485" s="9"/>
    </row>
    <row r="486">
      <c r="N486" s="9"/>
      <c r="O486" s="9"/>
      <c r="P486" s="9"/>
      <c r="Q486" s="9"/>
      <c r="T486" s="9"/>
    </row>
    <row r="487">
      <c r="N487" s="9"/>
      <c r="O487" s="9"/>
      <c r="P487" s="9"/>
      <c r="Q487" s="9"/>
      <c r="T487" s="9"/>
    </row>
    <row r="488">
      <c r="N488" s="9"/>
      <c r="O488" s="9"/>
      <c r="P488" s="9"/>
      <c r="Q488" s="9"/>
      <c r="T488" s="9"/>
    </row>
    <row r="489">
      <c r="N489" s="9"/>
      <c r="O489" s="9"/>
      <c r="P489" s="9"/>
      <c r="Q489" s="9"/>
      <c r="T489" s="9"/>
    </row>
    <row r="490">
      <c r="N490" s="9"/>
      <c r="O490" s="9"/>
      <c r="P490" s="9"/>
      <c r="Q490" s="9"/>
      <c r="T490" s="9"/>
    </row>
    <row r="491">
      <c r="N491" s="9"/>
      <c r="O491" s="9"/>
      <c r="P491" s="9"/>
      <c r="Q491" s="9"/>
      <c r="T491" s="9"/>
    </row>
    <row r="492">
      <c r="N492" s="9"/>
      <c r="O492" s="9"/>
      <c r="P492" s="9"/>
      <c r="Q492" s="9"/>
      <c r="T492" s="9"/>
    </row>
    <row r="493">
      <c r="N493" s="9"/>
      <c r="O493" s="9"/>
      <c r="P493" s="9"/>
      <c r="Q493" s="9"/>
      <c r="T493" s="9"/>
    </row>
    <row r="494">
      <c r="N494" s="9"/>
      <c r="O494" s="9"/>
      <c r="P494" s="9"/>
      <c r="Q494" s="9"/>
      <c r="T494" s="9"/>
    </row>
    <row r="495">
      <c r="N495" s="9"/>
      <c r="O495" s="9"/>
      <c r="P495" s="9"/>
      <c r="Q495" s="9"/>
      <c r="T495" s="9"/>
    </row>
    <row r="496">
      <c r="N496" s="9"/>
      <c r="O496" s="9"/>
      <c r="P496" s="9"/>
      <c r="Q496" s="9"/>
      <c r="T496" s="9"/>
    </row>
    <row r="497">
      <c r="N497" s="9"/>
      <c r="O497" s="9"/>
      <c r="P497" s="9"/>
      <c r="Q497" s="9"/>
      <c r="T497" s="9"/>
    </row>
    <row r="498">
      <c r="N498" s="9"/>
      <c r="O498" s="9"/>
      <c r="P498" s="9"/>
      <c r="Q498" s="9"/>
      <c r="T498" s="9"/>
    </row>
    <row r="499">
      <c r="N499" s="9"/>
      <c r="O499" s="9"/>
      <c r="P499" s="9"/>
      <c r="Q499" s="9"/>
      <c r="T499" s="9"/>
    </row>
    <row r="500">
      <c r="N500" s="9"/>
      <c r="O500" s="9"/>
      <c r="P500" s="9"/>
      <c r="Q500" s="9"/>
      <c r="T500" s="9"/>
    </row>
    <row r="501">
      <c r="N501" s="9"/>
      <c r="O501" s="9"/>
      <c r="P501" s="9"/>
      <c r="Q501" s="9"/>
      <c r="T501" s="9"/>
    </row>
    <row r="502">
      <c r="N502" s="9"/>
      <c r="O502" s="9"/>
      <c r="P502" s="9"/>
      <c r="Q502" s="9"/>
      <c r="T502" s="9"/>
    </row>
    <row r="503">
      <c r="N503" s="9"/>
      <c r="O503" s="9"/>
      <c r="P503" s="9"/>
      <c r="Q503" s="9"/>
      <c r="T503" s="9"/>
    </row>
    <row r="504">
      <c r="N504" s="9"/>
      <c r="O504" s="9"/>
      <c r="P504" s="9"/>
      <c r="Q504" s="9"/>
      <c r="T504" s="9"/>
    </row>
    <row r="505">
      <c r="N505" s="9"/>
      <c r="O505" s="9"/>
      <c r="P505" s="9"/>
      <c r="Q505" s="9"/>
      <c r="T505" s="9"/>
    </row>
    <row r="506">
      <c r="N506" s="9"/>
      <c r="O506" s="9"/>
      <c r="P506" s="9"/>
      <c r="Q506" s="9"/>
      <c r="T506" s="9"/>
    </row>
    <row r="507">
      <c r="N507" s="9"/>
      <c r="O507" s="9"/>
      <c r="P507" s="9"/>
      <c r="Q507" s="9"/>
      <c r="T507" s="9"/>
    </row>
    <row r="508">
      <c r="N508" s="9"/>
      <c r="O508" s="9"/>
      <c r="P508" s="9"/>
      <c r="Q508" s="9"/>
      <c r="T508" s="9"/>
    </row>
    <row r="509">
      <c r="N509" s="9"/>
      <c r="O509" s="9"/>
      <c r="P509" s="9"/>
      <c r="Q509" s="9"/>
      <c r="T509" s="9"/>
    </row>
    <row r="510">
      <c r="N510" s="9"/>
      <c r="O510" s="9"/>
      <c r="P510" s="9"/>
      <c r="Q510" s="9"/>
      <c r="T510" s="9"/>
    </row>
    <row r="511">
      <c r="N511" s="9"/>
      <c r="O511" s="9"/>
      <c r="P511" s="9"/>
      <c r="Q511" s="9"/>
      <c r="T511" s="9"/>
    </row>
    <row r="512">
      <c r="N512" s="9"/>
      <c r="O512" s="9"/>
      <c r="P512" s="9"/>
      <c r="Q512" s="9"/>
      <c r="T512" s="9"/>
    </row>
    <row r="513">
      <c r="N513" s="9"/>
      <c r="O513" s="9"/>
      <c r="P513" s="9"/>
      <c r="Q513" s="9"/>
      <c r="T513" s="9"/>
    </row>
    <row r="514">
      <c r="N514" s="9"/>
      <c r="O514" s="9"/>
      <c r="P514" s="9"/>
      <c r="Q514" s="9"/>
      <c r="T514" s="9"/>
    </row>
    <row r="515">
      <c r="N515" s="9"/>
      <c r="O515" s="9"/>
      <c r="P515" s="9"/>
      <c r="Q515" s="9"/>
      <c r="T515" s="9"/>
    </row>
    <row r="516">
      <c r="N516" s="9"/>
      <c r="O516" s="9"/>
      <c r="P516" s="9"/>
      <c r="Q516" s="9"/>
      <c r="T516" s="9"/>
    </row>
    <row r="517">
      <c r="N517" s="9"/>
      <c r="O517" s="9"/>
      <c r="P517" s="9"/>
      <c r="Q517" s="9"/>
      <c r="T517" s="9"/>
    </row>
    <row r="518">
      <c r="N518" s="9"/>
      <c r="O518" s="9"/>
      <c r="P518" s="9"/>
      <c r="Q518" s="9"/>
      <c r="T518" s="9"/>
    </row>
    <row r="519">
      <c r="N519" s="9"/>
      <c r="O519" s="9"/>
      <c r="P519" s="9"/>
      <c r="Q519" s="9"/>
      <c r="T519" s="9"/>
    </row>
    <row r="520">
      <c r="N520" s="9"/>
      <c r="O520" s="9"/>
      <c r="P520" s="9"/>
      <c r="Q520" s="9"/>
      <c r="T520" s="9"/>
    </row>
    <row r="521">
      <c r="N521" s="9"/>
      <c r="O521" s="9"/>
      <c r="P521" s="9"/>
      <c r="Q521" s="9"/>
      <c r="T521" s="9"/>
    </row>
    <row r="522">
      <c r="N522" s="9"/>
      <c r="O522" s="9"/>
      <c r="P522" s="9"/>
      <c r="Q522" s="9"/>
      <c r="T522" s="9"/>
    </row>
    <row r="523">
      <c r="N523" s="9"/>
      <c r="O523" s="9"/>
      <c r="P523" s="9"/>
      <c r="Q523" s="9"/>
      <c r="T523" s="9"/>
    </row>
    <row r="524">
      <c r="N524" s="9"/>
      <c r="O524" s="9"/>
      <c r="P524" s="9"/>
      <c r="Q524" s="9"/>
      <c r="T524" s="9"/>
    </row>
    <row r="525">
      <c r="N525" s="9"/>
      <c r="O525" s="9"/>
      <c r="P525" s="9"/>
      <c r="Q525" s="9"/>
      <c r="T525" s="9"/>
    </row>
    <row r="526">
      <c r="N526" s="9"/>
      <c r="O526" s="9"/>
      <c r="P526" s="9"/>
      <c r="Q526" s="9"/>
      <c r="T526" s="9"/>
    </row>
    <row r="527">
      <c r="N527" s="9"/>
      <c r="O527" s="9"/>
      <c r="P527" s="9"/>
      <c r="Q527" s="9"/>
      <c r="T527" s="9"/>
    </row>
    <row r="528">
      <c r="N528" s="9"/>
      <c r="O528" s="9"/>
      <c r="P528" s="9"/>
      <c r="Q528" s="9"/>
      <c r="T528" s="9"/>
    </row>
    <row r="529">
      <c r="N529" s="9"/>
      <c r="O529" s="9"/>
      <c r="P529" s="9"/>
      <c r="Q529" s="9"/>
      <c r="T529" s="9"/>
    </row>
    <row r="530">
      <c r="N530" s="9"/>
      <c r="O530" s="9"/>
      <c r="P530" s="9"/>
      <c r="Q530" s="9"/>
      <c r="T530" s="9"/>
    </row>
    <row r="531">
      <c r="N531" s="9"/>
      <c r="O531" s="9"/>
      <c r="P531" s="9"/>
      <c r="Q531" s="9"/>
      <c r="T531" s="9"/>
    </row>
    <row r="532">
      <c r="N532" s="9"/>
      <c r="O532" s="9"/>
      <c r="P532" s="9"/>
      <c r="Q532" s="9"/>
      <c r="T532" s="9"/>
    </row>
    <row r="533">
      <c r="N533" s="9"/>
      <c r="O533" s="9"/>
      <c r="P533" s="9"/>
      <c r="Q533" s="9"/>
      <c r="T533" s="9"/>
    </row>
    <row r="534">
      <c r="N534" s="9"/>
      <c r="O534" s="9"/>
      <c r="P534" s="9"/>
      <c r="Q534" s="9"/>
      <c r="T534" s="9"/>
    </row>
    <row r="535">
      <c r="N535" s="9"/>
      <c r="O535" s="9"/>
      <c r="P535" s="9"/>
      <c r="Q535" s="9"/>
      <c r="T535" s="9"/>
    </row>
    <row r="536">
      <c r="N536" s="9"/>
      <c r="O536" s="9"/>
      <c r="P536" s="9"/>
      <c r="Q536" s="9"/>
      <c r="T536" s="9"/>
    </row>
    <row r="537">
      <c r="N537" s="9"/>
      <c r="O537" s="9"/>
      <c r="P537" s="9"/>
      <c r="Q537" s="9"/>
      <c r="T537" s="9"/>
    </row>
    <row r="538">
      <c r="N538" s="9"/>
      <c r="O538" s="9"/>
      <c r="P538" s="9"/>
      <c r="Q538" s="9"/>
      <c r="T538" s="9"/>
    </row>
    <row r="539">
      <c r="N539" s="9"/>
      <c r="O539" s="9"/>
      <c r="P539" s="9"/>
      <c r="Q539" s="9"/>
      <c r="T539" s="9"/>
    </row>
    <row r="540">
      <c r="N540" s="9"/>
      <c r="O540" s="9"/>
      <c r="P540" s="9"/>
      <c r="Q540" s="9"/>
      <c r="T540" s="9"/>
    </row>
    <row r="541">
      <c r="N541" s="9"/>
      <c r="O541" s="9"/>
      <c r="P541" s="9"/>
      <c r="Q541" s="9"/>
      <c r="T541" s="9"/>
    </row>
    <row r="542">
      <c r="N542" s="9"/>
      <c r="O542" s="9"/>
      <c r="P542" s="9"/>
      <c r="Q542" s="9"/>
      <c r="T542" s="9"/>
    </row>
    <row r="543">
      <c r="N543" s="9"/>
      <c r="O543" s="9"/>
      <c r="P543" s="9"/>
      <c r="Q543" s="9"/>
      <c r="T543" s="9"/>
    </row>
    <row r="544">
      <c r="N544" s="9"/>
      <c r="O544" s="9"/>
      <c r="P544" s="9"/>
      <c r="Q544" s="9"/>
      <c r="T544" s="9"/>
    </row>
    <row r="545">
      <c r="N545" s="9"/>
      <c r="O545" s="9"/>
      <c r="P545" s="9"/>
      <c r="Q545" s="9"/>
      <c r="T545" s="9"/>
    </row>
    <row r="546">
      <c r="N546" s="9"/>
      <c r="O546" s="9"/>
      <c r="P546" s="9"/>
      <c r="Q546" s="9"/>
      <c r="T546" s="9"/>
    </row>
    <row r="547">
      <c r="N547" s="9"/>
      <c r="O547" s="9"/>
      <c r="P547" s="9"/>
      <c r="Q547" s="9"/>
      <c r="T547" s="9"/>
    </row>
    <row r="548">
      <c r="N548" s="9"/>
      <c r="O548" s="9"/>
      <c r="P548" s="9"/>
      <c r="Q548" s="9"/>
      <c r="T548" s="9"/>
    </row>
    <row r="549">
      <c r="N549" s="9"/>
      <c r="O549" s="9"/>
      <c r="P549" s="9"/>
      <c r="Q549" s="9"/>
      <c r="T549" s="9"/>
    </row>
    <row r="550">
      <c r="N550" s="9"/>
      <c r="O550" s="9"/>
      <c r="P550" s="9"/>
      <c r="Q550" s="9"/>
      <c r="T550" s="9"/>
    </row>
    <row r="551">
      <c r="N551" s="9"/>
      <c r="O551" s="9"/>
      <c r="P551" s="9"/>
      <c r="Q551" s="9"/>
      <c r="T551" s="9"/>
    </row>
    <row r="552">
      <c r="N552" s="9"/>
      <c r="O552" s="9"/>
      <c r="P552" s="9"/>
      <c r="Q552" s="9"/>
      <c r="T552" s="9"/>
    </row>
    <row r="553">
      <c r="N553" s="9"/>
      <c r="O553" s="9"/>
      <c r="P553" s="9"/>
      <c r="Q553" s="9"/>
      <c r="T553" s="9"/>
    </row>
    <row r="554">
      <c r="N554" s="9"/>
      <c r="O554" s="9"/>
      <c r="P554" s="9"/>
      <c r="Q554" s="9"/>
      <c r="T554" s="9"/>
    </row>
    <row r="555">
      <c r="N555" s="9"/>
      <c r="O555" s="9"/>
      <c r="P555" s="9"/>
      <c r="Q555" s="9"/>
      <c r="T555" s="9"/>
    </row>
    <row r="556">
      <c r="N556" s="9"/>
      <c r="O556" s="9"/>
      <c r="P556" s="9"/>
      <c r="Q556" s="9"/>
      <c r="T556" s="9"/>
    </row>
    <row r="557">
      <c r="N557" s="9"/>
      <c r="O557" s="9"/>
      <c r="P557" s="9"/>
      <c r="Q557" s="9"/>
      <c r="T557" s="9"/>
    </row>
    <row r="558">
      <c r="N558" s="9"/>
      <c r="O558" s="9"/>
      <c r="P558" s="9"/>
      <c r="Q558" s="9"/>
      <c r="T558" s="9"/>
    </row>
    <row r="559">
      <c r="N559" s="9"/>
      <c r="O559" s="9"/>
      <c r="P559" s="9"/>
      <c r="Q559" s="9"/>
      <c r="T559" s="9"/>
    </row>
    <row r="560">
      <c r="N560" s="9"/>
      <c r="O560" s="9"/>
      <c r="P560" s="9"/>
      <c r="Q560" s="9"/>
      <c r="T560" s="9"/>
    </row>
    <row r="561">
      <c r="N561" s="9"/>
      <c r="O561" s="9"/>
      <c r="P561" s="9"/>
      <c r="Q561" s="9"/>
      <c r="T561" s="9"/>
    </row>
    <row r="562">
      <c r="N562" s="9"/>
      <c r="O562" s="9"/>
      <c r="P562" s="9"/>
      <c r="Q562" s="9"/>
      <c r="T562" s="9"/>
    </row>
    <row r="563">
      <c r="N563" s="9"/>
      <c r="O563" s="9"/>
      <c r="P563" s="9"/>
      <c r="Q563" s="9"/>
      <c r="T563" s="9"/>
    </row>
    <row r="564">
      <c r="N564" s="9"/>
      <c r="O564" s="9"/>
      <c r="P564" s="9"/>
      <c r="Q564" s="9"/>
      <c r="T564" s="9"/>
    </row>
    <row r="565">
      <c r="N565" s="9"/>
      <c r="O565" s="9"/>
      <c r="P565" s="9"/>
      <c r="Q565" s="9"/>
      <c r="T565" s="9"/>
    </row>
    <row r="566">
      <c r="N566" s="9"/>
      <c r="O566" s="9"/>
      <c r="P566" s="9"/>
      <c r="Q566" s="9"/>
      <c r="T566" s="9"/>
    </row>
    <row r="567">
      <c r="N567" s="9"/>
      <c r="O567" s="9"/>
      <c r="P567" s="9"/>
      <c r="Q567" s="9"/>
      <c r="T567" s="9"/>
    </row>
    <row r="568">
      <c r="N568" s="9"/>
      <c r="O568" s="9"/>
      <c r="P568" s="9"/>
      <c r="Q568" s="9"/>
      <c r="T568" s="9"/>
    </row>
    <row r="569">
      <c r="N569" s="9"/>
      <c r="O569" s="9"/>
      <c r="P569" s="9"/>
      <c r="Q569" s="9"/>
      <c r="T569" s="9"/>
    </row>
    <row r="570">
      <c r="N570" s="9"/>
      <c r="O570" s="9"/>
      <c r="P570" s="9"/>
      <c r="Q570" s="9"/>
      <c r="T570" s="9"/>
    </row>
    <row r="571">
      <c r="N571" s="9"/>
      <c r="O571" s="9"/>
      <c r="P571" s="9"/>
      <c r="Q571" s="9"/>
      <c r="T571" s="9"/>
    </row>
    <row r="572">
      <c r="N572" s="9"/>
      <c r="O572" s="9"/>
      <c r="P572" s="9"/>
      <c r="Q572" s="9"/>
      <c r="T572" s="9"/>
    </row>
    <row r="573">
      <c r="N573" s="9"/>
      <c r="O573" s="9"/>
      <c r="P573" s="9"/>
      <c r="Q573" s="9"/>
      <c r="T573" s="9"/>
    </row>
    <row r="574">
      <c r="N574" s="9"/>
      <c r="O574" s="9"/>
      <c r="P574" s="9"/>
      <c r="Q574" s="9"/>
      <c r="T574" s="9"/>
    </row>
    <row r="575">
      <c r="N575" s="9"/>
      <c r="O575" s="9"/>
      <c r="P575" s="9"/>
      <c r="Q575" s="9"/>
      <c r="T575" s="9"/>
    </row>
    <row r="576">
      <c r="N576" s="9"/>
      <c r="O576" s="9"/>
      <c r="P576" s="9"/>
      <c r="Q576" s="9"/>
      <c r="T576" s="9"/>
    </row>
    <row r="577">
      <c r="N577" s="9"/>
      <c r="O577" s="9"/>
      <c r="P577" s="9"/>
      <c r="Q577" s="9"/>
      <c r="T577" s="9"/>
    </row>
    <row r="578">
      <c r="N578" s="9"/>
      <c r="O578" s="9"/>
      <c r="P578" s="9"/>
      <c r="Q578" s="9"/>
      <c r="T578" s="9"/>
    </row>
    <row r="579">
      <c r="N579" s="9"/>
      <c r="O579" s="9"/>
      <c r="P579" s="9"/>
      <c r="Q579" s="9"/>
      <c r="T579" s="9"/>
    </row>
    <row r="580">
      <c r="N580" s="9"/>
      <c r="O580" s="9"/>
      <c r="P580" s="9"/>
      <c r="Q580" s="9"/>
      <c r="T580" s="9"/>
    </row>
    <row r="581">
      <c r="N581" s="9"/>
      <c r="O581" s="9"/>
      <c r="P581" s="9"/>
      <c r="Q581" s="9"/>
      <c r="T581" s="9"/>
    </row>
    <row r="582">
      <c r="N582" s="9"/>
      <c r="O582" s="9"/>
      <c r="P582" s="9"/>
      <c r="Q582" s="9"/>
      <c r="T582" s="9"/>
    </row>
    <row r="583">
      <c r="N583" s="9"/>
      <c r="O583" s="9"/>
      <c r="P583" s="9"/>
      <c r="Q583" s="9"/>
      <c r="T583" s="9"/>
    </row>
    <row r="584">
      <c r="N584" s="9"/>
      <c r="O584" s="9"/>
      <c r="P584" s="9"/>
      <c r="Q584" s="9"/>
      <c r="T584" s="9"/>
    </row>
    <row r="585">
      <c r="N585" s="9"/>
      <c r="O585" s="9"/>
      <c r="P585" s="9"/>
      <c r="Q585" s="9"/>
      <c r="T585" s="9"/>
    </row>
    <row r="586">
      <c r="N586" s="9"/>
      <c r="O586" s="9"/>
      <c r="P586" s="9"/>
      <c r="Q586" s="9"/>
      <c r="T586" s="9"/>
    </row>
    <row r="587">
      <c r="N587" s="9"/>
      <c r="O587" s="9"/>
      <c r="P587" s="9"/>
      <c r="Q587" s="9"/>
      <c r="T587" s="9"/>
    </row>
    <row r="588">
      <c r="N588" s="9"/>
      <c r="O588" s="9"/>
      <c r="P588" s="9"/>
      <c r="Q588" s="9"/>
      <c r="T588" s="9"/>
    </row>
    <row r="589">
      <c r="N589" s="9"/>
      <c r="O589" s="9"/>
      <c r="P589" s="9"/>
      <c r="Q589" s="9"/>
      <c r="T589" s="9"/>
    </row>
    <row r="590">
      <c r="N590" s="9"/>
      <c r="O590" s="9"/>
      <c r="P590" s="9"/>
      <c r="Q590" s="9"/>
      <c r="T590" s="9"/>
    </row>
    <row r="591">
      <c r="N591" s="9"/>
      <c r="O591" s="9"/>
      <c r="P591" s="9"/>
      <c r="Q591" s="9"/>
      <c r="T591" s="9"/>
    </row>
    <row r="592">
      <c r="N592" s="9"/>
      <c r="O592" s="9"/>
      <c r="P592" s="9"/>
      <c r="Q592" s="9"/>
      <c r="T592" s="9"/>
    </row>
    <row r="593">
      <c r="N593" s="9"/>
      <c r="O593" s="9"/>
      <c r="P593" s="9"/>
      <c r="Q593" s="9"/>
      <c r="T593" s="9"/>
    </row>
    <row r="594">
      <c r="N594" s="9"/>
      <c r="O594" s="9"/>
      <c r="P594" s="9"/>
      <c r="Q594" s="9"/>
      <c r="T594" s="9"/>
    </row>
    <row r="595">
      <c r="N595" s="9"/>
      <c r="O595" s="9"/>
      <c r="P595" s="9"/>
      <c r="Q595" s="9"/>
      <c r="T595" s="9"/>
    </row>
    <row r="596">
      <c r="N596" s="9"/>
      <c r="O596" s="9"/>
      <c r="P596" s="9"/>
      <c r="Q596" s="9"/>
      <c r="T596" s="9"/>
    </row>
    <row r="597">
      <c r="N597" s="9"/>
      <c r="O597" s="9"/>
      <c r="P597" s="9"/>
      <c r="Q597" s="9"/>
      <c r="T597" s="9"/>
    </row>
    <row r="598">
      <c r="N598" s="9"/>
      <c r="O598" s="9"/>
      <c r="P598" s="9"/>
      <c r="Q598" s="9"/>
      <c r="T598" s="9"/>
    </row>
    <row r="599">
      <c r="N599" s="9"/>
      <c r="O599" s="9"/>
      <c r="P599" s="9"/>
      <c r="Q599" s="9"/>
      <c r="T599" s="9"/>
    </row>
    <row r="600">
      <c r="N600" s="9"/>
      <c r="O600" s="9"/>
      <c r="P600" s="9"/>
      <c r="Q600" s="9"/>
      <c r="T600" s="9"/>
    </row>
    <row r="601">
      <c r="N601" s="9"/>
      <c r="O601" s="9"/>
      <c r="P601" s="9"/>
      <c r="Q601" s="9"/>
      <c r="T601" s="9"/>
    </row>
    <row r="602">
      <c r="N602" s="9"/>
      <c r="O602" s="9"/>
      <c r="P602" s="9"/>
      <c r="Q602" s="9"/>
      <c r="T602" s="9"/>
    </row>
    <row r="603">
      <c r="N603" s="9"/>
      <c r="O603" s="9"/>
      <c r="P603" s="9"/>
      <c r="Q603" s="9"/>
      <c r="T603" s="9"/>
    </row>
    <row r="604">
      <c r="N604" s="9"/>
      <c r="O604" s="9"/>
      <c r="P604" s="9"/>
      <c r="Q604" s="9"/>
      <c r="T604" s="9"/>
    </row>
    <row r="605">
      <c r="N605" s="9"/>
      <c r="O605" s="9"/>
      <c r="P605" s="9"/>
      <c r="Q605" s="9"/>
      <c r="T605" s="9"/>
    </row>
    <row r="606">
      <c r="N606" s="9"/>
      <c r="O606" s="9"/>
      <c r="P606" s="9"/>
      <c r="Q606" s="9"/>
      <c r="T606" s="9"/>
    </row>
    <row r="607">
      <c r="N607" s="9"/>
      <c r="O607" s="9"/>
      <c r="P607" s="9"/>
      <c r="Q607" s="9"/>
      <c r="T607" s="9"/>
    </row>
    <row r="608">
      <c r="N608" s="9"/>
      <c r="O608" s="9"/>
      <c r="P608" s="9"/>
      <c r="Q608" s="9"/>
      <c r="T608" s="9"/>
    </row>
    <row r="609">
      <c r="N609" s="9"/>
      <c r="O609" s="9"/>
      <c r="P609" s="9"/>
      <c r="Q609" s="9"/>
      <c r="T609" s="9"/>
    </row>
    <row r="610">
      <c r="N610" s="9"/>
      <c r="O610" s="9"/>
      <c r="P610" s="9"/>
      <c r="Q610" s="9"/>
      <c r="T610" s="9"/>
    </row>
    <row r="611">
      <c r="N611" s="9"/>
      <c r="O611" s="9"/>
      <c r="P611" s="9"/>
      <c r="Q611" s="9"/>
      <c r="T611" s="9"/>
    </row>
    <row r="612">
      <c r="N612" s="9"/>
      <c r="O612" s="9"/>
      <c r="P612" s="9"/>
      <c r="Q612" s="9"/>
      <c r="T612" s="9"/>
    </row>
    <row r="613">
      <c r="N613" s="9"/>
      <c r="O613" s="9"/>
      <c r="P613" s="9"/>
      <c r="Q613" s="9"/>
      <c r="T613" s="9"/>
    </row>
    <row r="614">
      <c r="N614" s="9"/>
      <c r="O614" s="9"/>
      <c r="P614" s="9"/>
      <c r="Q614" s="9"/>
      <c r="T614" s="9"/>
    </row>
    <row r="615">
      <c r="N615" s="9"/>
      <c r="O615" s="9"/>
      <c r="P615" s="9"/>
      <c r="Q615" s="9"/>
      <c r="T615" s="9"/>
    </row>
    <row r="616">
      <c r="N616" s="9"/>
      <c r="O616" s="9"/>
      <c r="P616" s="9"/>
      <c r="Q616" s="9"/>
      <c r="T616" s="9"/>
    </row>
    <row r="617">
      <c r="N617" s="9"/>
      <c r="O617" s="9"/>
      <c r="P617" s="9"/>
      <c r="Q617" s="9"/>
      <c r="T617" s="9"/>
    </row>
    <row r="618">
      <c r="N618" s="9"/>
      <c r="O618" s="9"/>
      <c r="P618" s="9"/>
      <c r="Q618" s="9"/>
      <c r="T618" s="9"/>
    </row>
    <row r="619">
      <c r="N619" s="9"/>
      <c r="O619" s="9"/>
      <c r="P619" s="9"/>
      <c r="Q619" s="9"/>
      <c r="T619" s="9"/>
    </row>
    <row r="620">
      <c r="N620" s="9"/>
      <c r="O620" s="9"/>
      <c r="P620" s="9"/>
      <c r="Q620" s="9"/>
      <c r="T620" s="9"/>
    </row>
    <row r="621">
      <c r="N621" s="9"/>
      <c r="O621" s="9"/>
      <c r="P621" s="9"/>
      <c r="Q621" s="9"/>
      <c r="T621" s="9"/>
    </row>
    <row r="622">
      <c r="N622" s="9"/>
      <c r="O622" s="9"/>
      <c r="P622" s="9"/>
      <c r="Q622" s="9"/>
      <c r="T622" s="9"/>
    </row>
    <row r="623">
      <c r="N623" s="9"/>
      <c r="O623" s="9"/>
      <c r="P623" s="9"/>
      <c r="Q623" s="9"/>
      <c r="T623" s="9"/>
    </row>
    <row r="624">
      <c r="N624" s="9"/>
      <c r="O624" s="9"/>
      <c r="P624" s="9"/>
      <c r="Q624" s="9"/>
      <c r="T624" s="9"/>
    </row>
    <row r="625">
      <c r="N625" s="9"/>
      <c r="O625" s="9"/>
      <c r="P625" s="9"/>
      <c r="Q625" s="9"/>
      <c r="T625" s="9"/>
    </row>
    <row r="626">
      <c r="N626" s="9"/>
      <c r="O626" s="9"/>
      <c r="P626" s="9"/>
      <c r="Q626" s="9"/>
      <c r="T626" s="9"/>
    </row>
    <row r="627">
      <c r="N627" s="9"/>
      <c r="O627" s="9"/>
      <c r="P627" s="9"/>
      <c r="Q627" s="9"/>
      <c r="T627" s="9"/>
    </row>
    <row r="628">
      <c r="N628" s="9"/>
      <c r="O628" s="9"/>
      <c r="P628" s="9"/>
      <c r="Q628" s="9"/>
      <c r="T628" s="9"/>
    </row>
    <row r="629">
      <c r="N629" s="9"/>
      <c r="O629" s="9"/>
      <c r="P629" s="9"/>
      <c r="Q629" s="9"/>
      <c r="T629" s="9"/>
    </row>
    <row r="630">
      <c r="N630" s="9"/>
      <c r="O630" s="9"/>
      <c r="P630" s="9"/>
      <c r="Q630" s="9"/>
      <c r="T630" s="9"/>
    </row>
    <row r="631">
      <c r="N631" s="9"/>
      <c r="O631" s="9"/>
      <c r="P631" s="9"/>
      <c r="Q631" s="9"/>
      <c r="T631" s="9"/>
    </row>
    <row r="632">
      <c r="N632" s="9"/>
      <c r="O632" s="9"/>
      <c r="P632" s="9"/>
      <c r="Q632" s="9"/>
      <c r="T632" s="9"/>
    </row>
    <row r="633">
      <c r="N633" s="9"/>
      <c r="O633" s="9"/>
      <c r="P633" s="9"/>
      <c r="Q633" s="9"/>
      <c r="T633" s="9"/>
    </row>
    <row r="634">
      <c r="N634" s="9"/>
      <c r="O634" s="9"/>
      <c r="P634" s="9"/>
      <c r="Q634" s="9"/>
      <c r="T634" s="9"/>
    </row>
    <row r="635">
      <c r="N635" s="9"/>
      <c r="O635" s="9"/>
      <c r="P635" s="9"/>
      <c r="Q635" s="9"/>
      <c r="T635" s="9"/>
    </row>
    <row r="636">
      <c r="N636" s="9"/>
      <c r="O636" s="9"/>
      <c r="P636" s="9"/>
      <c r="Q636" s="9"/>
      <c r="T636" s="9"/>
    </row>
    <row r="637">
      <c r="N637" s="9"/>
      <c r="O637" s="9"/>
      <c r="P637" s="9"/>
      <c r="Q637" s="9"/>
      <c r="T637" s="9"/>
    </row>
    <row r="638">
      <c r="N638" s="9"/>
      <c r="O638" s="9"/>
      <c r="P638" s="9"/>
      <c r="Q638" s="9"/>
      <c r="T638" s="9"/>
    </row>
    <row r="639">
      <c r="N639" s="9"/>
      <c r="O639" s="9"/>
      <c r="P639" s="9"/>
      <c r="Q639" s="9"/>
      <c r="T639" s="9"/>
    </row>
    <row r="640">
      <c r="N640" s="9"/>
      <c r="O640" s="9"/>
      <c r="P640" s="9"/>
      <c r="Q640" s="9"/>
      <c r="T640" s="9"/>
    </row>
    <row r="641">
      <c r="N641" s="9"/>
      <c r="O641" s="9"/>
      <c r="P641" s="9"/>
      <c r="Q641" s="9"/>
      <c r="T641" s="9"/>
    </row>
    <row r="642">
      <c r="N642" s="9"/>
      <c r="O642" s="9"/>
      <c r="P642" s="9"/>
      <c r="Q642" s="9"/>
      <c r="T642" s="9"/>
    </row>
    <row r="643">
      <c r="N643" s="9"/>
      <c r="O643" s="9"/>
      <c r="P643" s="9"/>
      <c r="Q643" s="9"/>
      <c r="T643" s="9"/>
    </row>
    <row r="644">
      <c r="N644" s="9"/>
      <c r="O644" s="9"/>
      <c r="P644" s="9"/>
      <c r="Q644" s="9"/>
      <c r="T644" s="9"/>
    </row>
    <row r="645">
      <c r="N645" s="9"/>
      <c r="O645" s="9"/>
      <c r="P645" s="9"/>
      <c r="Q645" s="9"/>
      <c r="T645" s="9"/>
    </row>
    <row r="646">
      <c r="N646" s="9"/>
      <c r="O646" s="9"/>
      <c r="P646" s="9"/>
      <c r="Q646" s="9"/>
      <c r="T646" s="9"/>
    </row>
    <row r="647">
      <c r="N647" s="9"/>
      <c r="O647" s="9"/>
      <c r="P647" s="9"/>
      <c r="Q647" s="9"/>
      <c r="T647" s="9"/>
    </row>
    <row r="648">
      <c r="N648" s="9"/>
      <c r="O648" s="9"/>
      <c r="P648" s="9"/>
      <c r="Q648" s="9"/>
      <c r="T648" s="9"/>
    </row>
    <row r="649">
      <c r="N649" s="9"/>
      <c r="O649" s="9"/>
      <c r="P649" s="9"/>
      <c r="Q649" s="9"/>
      <c r="T649" s="9"/>
    </row>
    <row r="650">
      <c r="N650" s="9"/>
      <c r="O650" s="9"/>
      <c r="P650" s="9"/>
      <c r="Q650" s="9"/>
      <c r="T650" s="9"/>
    </row>
    <row r="651">
      <c r="N651" s="9"/>
      <c r="O651" s="9"/>
      <c r="P651" s="9"/>
      <c r="Q651" s="9"/>
      <c r="T651" s="9"/>
    </row>
    <row r="652">
      <c r="N652" s="9"/>
      <c r="O652" s="9"/>
      <c r="P652" s="9"/>
      <c r="Q652" s="9"/>
      <c r="T652" s="9"/>
    </row>
    <row r="653">
      <c r="N653" s="9"/>
      <c r="O653" s="9"/>
      <c r="P653" s="9"/>
      <c r="Q653" s="9"/>
      <c r="T653" s="9"/>
    </row>
    <row r="654">
      <c r="N654" s="9"/>
      <c r="O654" s="9"/>
      <c r="P654" s="9"/>
      <c r="Q654" s="9"/>
      <c r="T654" s="9"/>
    </row>
    <row r="655">
      <c r="N655" s="9"/>
      <c r="O655" s="9"/>
      <c r="P655" s="9"/>
      <c r="Q655" s="9"/>
      <c r="T655" s="9"/>
    </row>
    <row r="656">
      <c r="N656" s="9"/>
      <c r="O656" s="9"/>
      <c r="P656" s="9"/>
      <c r="Q656" s="9"/>
      <c r="T656" s="9"/>
    </row>
    <row r="657">
      <c r="N657" s="9"/>
      <c r="O657" s="9"/>
      <c r="P657" s="9"/>
      <c r="Q657" s="9"/>
      <c r="T657" s="9"/>
    </row>
    <row r="658">
      <c r="N658" s="9"/>
      <c r="O658" s="9"/>
      <c r="P658" s="9"/>
      <c r="Q658" s="9"/>
      <c r="T658" s="9"/>
    </row>
    <row r="659">
      <c r="N659" s="9"/>
      <c r="O659" s="9"/>
      <c r="P659" s="9"/>
      <c r="Q659" s="9"/>
      <c r="T659" s="9"/>
    </row>
    <row r="660">
      <c r="N660" s="9"/>
      <c r="O660" s="9"/>
      <c r="P660" s="9"/>
      <c r="Q660" s="9"/>
      <c r="T660" s="9"/>
    </row>
    <row r="661">
      <c r="N661" s="9"/>
      <c r="O661" s="9"/>
      <c r="P661" s="9"/>
      <c r="Q661" s="9"/>
      <c r="T661" s="9"/>
    </row>
    <row r="662">
      <c r="N662" s="9"/>
      <c r="O662" s="9"/>
      <c r="P662" s="9"/>
      <c r="Q662" s="9"/>
      <c r="T662" s="9"/>
    </row>
    <row r="663">
      <c r="N663" s="9"/>
      <c r="O663" s="9"/>
      <c r="P663" s="9"/>
      <c r="Q663" s="9"/>
      <c r="T663" s="9"/>
    </row>
    <row r="664">
      <c r="N664" s="9"/>
      <c r="O664" s="9"/>
      <c r="P664" s="9"/>
      <c r="Q664" s="9"/>
      <c r="T664" s="9"/>
    </row>
    <row r="665">
      <c r="N665" s="9"/>
      <c r="O665" s="9"/>
      <c r="P665" s="9"/>
      <c r="Q665" s="9"/>
      <c r="T665" s="9"/>
    </row>
    <row r="666">
      <c r="N666" s="9"/>
      <c r="O666" s="9"/>
      <c r="P666" s="9"/>
      <c r="Q666" s="9"/>
      <c r="T666" s="9"/>
    </row>
    <row r="667">
      <c r="N667" s="9"/>
      <c r="O667" s="9"/>
      <c r="P667" s="9"/>
      <c r="Q667" s="9"/>
      <c r="T667" s="9"/>
    </row>
    <row r="668">
      <c r="N668" s="9"/>
      <c r="O668" s="9"/>
      <c r="P668" s="9"/>
      <c r="Q668" s="9"/>
      <c r="T668" s="9"/>
    </row>
    <row r="669">
      <c r="N669" s="9"/>
      <c r="O669" s="9"/>
      <c r="P669" s="9"/>
      <c r="Q669" s="9"/>
      <c r="T669" s="9"/>
    </row>
    <row r="670">
      <c r="N670" s="9"/>
      <c r="O670" s="9"/>
      <c r="P670" s="9"/>
      <c r="Q670" s="9"/>
      <c r="T670" s="9"/>
    </row>
    <row r="671">
      <c r="N671" s="9"/>
      <c r="O671" s="9"/>
      <c r="P671" s="9"/>
      <c r="Q671" s="9"/>
      <c r="T671" s="9"/>
    </row>
    <row r="672">
      <c r="N672" s="9"/>
      <c r="O672" s="9"/>
      <c r="P672" s="9"/>
      <c r="Q672" s="9"/>
      <c r="T672" s="9"/>
    </row>
    <row r="673">
      <c r="N673" s="9"/>
      <c r="O673" s="9"/>
      <c r="P673" s="9"/>
      <c r="Q673" s="9"/>
      <c r="T673" s="9"/>
    </row>
    <row r="674">
      <c r="N674" s="9"/>
      <c r="O674" s="9"/>
      <c r="P674" s="9"/>
      <c r="Q674" s="9"/>
      <c r="T674" s="9"/>
    </row>
    <row r="675">
      <c r="N675" s="9"/>
      <c r="O675" s="9"/>
      <c r="P675" s="9"/>
      <c r="Q675" s="9"/>
      <c r="T675" s="9"/>
    </row>
    <row r="676">
      <c r="N676" s="9"/>
      <c r="O676" s="9"/>
      <c r="P676" s="9"/>
      <c r="Q676" s="9"/>
      <c r="T676" s="9"/>
    </row>
    <row r="677">
      <c r="N677" s="9"/>
      <c r="O677" s="9"/>
      <c r="P677" s="9"/>
      <c r="Q677" s="9"/>
      <c r="T677" s="9"/>
    </row>
    <row r="678">
      <c r="N678" s="9"/>
      <c r="O678" s="9"/>
      <c r="P678" s="9"/>
      <c r="Q678" s="9"/>
      <c r="T678" s="9"/>
    </row>
    <row r="679">
      <c r="N679" s="9"/>
      <c r="O679" s="9"/>
      <c r="P679" s="9"/>
      <c r="Q679" s="9"/>
      <c r="T679" s="9"/>
    </row>
    <row r="680">
      <c r="N680" s="9"/>
      <c r="O680" s="9"/>
      <c r="P680" s="9"/>
      <c r="Q680" s="9"/>
      <c r="T680" s="9"/>
    </row>
    <row r="681">
      <c r="N681" s="9"/>
      <c r="O681" s="9"/>
      <c r="P681" s="9"/>
      <c r="Q681" s="9"/>
      <c r="T681" s="9"/>
    </row>
    <row r="682">
      <c r="N682" s="9"/>
      <c r="O682" s="9"/>
      <c r="P682" s="9"/>
      <c r="Q682" s="9"/>
      <c r="T682" s="9"/>
    </row>
    <row r="683">
      <c r="N683" s="9"/>
      <c r="O683" s="9"/>
      <c r="P683" s="9"/>
      <c r="Q683" s="9"/>
      <c r="T683" s="9"/>
    </row>
    <row r="684">
      <c r="N684" s="9"/>
      <c r="O684" s="9"/>
      <c r="P684" s="9"/>
      <c r="Q684" s="9"/>
      <c r="T684" s="9"/>
    </row>
    <row r="685">
      <c r="N685" s="9"/>
      <c r="O685" s="9"/>
      <c r="P685" s="9"/>
      <c r="Q685" s="9"/>
      <c r="T685" s="9"/>
    </row>
    <row r="686">
      <c r="N686" s="9"/>
      <c r="O686" s="9"/>
      <c r="P686" s="9"/>
      <c r="Q686" s="9"/>
      <c r="T686" s="9"/>
    </row>
    <row r="687">
      <c r="N687" s="9"/>
      <c r="O687" s="9"/>
      <c r="P687" s="9"/>
      <c r="Q687" s="9"/>
      <c r="T687" s="9"/>
    </row>
    <row r="688">
      <c r="N688" s="9"/>
      <c r="O688" s="9"/>
      <c r="P688" s="9"/>
      <c r="Q688" s="9"/>
      <c r="T688" s="9"/>
    </row>
    <row r="689">
      <c r="N689" s="9"/>
      <c r="O689" s="9"/>
      <c r="P689" s="9"/>
      <c r="Q689" s="9"/>
      <c r="T689" s="9"/>
    </row>
    <row r="690">
      <c r="N690" s="9"/>
      <c r="O690" s="9"/>
      <c r="P690" s="9"/>
      <c r="Q690" s="9"/>
      <c r="T690" s="9"/>
    </row>
    <row r="691">
      <c r="N691" s="9"/>
      <c r="O691" s="9"/>
      <c r="P691" s="9"/>
      <c r="Q691" s="9"/>
      <c r="T691" s="9"/>
    </row>
    <row r="692">
      <c r="N692" s="9"/>
      <c r="O692" s="9"/>
      <c r="P692" s="9"/>
      <c r="Q692" s="9"/>
      <c r="T692" s="9"/>
    </row>
    <row r="693">
      <c r="N693" s="9"/>
      <c r="O693" s="9"/>
      <c r="P693" s="9"/>
      <c r="Q693" s="9"/>
      <c r="T693" s="9"/>
    </row>
    <row r="694">
      <c r="N694" s="9"/>
      <c r="O694" s="9"/>
      <c r="P694" s="9"/>
      <c r="Q694" s="9"/>
      <c r="T694" s="9"/>
    </row>
    <row r="695">
      <c r="N695" s="9"/>
      <c r="O695" s="9"/>
      <c r="P695" s="9"/>
      <c r="Q695" s="9"/>
      <c r="T695" s="9"/>
    </row>
    <row r="696">
      <c r="N696" s="9"/>
      <c r="O696" s="9"/>
      <c r="P696" s="9"/>
      <c r="Q696" s="9"/>
      <c r="T696" s="9"/>
    </row>
    <row r="697">
      <c r="N697" s="9"/>
      <c r="O697" s="9"/>
      <c r="P697" s="9"/>
      <c r="Q697" s="9"/>
      <c r="T697" s="9"/>
    </row>
    <row r="698">
      <c r="N698" s="9"/>
      <c r="O698" s="9"/>
      <c r="P698" s="9"/>
      <c r="Q698" s="9"/>
      <c r="T698" s="9"/>
    </row>
    <row r="699">
      <c r="N699" s="9"/>
      <c r="O699" s="9"/>
      <c r="P699" s="9"/>
      <c r="Q699" s="9"/>
      <c r="T699" s="9"/>
    </row>
    <row r="700">
      <c r="N700" s="9"/>
      <c r="O700" s="9"/>
      <c r="P700" s="9"/>
      <c r="Q700" s="9"/>
      <c r="T700" s="9"/>
    </row>
    <row r="701">
      <c r="N701" s="9"/>
      <c r="O701" s="9"/>
      <c r="P701" s="9"/>
      <c r="Q701" s="9"/>
      <c r="T701" s="9"/>
    </row>
    <row r="702">
      <c r="N702" s="9"/>
      <c r="O702" s="9"/>
      <c r="P702" s="9"/>
      <c r="Q702" s="9"/>
      <c r="T702" s="9"/>
    </row>
    <row r="703">
      <c r="N703" s="9"/>
      <c r="O703" s="9"/>
      <c r="P703" s="9"/>
      <c r="Q703" s="9"/>
      <c r="T703" s="9"/>
    </row>
    <row r="704">
      <c r="N704" s="9"/>
      <c r="O704" s="9"/>
      <c r="P704" s="9"/>
      <c r="Q704" s="9"/>
      <c r="T704" s="9"/>
    </row>
    <row r="705">
      <c r="N705" s="9"/>
      <c r="O705" s="9"/>
      <c r="P705" s="9"/>
      <c r="Q705" s="9"/>
      <c r="T705" s="9"/>
    </row>
    <row r="706">
      <c r="N706" s="9"/>
      <c r="O706" s="9"/>
      <c r="P706" s="9"/>
      <c r="Q706" s="9"/>
      <c r="T706" s="9"/>
    </row>
    <row r="707">
      <c r="N707" s="9"/>
      <c r="O707" s="9"/>
      <c r="P707" s="9"/>
      <c r="Q707" s="9"/>
      <c r="T707" s="9"/>
    </row>
    <row r="708">
      <c r="N708" s="9"/>
      <c r="O708" s="9"/>
      <c r="P708" s="9"/>
      <c r="Q708" s="9"/>
      <c r="T708" s="9"/>
    </row>
    <row r="709">
      <c r="N709" s="9"/>
      <c r="O709" s="9"/>
      <c r="P709" s="9"/>
      <c r="Q709" s="9"/>
      <c r="T709" s="9"/>
    </row>
    <row r="710">
      <c r="N710" s="9"/>
      <c r="O710" s="9"/>
      <c r="P710" s="9"/>
      <c r="Q710" s="9"/>
      <c r="T710" s="9"/>
    </row>
    <row r="711">
      <c r="N711" s="9"/>
      <c r="O711" s="9"/>
      <c r="P711" s="9"/>
      <c r="Q711" s="9"/>
      <c r="T711" s="9"/>
    </row>
    <row r="712">
      <c r="N712" s="9"/>
      <c r="O712" s="9"/>
      <c r="P712" s="9"/>
      <c r="Q712" s="9"/>
      <c r="T712" s="9"/>
    </row>
    <row r="713">
      <c r="N713" s="9"/>
      <c r="O713" s="9"/>
      <c r="P713" s="9"/>
      <c r="Q713" s="9"/>
      <c r="T713" s="9"/>
    </row>
    <row r="714">
      <c r="N714" s="9"/>
      <c r="O714" s="9"/>
      <c r="P714" s="9"/>
      <c r="Q714" s="9"/>
      <c r="T714" s="9"/>
    </row>
    <row r="715">
      <c r="N715" s="9"/>
      <c r="O715" s="9"/>
      <c r="P715" s="9"/>
      <c r="Q715" s="9"/>
      <c r="T715" s="9"/>
    </row>
    <row r="716">
      <c r="N716" s="9"/>
      <c r="O716" s="9"/>
      <c r="P716" s="9"/>
      <c r="Q716" s="9"/>
      <c r="T716" s="9"/>
    </row>
    <row r="717">
      <c r="N717" s="9"/>
      <c r="O717" s="9"/>
      <c r="P717" s="9"/>
      <c r="Q717" s="9"/>
      <c r="T717" s="9"/>
    </row>
    <row r="718">
      <c r="N718" s="9"/>
      <c r="O718" s="9"/>
      <c r="P718" s="9"/>
      <c r="Q718" s="9"/>
      <c r="T718" s="9"/>
    </row>
    <row r="719">
      <c r="N719" s="9"/>
      <c r="O719" s="9"/>
      <c r="P719" s="9"/>
      <c r="Q719" s="9"/>
      <c r="T719" s="9"/>
    </row>
    <row r="720">
      <c r="N720" s="9"/>
      <c r="O720" s="9"/>
      <c r="P720" s="9"/>
      <c r="Q720" s="9"/>
      <c r="T720" s="9"/>
    </row>
    <row r="721">
      <c r="N721" s="9"/>
      <c r="O721" s="9"/>
      <c r="P721" s="9"/>
      <c r="Q721" s="9"/>
      <c r="T721" s="9"/>
    </row>
    <row r="722">
      <c r="N722" s="9"/>
      <c r="O722" s="9"/>
      <c r="P722" s="9"/>
      <c r="Q722" s="9"/>
      <c r="T722" s="9"/>
    </row>
    <row r="723">
      <c r="N723" s="9"/>
      <c r="O723" s="9"/>
      <c r="P723" s="9"/>
      <c r="Q723" s="9"/>
      <c r="T723" s="9"/>
    </row>
    <row r="724">
      <c r="N724" s="9"/>
      <c r="O724" s="9"/>
      <c r="P724" s="9"/>
      <c r="Q724" s="9"/>
      <c r="T724" s="9"/>
    </row>
    <row r="725">
      <c r="N725" s="9"/>
      <c r="O725" s="9"/>
      <c r="P725" s="9"/>
      <c r="Q725" s="9"/>
      <c r="T725" s="9"/>
    </row>
    <row r="726">
      <c r="N726" s="9"/>
      <c r="O726" s="9"/>
      <c r="P726" s="9"/>
      <c r="Q726" s="9"/>
      <c r="T726" s="9"/>
    </row>
    <row r="727">
      <c r="N727" s="9"/>
      <c r="O727" s="9"/>
      <c r="P727" s="9"/>
      <c r="Q727" s="9"/>
      <c r="T727" s="9"/>
    </row>
    <row r="728">
      <c r="N728" s="9"/>
      <c r="O728" s="9"/>
      <c r="P728" s="9"/>
      <c r="Q728" s="9"/>
      <c r="T728" s="9"/>
    </row>
    <row r="729">
      <c r="N729" s="9"/>
      <c r="O729" s="9"/>
      <c r="P729" s="9"/>
      <c r="Q729" s="9"/>
      <c r="T729" s="9"/>
    </row>
    <row r="730">
      <c r="N730" s="9"/>
      <c r="O730" s="9"/>
      <c r="P730" s="9"/>
      <c r="Q730" s="9"/>
      <c r="T730" s="9"/>
    </row>
    <row r="731">
      <c r="N731" s="9"/>
      <c r="O731" s="9"/>
      <c r="P731" s="9"/>
      <c r="Q731" s="9"/>
      <c r="T731" s="9"/>
    </row>
    <row r="732">
      <c r="N732" s="9"/>
      <c r="O732" s="9"/>
      <c r="P732" s="9"/>
      <c r="Q732" s="9"/>
      <c r="T732" s="9"/>
    </row>
    <row r="733">
      <c r="N733" s="9"/>
      <c r="O733" s="9"/>
      <c r="P733" s="9"/>
      <c r="Q733" s="9"/>
      <c r="T733" s="9"/>
    </row>
    <row r="734">
      <c r="N734" s="9"/>
      <c r="O734" s="9"/>
      <c r="P734" s="9"/>
      <c r="Q734" s="9"/>
      <c r="T734" s="9"/>
    </row>
    <row r="735">
      <c r="N735" s="9"/>
      <c r="O735" s="9"/>
      <c r="P735" s="9"/>
      <c r="Q735" s="9"/>
      <c r="T735" s="9"/>
    </row>
    <row r="736">
      <c r="N736" s="9"/>
      <c r="O736" s="9"/>
      <c r="P736" s="9"/>
      <c r="Q736" s="9"/>
      <c r="T736" s="9"/>
    </row>
    <row r="737">
      <c r="N737" s="9"/>
      <c r="O737" s="9"/>
      <c r="P737" s="9"/>
      <c r="Q737" s="9"/>
      <c r="T737" s="9"/>
    </row>
    <row r="738">
      <c r="N738" s="9"/>
      <c r="O738" s="9"/>
      <c r="P738" s="9"/>
      <c r="Q738" s="9"/>
      <c r="T738" s="9"/>
    </row>
    <row r="739">
      <c r="N739" s="9"/>
      <c r="O739" s="9"/>
      <c r="P739" s="9"/>
      <c r="Q739" s="9"/>
      <c r="T739" s="9"/>
    </row>
    <row r="740">
      <c r="N740" s="9"/>
      <c r="O740" s="9"/>
      <c r="P740" s="9"/>
      <c r="Q740" s="9"/>
      <c r="T740" s="9"/>
    </row>
    <row r="741">
      <c r="N741" s="9"/>
      <c r="O741" s="9"/>
      <c r="P741" s="9"/>
      <c r="Q741" s="9"/>
      <c r="T741" s="9"/>
    </row>
    <row r="742">
      <c r="N742" s="9"/>
      <c r="O742" s="9"/>
      <c r="P742" s="9"/>
      <c r="Q742" s="9"/>
      <c r="T742" s="9"/>
    </row>
    <row r="743">
      <c r="N743" s="9"/>
      <c r="O743" s="9"/>
      <c r="P743" s="9"/>
      <c r="Q743" s="9"/>
      <c r="T743" s="9"/>
    </row>
    <row r="744">
      <c r="N744" s="9"/>
      <c r="O744" s="9"/>
      <c r="P744" s="9"/>
      <c r="Q744" s="9"/>
      <c r="T744" s="9"/>
    </row>
    <row r="745">
      <c r="N745" s="9"/>
      <c r="O745" s="9"/>
      <c r="P745" s="9"/>
      <c r="Q745" s="9"/>
      <c r="T745" s="9"/>
    </row>
    <row r="746">
      <c r="N746" s="9"/>
      <c r="O746" s="9"/>
      <c r="P746" s="9"/>
      <c r="Q746" s="9"/>
      <c r="T746" s="9"/>
    </row>
    <row r="747">
      <c r="N747" s="9"/>
      <c r="O747" s="9"/>
      <c r="P747" s="9"/>
      <c r="Q747" s="9"/>
      <c r="T747" s="9"/>
    </row>
    <row r="748">
      <c r="N748" s="9"/>
      <c r="O748" s="9"/>
      <c r="P748" s="9"/>
      <c r="Q748" s="9"/>
      <c r="T748" s="9"/>
    </row>
    <row r="749">
      <c r="N749" s="9"/>
      <c r="O749" s="9"/>
      <c r="P749" s="9"/>
      <c r="Q749" s="9"/>
      <c r="T749" s="9"/>
    </row>
    <row r="750">
      <c r="N750" s="9"/>
      <c r="O750" s="9"/>
      <c r="P750" s="9"/>
      <c r="Q750" s="9"/>
      <c r="T750" s="9"/>
    </row>
    <row r="751">
      <c r="N751" s="9"/>
      <c r="O751" s="9"/>
      <c r="P751" s="9"/>
      <c r="Q751" s="9"/>
      <c r="T751" s="9"/>
    </row>
    <row r="752">
      <c r="N752" s="9"/>
      <c r="O752" s="9"/>
      <c r="P752" s="9"/>
      <c r="Q752" s="9"/>
      <c r="T752" s="9"/>
    </row>
    <row r="753">
      <c r="N753" s="9"/>
      <c r="O753" s="9"/>
      <c r="P753" s="9"/>
      <c r="Q753" s="9"/>
      <c r="T753" s="9"/>
    </row>
    <row r="754">
      <c r="N754" s="9"/>
      <c r="O754" s="9"/>
      <c r="P754" s="9"/>
      <c r="Q754" s="9"/>
      <c r="T754" s="9"/>
    </row>
    <row r="755">
      <c r="N755" s="9"/>
      <c r="O755" s="9"/>
      <c r="P755" s="9"/>
      <c r="Q755" s="9"/>
      <c r="T755" s="9"/>
    </row>
    <row r="756">
      <c r="N756" s="9"/>
      <c r="O756" s="9"/>
      <c r="P756" s="9"/>
      <c r="Q756" s="9"/>
      <c r="T756" s="9"/>
    </row>
    <row r="757">
      <c r="N757" s="9"/>
      <c r="O757" s="9"/>
      <c r="P757" s="9"/>
      <c r="Q757" s="9"/>
      <c r="T757" s="9"/>
    </row>
    <row r="758">
      <c r="N758" s="9"/>
      <c r="O758" s="9"/>
      <c r="P758" s="9"/>
      <c r="Q758" s="9"/>
      <c r="T758" s="9"/>
    </row>
    <row r="759">
      <c r="N759" s="9"/>
      <c r="O759" s="9"/>
      <c r="P759" s="9"/>
      <c r="Q759" s="9"/>
      <c r="T759" s="9"/>
    </row>
    <row r="760">
      <c r="N760" s="9"/>
      <c r="O760" s="9"/>
      <c r="P760" s="9"/>
      <c r="Q760" s="9"/>
      <c r="T760" s="9"/>
    </row>
    <row r="761">
      <c r="N761" s="9"/>
      <c r="O761" s="9"/>
      <c r="P761" s="9"/>
      <c r="Q761" s="9"/>
      <c r="T761" s="9"/>
    </row>
    <row r="762">
      <c r="N762" s="9"/>
      <c r="O762" s="9"/>
      <c r="P762" s="9"/>
      <c r="Q762" s="9"/>
      <c r="T762" s="9"/>
    </row>
    <row r="763">
      <c r="N763" s="9"/>
      <c r="O763" s="9"/>
      <c r="P763" s="9"/>
      <c r="Q763" s="9"/>
      <c r="T763" s="9"/>
    </row>
    <row r="764">
      <c r="N764" s="9"/>
      <c r="O764" s="9"/>
      <c r="P764" s="9"/>
      <c r="Q764" s="9"/>
      <c r="T764" s="9"/>
    </row>
    <row r="765">
      <c r="N765" s="9"/>
      <c r="O765" s="9"/>
      <c r="P765" s="9"/>
      <c r="Q765" s="9"/>
      <c r="T765" s="9"/>
    </row>
    <row r="766">
      <c r="N766" s="9"/>
      <c r="O766" s="9"/>
      <c r="P766" s="9"/>
      <c r="Q766" s="9"/>
      <c r="T766" s="9"/>
    </row>
    <row r="767">
      <c r="N767" s="9"/>
      <c r="O767" s="9"/>
      <c r="P767" s="9"/>
      <c r="Q767" s="9"/>
      <c r="T767" s="9"/>
    </row>
    <row r="768">
      <c r="N768" s="9"/>
      <c r="O768" s="9"/>
      <c r="P768" s="9"/>
      <c r="Q768" s="9"/>
      <c r="T768" s="9"/>
    </row>
    <row r="769">
      <c r="N769" s="9"/>
      <c r="O769" s="9"/>
      <c r="P769" s="9"/>
      <c r="Q769" s="9"/>
      <c r="T769" s="9"/>
    </row>
    <row r="770">
      <c r="N770" s="9"/>
      <c r="O770" s="9"/>
      <c r="P770" s="9"/>
      <c r="Q770" s="9"/>
      <c r="T770" s="9"/>
    </row>
    <row r="771">
      <c r="N771" s="9"/>
      <c r="O771" s="9"/>
      <c r="P771" s="9"/>
      <c r="Q771" s="9"/>
      <c r="T771" s="9"/>
    </row>
    <row r="772">
      <c r="N772" s="9"/>
      <c r="O772" s="9"/>
      <c r="P772" s="9"/>
      <c r="Q772" s="9"/>
      <c r="T772" s="9"/>
    </row>
    <row r="773">
      <c r="N773" s="9"/>
      <c r="O773" s="9"/>
      <c r="P773" s="9"/>
      <c r="Q773" s="9"/>
      <c r="T773" s="9"/>
    </row>
    <row r="774">
      <c r="N774" s="9"/>
      <c r="O774" s="9"/>
      <c r="P774" s="9"/>
      <c r="Q774" s="9"/>
      <c r="T774" s="9"/>
    </row>
    <row r="775">
      <c r="N775" s="9"/>
      <c r="O775" s="9"/>
      <c r="P775" s="9"/>
      <c r="Q775" s="9"/>
      <c r="T775" s="9"/>
    </row>
    <row r="776">
      <c r="N776" s="9"/>
      <c r="O776" s="9"/>
      <c r="P776" s="9"/>
      <c r="Q776" s="9"/>
      <c r="T776" s="9"/>
    </row>
    <row r="777">
      <c r="N777" s="9"/>
      <c r="O777" s="9"/>
      <c r="P777" s="9"/>
      <c r="Q777" s="9"/>
      <c r="T777" s="9"/>
    </row>
    <row r="778">
      <c r="N778" s="9"/>
      <c r="O778" s="9"/>
      <c r="P778" s="9"/>
      <c r="Q778" s="9"/>
      <c r="T778" s="9"/>
    </row>
    <row r="779">
      <c r="N779" s="9"/>
      <c r="O779" s="9"/>
      <c r="P779" s="9"/>
      <c r="Q779" s="9"/>
      <c r="T779" s="9"/>
    </row>
    <row r="780">
      <c r="N780" s="9"/>
      <c r="O780" s="9"/>
      <c r="P780" s="9"/>
      <c r="Q780" s="9"/>
      <c r="T780" s="9"/>
    </row>
    <row r="781">
      <c r="N781" s="9"/>
      <c r="O781" s="9"/>
      <c r="P781" s="9"/>
      <c r="Q781" s="9"/>
      <c r="T781" s="9"/>
    </row>
    <row r="782">
      <c r="N782" s="9"/>
      <c r="O782" s="9"/>
      <c r="P782" s="9"/>
      <c r="Q782" s="9"/>
      <c r="T782" s="9"/>
    </row>
    <row r="783">
      <c r="N783" s="9"/>
      <c r="O783" s="9"/>
      <c r="P783" s="9"/>
      <c r="Q783" s="9"/>
      <c r="T783" s="9"/>
    </row>
    <row r="784">
      <c r="N784" s="9"/>
      <c r="O784" s="9"/>
      <c r="P784" s="9"/>
      <c r="Q784" s="9"/>
      <c r="T784" s="9"/>
    </row>
    <row r="785">
      <c r="N785" s="9"/>
      <c r="O785" s="9"/>
      <c r="P785" s="9"/>
      <c r="Q785" s="9"/>
      <c r="T785" s="9"/>
    </row>
    <row r="786">
      <c r="N786" s="9"/>
      <c r="O786" s="9"/>
      <c r="P786" s="9"/>
      <c r="Q786" s="9"/>
      <c r="T786" s="9"/>
    </row>
    <row r="787">
      <c r="N787" s="9"/>
      <c r="O787" s="9"/>
      <c r="P787" s="9"/>
      <c r="Q787" s="9"/>
      <c r="T787" s="9"/>
    </row>
    <row r="788">
      <c r="N788" s="9"/>
      <c r="O788" s="9"/>
      <c r="P788" s="9"/>
      <c r="Q788" s="9"/>
      <c r="T788" s="9"/>
    </row>
    <row r="789">
      <c r="N789" s="9"/>
      <c r="O789" s="9"/>
      <c r="P789" s="9"/>
      <c r="Q789" s="9"/>
      <c r="T789" s="9"/>
    </row>
    <row r="790">
      <c r="N790" s="9"/>
      <c r="O790" s="9"/>
      <c r="P790" s="9"/>
      <c r="Q790" s="9"/>
      <c r="T790" s="9"/>
    </row>
    <row r="791">
      <c r="N791" s="9"/>
      <c r="O791" s="9"/>
      <c r="P791" s="9"/>
      <c r="Q791" s="9"/>
      <c r="T791" s="9"/>
    </row>
    <row r="792">
      <c r="N792" s="9"/>
      <c r="O792" s="9"/>
      <c r="P792" s="9"/>
      <c r="Q792" s="9"/>
      <c r="T792" s="9"/>
    </row>
    <row r="793">
      <c r="N793" s="9"/>
      <c r="O793" s="9"/>
      <c r="P793" s="9"/>
      <c r="Q793" s="9"/>
      <c r="T793" s="9"/>
    </row>
    <row r="794">
      <c r="N794" s="9"/>
      <c r="O794" s="9"/>
      <c r="P794" s="9"/>
      <c r="Q794" s="9"/>
      <c r="T794" s="9"/>
    </row>
    <row r="795">
      <c r="N795" s="9"/>
      <c r="O795" s="9"/>
      <c r="P795" s="9"/>
      <c r="Q795" s="9"/>
      <c r="T795" s="9"/>
    </row>
    <row r="796">
      <c r="N796" s="9"/>
      <c r="O796" s="9"/>
      <c r="P796" s="9"/>
      <c r="Q796" s="9"/>
      <c r="T796" s="9"/>
    </row>
    <row r="797">
      <c r="N797" s="9"/>
      <c r="O797" s="9"/>
      <c r="P797" s="9"/>
      <c r="Q797" s="9"/>
      <c r="T797" s="9"/>
    </row>
    <row r="798">
      <c r="N798" s="9"/>
      <c r="O798" s="9"/>
      <c r="P798" s="9"/>
      <c r="Q798" s="9"/>
      <c r="T798" s="9"/>
    </row>
    <row r="799">
      <c r="N799" s="9"/>
      <c r="O799" s="9"/>
      <c r="P799" s="9"/>
      <c r="Q799" s="9"/>
      <c r="T799" s="9"/>
    </row>
    <row r="800">
      <c r="N800" s="9"/>
      <c r="O800" s="9"/>
      <c r="P800" s="9"/>
      <c r="Q800" s="9"/>
      <c r="T800" s="9"/>
    </row>
    <row r="801">
      <c r="N801" s="9"/>
      <c r="O801" s="9"/>
      <c r="P801" s="9"/>
      <c r="Q801" s="9"/>
      <c r="T801" s="9"/>
    </row>
    <row r="802">
      <c r="N802" s="9"/>
      <c r="O802" s="9"/>
      <c r="P802" s="9"/>
      <c r="Q802" s="9"/>
      <c r="T802" s="9"/>
    </row>
    <row r="803">
      <c r="N803" s="9"/>
      <c r="O803" s="9"/>
      <c r="P803" s="9"/>
      <c r="Q803" s="9"/>
      <c r="T803" s="9"/>
    </row>
    <row r="804">
      <c r="N804" s="9"/>
      <c r="O804" s="9"/>
      <c r="P804" s="9"/>
      <c r="Q804" s="9"/>
      <c r="T804" s="9"/>
    </row>
    <row r="805">
      <c r="N805" s="9"/>
      <c r="O805" s="9"/>
      <c r="P805" s="9"/>
      <c r="Q805" s="9"/>
      <c r="T805" s="9"/>
    </row>
    <row r="806">
      <c r="N806" s="9"/>
      <c r="O806" s="9"/>
      <c r="P806" s="9"/>
      <c r="Q806" s="9"/>
      <c r="T806" s="9"/>
    </row>
    <row r="807">
      <c r="N807" s="9"/>
      <c r="O807" s="9"/>
      <c r="P807" s="9"/>
      <c r="Q807" s="9"/>
      <c r="T807" s="9"/>
    </row>
    <row r="808">
      <c r="N808" s="9"/>
      <c r="O808" s="9"/>
      <c r="P808" s="9"/>
      <c r="Q808" s="9"/>
      <c r="T808" s="9"/>
    </row>
    <row r="809">
      <c r="N809" s="9"/>
      <c r="O809" s="9"/>
      <c r="P809" s="9"/>
      <c r="Q809" s="9"/>
      <c r="T809" s="9"/>
    </row>
    <row r="810">
      <c r="N810" s="9"/>
      <c r="O810" s="9"/>
      <c r="P810" s="9"/>
      <c r="Q810" s="9"/>
      <c r="T810" s="9"/>
    </row>
    <row r="811">
      <c r="N811" s="9"/>
      <c r="O811" s="9"/>
      <c r="P811" s="9"/>
      <c r="Q811" s="9"/>
      <c r="T811" s="9"/>
    </row>
    <row r="812">
      <c r="N812" s="9"/>
      <c r="O812" s="9"/>
      <c r="P812" s="9"/>
      <c r="Q812" s="9"/>
      <c r="T812" s="9"/>
    </row>
    <row r="813">
      <c r="N813" s="9"/>
      <c r="O813" s="9"/>
      <c r="P813" s="9"/>
      <c r="Q813" s="9"/>
      <c r="T813" s="9"/>
    </row>
    <row r="814">
      <c r="N814" s="9"/>
      <c r="O814" s="9"/>
      <c r="P814" s="9"/>
      <c r="Q814" s="9"/>
      <c r="T814" s="9"/>
    </row>
    <row r="815">
      <c r="N815" s="9"/>
      <c r="O815" s="9"/>
      <c r="P815" s="9"/>
      <c r="Q815" s="9"/>
      <c r="T815" s="9"/>
    </row>
    <row r="816">
      <c r="N816" s="9"/>
      <c r="O816" s="9"/>
      <c r="P816" s="9"/>
      <c r="Q816" s="9"/>
      <c r="T816" s="9"/>
    </row>
    <row r="817">
      <c r="N817" s="9"/>
      <c r="O817" s="9"/>
      <c r="P817" s="9"/>
      <c r="Q817" s="9"/>
      <c r="T817" s="9"/>
    </row>
    <row r="818">
      <c r="N818" s="9"/>
      <c r="O818" s="9"/>
      <c r="P818" s="9"/>
      <c r="Q818" s="9"/>
      <c r="T818" s="9"/>
    </row>
    <row r="819">
      <c r="N819" s="9"/>
      <c r="O819" s="9"/>
      <c r="P819" s="9"/>
      <c r="Q819" s="9"/>
      <c r="T819" s="9"/>
    </row>
    <row r="820">
      <c r="N820" s="9"/>
      <c r="O820" s="9"/>
      <c r="P820" s="9"/>
      <c r="Q820" s="9"/>
      <c r="T820" s="9"/>
    </row>
    <row r="821">
      <c r="N821" s="9"/>
      <c r="O821" s="9"/>
      <c r="P821" s="9"/>
      <c r="Q821" s="9"/>
      <c r="T821" s="9"/>
    </row>
    <row r="822">
      <c r="N822" s="9"/>
      <c r="O822" s="9"/>
      <c r="P822" s="9"/>
      <c r="Q822" s="9"/>
      <c r="T822" s="9"/>
    </row>
    <row r="823">
      <c r="N823" s="9"/>
      <c r="O823" s="9"/>
      <c r="P823" s="9"/>
      <c r="Q823" s="9"/>
      <c r="T823" s="9"/>
    </row>
    <row r="824">
      <c r="N824" s="9"/>
      <c r="O824" s="9"/>
      <c r="P824" s="9"/>
      <c r="Q824" s="9"/>
      <c r="T824" s="9"/>
    </row>
    <row r="825">
      <c r="N825" s="9"/>
      <c r="O825" s="9"/>
      <c r="P825" s="9"/>
      <c r="Q825" s="9"/>
      <c r="T825" s="9"/>
    </row>
    <row r="826">
      <c r="N826" s="9"/>
      <c r="O826" s="9"/>
      <c r="P826" s="9"/>
      <c r="Q826" s="9"/>
      <c r="T826" s="9"/>
    </row>
    <row r="827">
      <c r="N827" s="9"/>
      <c r="O827" s="9"/>
      <c r="P827" s="9"/>
      <c r="Q827" s="9"/>
      <c r="T827" s="9"/>
    </row>
    <row r="828">
      <c r="N828" s="9"/>
      <c r="O828" s="9"/>
      <c r="P828" s="9"/>
      <c r="Q828" s="9"/>
      <c r="T828" s="9"/>
    </row>
    <row r="829">
      <c r="N829" s="9"/>
      <c r="O829" s="9"/>
      <c r="P829" s="9"/>
      <c r="Q829" s="9"/>
      <c r="T829" s="9"/>
    </row>
    <row r="830">
      <c r="N830" s="9"/>
      <c r="O830" s="9"/>
      <c r="P830" s="9"/>
      <c r="Q830" s="9"/>
      <c r="T830" s="9"/>
    </row>
    <row r="831">
      <c r="N831" s="9"/>
      <c r="O831" s="9"/>
      <c r="P831" s="9"/>
      <c r="Q831" s="9"/>
      <c r="T831" s="9"/>
    </row>
    <row r="832">
      <c r="N832" s="9"/>
      <c r="O832" s="9"/>
      <c r="P832" s="9"/>
      <c r="Q832" s="9"/>
      <c r="T832" s="9"/>
    </row>
    <row r="833">
      <c r="N833" s="9"/>
      <c r="O833" s="9"/>
      <c r="P833" s="9"/>
      <c r="Q833" s="9"/>
      <c r="T833" s="9"/>
    </row>
    <row r="834">
      <c r="N834" s="9"/>
      <c r="O834" s="9"/>
      <c r="P834" s="9"/>
      <c r="Q834" s="9"/>
      <c r="T834" s="9"/>
    </row>
    <row r="835">
      <c r="N835" s="9"/>
      <c r="O835" s="9"/>
      <c r="P835" s="9"/>
      <c r="Q835" s="9"/>
      <c r="T835" s="9"/>
    </row>
    <row r="836">
      <c r="N836" s="9"/>
      <c r="O836" s="9"/>
      <c r="P836" s="9"/>
      <c r="Q836" s="9"/>
      <c r="T836" s="9"/>
    </row>
    <row r="837">
      <c r="N837" s="9"/>
      <c r="O837" s="9"/>
      <c r="P837" s="9"/>
      <c r="Q837" s="9"/>
      <c r="T837" s="9"/>
    </row>
    <row r="838">
      <c r="N838" s="9"/>
      <c r="O838" s="9"/>
      <c r="P838" s="9"/>
      <c r="Q838" s="9"/>
      <c r="T838" s="9"/>
    </row>
    <row r="839">
      <c r="N839" s="9"/>
      <c r="O839" s="9"/>
      <c r="P839" s="9"/>
      <c r="Q839" s="9"/>
      <c r="T839" s="9"/>
    </row>
    <row r="840">
      <c r="N840" s="9"/>
      <c r="O840" s="9"/>
      <c r="P840" s="9"/>
      <c r="Q840" s="9"/>
      <c r="T840" s="9"/>
    </row>
    <row r="841">
      <c r="N841" s="9"/>
      <c r="O841" s="9"/>
      <c r="P841" s="9"/>
      <c r="Q841" s="9"/>
      <c r="T841" s="9"/>
    </row>
    <row r="842">
      <c r="N842" s="9"/>
      <c r="O842" s="9"/>
      <c r="P842" s="9"/>
      <c r="Q842" s="9"/>
      <c r="T842" s="9"/>
    </row>
    <row r="843">
      <c r="N843" s="9"/>
      <c r="O843" s="9"/>
      <c r="P843" s="9"/>
      <c r="Q843" s="9"/>
      <c r="T843" s="9"/>
    </row>
    <row r="844">
      <c r="N844" s="9"/>
      <c r="O844" s="9"/>
      <c r="P844" s="9"/>
      <c r="Q844" s="9"/>
      <c r="T844" s="9"/>
    </row>
    <row r="845">
      <c r="N845" s="9"/>
      <c r="O845" s="9"/>
      <c r="P845" s="9"/>
      <c r="Q845" s="9"/>
      <c r="T845" s="9"/>
    </row>
    <row r="846">
      <c r="N846" s="9"/>
      <c r="O846" s="9"/>
      <c r="P846" s="9"/>
      <c r="Q846" s="9"/>
      <c r="T846" s="9"/>
    </row>
    <row r="847">
      <c r="N847" s="9"/>
      <c r="O847" s="9"/>
      <c r="P847" s="9"/>
      <c r="Q847" s="9"/>
      <c r="T847" s="9"/>
    </row>
    <row r="848">
      <c r="N848" s="9"/>
      <c r="O848" s="9"/>
      <c r="P848" s="9"/>
      <c r="Q848" s="9"/>
      <c r="T848" s="9"/>
    </row>
    <row r="849">
      <c r="N849" s="9"/>
      <c r="O849" s="9"/>
      <c r="P849" s="9"/>
      <c r="Q849" s="9"/>
      <c r="T849" s="9"/>
    </row>
    <row r="850">
      <c r="N850" s="9"/>
      <c r="O850" s="9"/>
      <c r="P850" s="9"/>
      <c r="Q850" s="9"/>
      <c r="T850" s="9"/>
    </row>
    <row r="851">
      <c r="N851" s="9"/>
      <c r="O851" s="9"/>
      <c r="P851" s="9"/>
      <c r="Q851" s="9"/>
      <c r="T851" s="9"/>
    </row>
    <row r="852">
      <c r="N852" s="9"/>
      <c r="O852" s="9"/>
      <c r="P852" s="9"/>
      <c r="Q852" s="9"/>
      <c r="T852" s="9"/>
    </row>
    <row r="853">
      <c r="N853" s="9"/>
      <c r="O853" s="9"/>
      <c r="P853" s="9"/>
      <c r="Q853" s="9"/>
      <c r="T853" s="9"/>
    </row>
    <row r="854">
      <c r="N854" s="9"/>
      <c r="O854" s="9"/>
      <c r="P854" s="9"/>
      <c r="Q854" s="9"/>
      <c r="T854" s="9"/>
    </row>
    <row r="855">
      <c r="N855" s="9"/>
      <c r="O855" s="9"/>
      <c r="P855" s="9"/>
      <c r="Q855" s="9"/>
      <c r="T855" s="9"/>
    </row>
    <row r="856">
      <c r="N856" s="9"/>
      <c r="O856" s="9"/>
      <c r="P856" s="9"/>
      <c r="Q856" s="9"/>
      <c r="T856" s="9"/>
    </row>
    <row r="857">
      <c r="N857" s="9"/>
      <c r="O857" s="9"/>
      <c r="P857" s="9"/>
      <c r="Q857" s="9"/>
      <c r="T857" s="9"/>
    </row>
    <row r="858">
      <c r="N858" s="9"/>
      <c r="O858" s="9"/>
      <c r="P858" s="9"/>
      <c r="Q858" s="9"/>
      <c r="T858" s="9"/>
    </row>
    <row r="859">
      <c r="N859" s="9"/>
      <c r="O859" s="9"/>
      <c r="P859" s="9"/>
      <c r="Q859" s="9"/>
      <c r="T859" s="9"/>
    </row>
    <row r="860">
      <c r="N860" s="9"/>
      <c r="O860" s="9"/>
      <c r="P860" s="9"/>
      <c r="Q860" s="9"/>
      <c r="T860" s="9"/>
    </row>
    <row r="861">
      <c r="N861" s="9"/>
      <c r="O861" s="9"/>
      <c r="P861" s="9"/>
      <c r="Q861" s="9"/>
      <c r="T861" s="9"/>
    </row>
    <row r="862">
      <c r="N862" s="9"/>
      <c r="O862" s="9"/>
      <c r="P862" s="9"/>
      <c r="Q862" s="9"/>
      <c r="T862" s="9"/>
    </row>
    <row r="863">
      <c r="N863" s="9"/>
      <c r="O863" s="9"/>
      <c r="P863" s="9"/>
      <c r="Q863" s="9"/>
      <c r="T863" s="9"/>
    </row>
    <row r="864">
      <c r="N864" s="9"/>
      <c r="O864" s="9"/>
      <c r="P864" s="9"/>
      <c r="Q864" s="9"/>
      <c r="T864" s="9"/>
    </row>
    <row r="865">
      <c r="N865" s="9"/>
      <c r="O865" s="9"/>
      <c r="P865" s="9"/>
      <c r="Q865" s="9"/>
      <c r="T865" s="9"/>
    </row>
    <row r="866">
      <c r="N866" s="9"/>
      <c r="O866" s="9"/>
      <c r="P866" s="9"/>
      <c r="Q866" s="9"/>
      <c r="T866" s="9"/>
    </row>
    <row r="867">
      <c r="N867" s="9"/>
      <c r="O867" s="9"/>
      <c r="P867" s="9"/>
      <c r="Q867" s="9"/>
      <c r="T867" s="9"/>
    </row>
    <row r="868">
      <c r="N868" s="9"/>
      <c r="O868" s="9"/>
      <c r="P868" s="9"/>
      <c r="Q868" s="9"/>
      <c r="T868" s="9"/>
    </row>
    <row r="869">
      <c r="N869" s="9"/>
      <c r="O869" s="9"/>
      <c r="P869" s="9"/>
      <c r="Q869" s="9"/>
      <c r="T869" s="9"/>
    </row>
    <row r="870">
      <c r="N870" s="9"/>
      <c r="O870" s="9"/>
      <c r="P870" s="9"/>
      <c r="Q870" s="9"/>
      <c r="T870" s="9"/>
    </row>
    <row r="871">
      <c r="N871" s="9"/>
      <c r="O871" s="9"/>
      <c r="P871" s="9"/>
      <c r="Q871" s="9"/>
      <c r="T871" s="9"/>
    </row>
    <row r="872">
      <c r="N872" s="9"/>
      <c r="O872" s="9"/>
      <c r="P872" s="9"/>
      <c r="Q872" s="9"/>
      <c r="T872" s="9"/>
    </row>
    <row r="873">
      <c r="N873" s="9"/>
      <c r="O873" s="9"/>
      <c r="P873" s="9"/>
      <c r="Q873" s="9"/>
      <c r="T873" s="9"/>
    </row>
    <row r="874">
      <c r="N874" s="9"/>
      <c r="O874" s="9"/>
      <c r="P874" s="9"/>
      <c r="Q874" s="9"/>
      <c r="T874" s="9"/>
    </row>
    <row r="875">
      <c r="N875" s="9"/>
      <c r="O875" s="9"/>
      <c r="P875" s="9"/>
      <c r="Q875" s="9"/>
      <c r="T875" s="9"/>
    </row>
    <row r="876">
      <c r="N876" s="9"/>
      <c r="O876" s="9"/>
      <c r="P876" s="9"/>
      <c r="Q876" s="9"/>
      <c r="T876" s="9"/>
    </row>
    <row r="877">
      <c r="N877" s="9"/>
      <c r="O877" s="9"/>
      <c r="P877" s="9"/>
      <c r="Q877" s="9"/>
      <c r="T877" s="9"/>
    </row>
    <row r="878">
      <c r="N878" s="9"/>
      <c r="O878" s="9"/>
      <c r="P878" s="9"/>
      <c r="Q878" s="9"/>
      <c r="T878" s="9"/>
    </row>
    <row r="879">
      <c r="N879" s="9"/>
      <c r="O879" s="9"/>
      <c r="P879" s="9"/>
      <c r="Q879" s="9"/>
      <c r="T879" s="9"/>
    </row>
    <row r="880">
      <c r="N880" s="9"/>
      <c r="O880" s="9"/>
      <c r="P880" s="9"/>
      <c r="Q880" s="9"/>
      <c r="T880" s="9"/>
    </row>
    <row r="881">
      <c r="N881" s="9"/>
      <c r="O881" s="9"/>
      <c r="P881" s="9"/>
      <c r="Q881" s="9"/>
      <c r="T881" s="9"/>
    </row>
    <row r="882">
      <c r="N882" s="9"/>
      <c r="O882" s="9"/>
      <c r="P882" s="9"/>
      <c r="Q882" s="9"/>
      <c r="T882" s="9"/>
    </row>
    <row r="883">
      <c r="N883" s="9"/>
      <c r="O883" s="9"/>
      <c r="P883" s="9"/>
      <c r="Q883" s="9"/>
      <c r="T883" s="9"/>
    </row>
    <row r="884">
      <c r="N884" s="9"/>
      <c r="O884" s="9"/>
      <c r="P884" s="9"/>
      <c r="Q884" s="9"/>
      <c r="T884" s="9"/>
    </row>
    <row r="885">
      <c r="N885" s="9"/>
      <c r="O885" s="9"/>
      <c r="P885" s="9"/>
      <c r="Q885" s="9"/>
      <c r="T885" s="9"/>
    </row>
    <row r="886">
      <c r="N886" s="9"/>
      <c r="O886" s="9"/>
      <c r="P886" s="9"/>
      <c r="Q886" s="9"/>
      <c r="T886" s="9"/>
    </row>
    <row r="887">
      <c r="N887" s="9"/>
      <c r="O887" s="9"/>
      <c r="P887" s="9"/>
      <c r="Q887" s="9"/>
      <c r="T887" s="9"/>
    </row>
    <row r="888">
      <c r="N888" s="9"/>
      <c r="O888" s="9"/>
      <c r="P888" s="9"/>
      <c r="Q888" s="9"/>
      <c r="T888" s="9"/>
    </row>
    <row r="889">
      <c r="N889" s="9"/>
      <c r="O889" s="9"/>
      <c r="P889" s="9"/>
      <c r="Q889" s="9"/>
      <c r="T889" s="9"/>
    </row>
    <row r="890">
      <c r="N890" s="9"/>
      <c r="O890" s="9"/>
      <c r="P890" s="9"/>
      <c r="Q890" s="9"/>
      <c r="T890" s="9"/>
    </row>
    <row r="891">
      <c r="N891" s="9"/>
      <c r="O891" s="9"/>
      <c r="P891" s="9"/>
      <c r="Q891" s="9"/>
      <c r="T891" s="9"/>
    </row>
    <row r="892">
      <c r="N892" s="9"/>
      <c r="O892" s="9"/>
      <c r="P892" s="9"/>
      <c r="Q892" s="9"/>
      <c r="T892" s="9"/>
    </row>
    <row r="893">
      <c r="N893" s="9"/>
      <c r="O893" s="9"/>
      <c r="P893" s="9"/>
      <c r="Q893" s="9"/>
      <c r="T893" s="9"/>
    </row>
    <row r="894">
      <c r="N894" s="9"/>
      <c r="O894" s="9"/>
      <c r="P894" s="9"/>
      <c r="Q894" s="9"/>
      <c r="T894" s="9"/>
    </row>
    <row r="895">
      <c r="N895" s="9"/>
      <c r="O895" s="9"/>
      <c r="P895" s="9"/>
      <c r="Q895" s="9"/>
      <c r="T895" s="9"/>
    </row>
    <row r="896">
      <c r="N896" s="9"/>
      <c r="O896" s="9"/>
      <c r="P896" s="9"/>
      <c r="Q896" s="9"/>
      <c r="T896" s="9"/>
    </row>
    <row r="897">
      <c r="N897" s="9"/>
      <c r="O897" s="9"/>
      <c r="P897" s="9"/>
      <c r="Q897" s="9"/>
      <c r="T897" s="9"/>
    </row>
    <row r="898">
      <c r="N898" s="9"/>
      <c r="O898" s="9"/>
      <c r="P898" s="9"/>
      <c r="Q898" s="9"/>
      <c r="T898" s="9"/>
    </row>
    <row r="899">
      <c r="N899" s="9"/>
      <c r="O899" s="9"/>
      <c r="P899" s="9"/>
      <c r="Q899" s="9"/>
      <c r="T899" s="9"/>
    </row>
    <row r="900">
      <c r="N900" s="9"/>
      <c r="O900" s="9"/>
      <c r="P900" s="9"/>
      <c r="Q900" s="9"/>
      <c r="T900" s="9"/>
    </row>
    <row r="901">
      <c r="N901" s="9"/>
      <c r="O901" s="9"/>
      <c r="P901" s="9"/>
      <c r="Q901" s="9"/>
      <c r="T901" s="9"/>
    </row>
    <row r="902">
      <c r="N902" s="9"/>
      <c r="O902" s="9"/>
      <c r="P902" s="9"/>
      <c r="Q902" s="9"/>
      <c r="T902" s="9"/>
    </row>
    <row r="903">
      <c r="N903" s="9"/>
      <c r="O903" s="9"/>
      <c r="P903" s="9"/>
      <c r="Q903" s="9"/>
      <c r="T903" s="9"/>
    </row>
    <row r="904">
      <c r="N904" s="9"/>
      <c r="O904" s="9"/>
      <c r="P904" s="9"/>
      <c r="Q904" s="9"/>
      <c r="T904" s="9"/>
    </row>
    <row r="905">
      <c r="N905" s="9"/>
      <c r="O905" s="9"/>
      <c r="P905" s="9"/>
      <c r="Q905" s="9"/>
      <c r="T905" s="9"/>
    </row>
    <row r="906">
      <c r="N906" s="9"/>
      <c r="O906" s="9"/>
      <c r="P906" s="9"/>
      <c r="Q906" s="9"/>
      <c r="T906" s="9"/>
    </row>
    <row r="907">
      <c r="N907" s="9"/>
      <c r="O907" s="9"/>
      <c r="P907" s="9"/>
      <c r="Q907" s="9"/>
      <c r="T907" s="9"/>
    </row>
    <row r="908">
      <c r="N908" s="9"/>
      <c r="O908" s="9"/>
      <c r="P908" s="9"/>
      <c r="Q908" s="9"/>
      <c r="T908" s="9"/>
    </row>
    <row r="909">
      <c r="N909" s="9"/>
      <c r="O909" s="9"/>
      <c r="P909" s="9"/>
      <c r="Q909" s="9"/>
      <c r="T909" s="9"/>
    </row>
    <row r="910">
      <c r="N910" s="9"/>
      <c r="O910" s="9"/>
      <c r="P910" s="9"/>
      <c r="Q910" s="9"/>
      <c r="T910" s="9"/>
    </row>
    <row r="911">
      <c r="N911" s="9"/>
      <c r="O911" s="9"/>
      <c r="P911" s="9"/>
      <c r="Q911" s="9"/>
      <c r="T911" s="9"/>
    </row>
    <row r="912">
      <c r="N912" s="9"/>
      <c r="O912" s="9"/>
      <c r="P912" s="9"/>
      <c r="Q912" s="9"/>
      <c r="T912" s="9"/>
    </row>
    <row r="913">
      <c r="N913" s="9"/>
      <c r="O913" s="9"/>
      <c r="P913" s="9"/>
      <c r="Q913" s="9"/>
      <c r="T913" s="9"/>
    </row>
    <row r="914">
      <c r="N914" s="9"/>
      <c r="O914" s="9"/>
      <c r="P914" s="9"/>
      <c r="Q914" s="9"/>
      <c r="T914" s="9"/>
    </row>
    <row r="915">
      <c r="N915" s="9"/>
      <c r="O915" s="9"/>
      <c r="P915" s="9"/>
      <c r="Q915" s="9"/>
      <c r="T915" s="9"/>
    </row>
    <row r="916">
      <c r="N916" s="9"/>
      <c r="O916" s="9"/>
      <c r="P916" s="9"/>
      <c r="Q916" s="9"/>
      <c r="T916" s="9"/>
    </row>
    <row r="917">
      <c r="N917" s="9"/>
      <c r="O917" s="9"/>
      <c r="P917" s="9"/>
      <c r="Q917" s="9"/>
      <c r="T917" s="9"/>
    </row>
    <row r="918">
      <c r="N918" s="9"/>
      <c r="O918" s="9"/>
      <c r="P918" s="9"/>
      <c r="Q918" s="9"/>
      <c r="T918" s="9"/>
    </row>
    <row r="919">
      <c r="N919" s="9"/>
      <c r="O919" s="9"/>
      <c r="P919" s="9"/>
      <c r="Q919" s="9"/>
      <c r="T919" s="9"/>
    </row>
    <row r="920">
      <c r="N920" s="9"/>
      <c r="O920" s="9"/>
      <c r="P920" s="9"/>
      <c r="Q920" s="9"/>
      <c r="T920" s="9"/>
    </row>
    <row r="921">
      <c r="N921" s="9"/>
      <c r="O921" s="9"/>
      <c r="P921" s="9"/>
      <c r="Q921" s="9"/>
      <c r="T921" s="9"/>
    </row>
    <row r="922">
      <c r="N922" s="9"/>
      <c r="O922" s="9"/>
      <c r="P922" s="9"/>
      <c r="Q922" s="9"/>
      <c r="T922" s="9"/>
    </row>
    <row r="923">
      <c r="N923" s="9"/>
      <c r="O923" s="9"/>
      <c r="P923" s="9"/>
      <c r="Q923" s="9"/>
      <c r="T923" s="9"/>
    </row>
    <row r="924">
      <c r="N924" s="9"/>
      <c r="O924" s="9"/>
      <c r="P924" s="9"/>
      <c r="Q924" s="9"/>
      <c r="T924" s="9"/>
    </row>
    <row r="925">
      <c r="N925" s="9"/>
      <c r="O925" s="9"/>
      <c r="P925" s="9"/>
      <c r="Q925" s="9"/>
      <c r="T925" s="9"/>
    </row>
    <row r="926">
      <c r="N926" s="9"/>
      <c r="O926" s="9"/>
      <c r="P926" s="9"/>
      <c r="Q926" s="9"/>
      <c r="T926" s="9"/>
    </row>
    <row r="927">
      <c r="N927" s="9"/>
      <c r="O927" s="9"/>
      <c r="P927" s="9"/>
      <c r="Q927" s="9"/>
      <c r="T927" s="9"/>
    </row>
    <row r="928">
      <c r="N928" s="9"/>
      <c r="O928" s="9"/>
      <c r="P928" s="9"/>
      <c r="Q928" s="9"/>
      <c r="T928" s="9"/>
    </row>
    <row r="929">
      <c r="N929" s="9"/>
      <c r="O929" s="9"/>
      <c r="P929" s="9"/>
      <c r="Q929" s="9"/>
      <c r="T929" s="9"/>
    </row>
    <row r="930">
      <c r="N930" s="9"/>
      <c r="O930" s="9"/>
      <c r="P930" s="9"/>
      <c r="Q930" s="9"/>
      <c r="T930" s="9"/>
    </row>
    <row r="931">
      <c r="N931" s="9"/>
      <c r="O931" s="9"/>
      <c r="P931" s="9"/>
      <c r="Q931" s="9"/>
      <c r="T931" s="9"/>
    </row>
    <row r="932">
      <c r="N932" s="9"/>
      <c r="O932" s="9"/>
      <c r="P932" s="9"/>
      <c r="Q932" s="9"/>
      <c r="T932" s="9"/>
    </row>
    <row r="933">
      <c r="N933" s="9"/>
      <c r="O933" s="9"/>
      <c r="P933" s="9"/>
      <c r="Q933" s="9"/>
      <c r="T933" s="9"/>
    </row>
    <row r="934">
      <c r="N934" s="9"/>
      <c r="O934" s="9"/>
      <c r="P934" s="9"/>
      <c r="Q934" s="9"/>
      <c r="T934" s="9"/>
    </row>
    <row r="935">
      <c r="N935" s="9"/>
      <c r="O935" s="9"/>
      <c r="P935" s="9"/>
      <c r="Q935" s="9"/>
      <c r="T935" s="9"/>
    </row>
    <row r="936">
      <c r="N936" s="9"/>
      <c r="O936" s="9"/>
      <c r="P936" s="9"/>
      <c r="Q936" s="9"/>
      <c r="T936" s="9"/>
    </row>
    <row r="937">
      <c r="N937" s="9"/>
      <c r="O937" s="9"/>
      <c r="P937" s="9"/>
      <c r="Q937" s="9"/>
      <c r="T937" s="9"/>
    </row>
    <row r="938">
      <c r="N938" s="9"/>
      <c r="O938" s="9"/>
      <c r="P938" s="9"/>
      <c r="Q938" s="9"/>
      <c r="T938" s="9"/>
    </row>
    <row r="939">
      <c r="N939" s="9"/>
      <c r="O939" s="9"/>
      <c r="P939" s="9"/>
      <c r="Q939" s="9"/>
      <c r="T939" s="9"/>
    </row>
    <row r="940">
      <c r="N940" s="9"/>
      <c r="O940" s="9"/>
      <c r="P940" s="9"/>
      <c r="Q940" s="9"/>
      <c r="T940" s="9"/>
    </row>
    <row r="941">
      <c r="N941" s="9"/>
      <c r="O941" s="9"/>
      <c r="P941" s="9"/>
      <c r="Q941" s="9"/>
      <c r="T941" s="9"/>
    </row>
    <row r="942">
      <c r="N942" s="9"/>
      <c r="O942" s="9"/>
      <c r="P942" s="9"/>
      <c r="Q942" s="9"/>
      <c r="T942" s="9"/>
    </row>
    <row r="943">
      <c r="N943" s="9"/>
      <c r="O943" s="9"/>
      <c r="P943" s="9"/>
      <c r="Q943" s="9"/>
      <c r="T943" s="9"/>
    </row>
    <row r="944">
      <c r="N944" s="9"/>
      <c r="O944" s="9"/>
      <c r="P944" s="9"/>
      <c r="Q944" s="9"/>
      <c r="T944" s="9"/>
    </row>
    <row r="945">
      <c r="N945" s="9"/>
      <c r="O945" s="9"/>
      <c r="P945" s="9"/>
      <c r="Q945" s="9"/>
      <c r="T945" s="9"/>
    </row>
    <row r="946">
      <c r="N946" s="9"/>
      <c r="O946" s="9"/>
      <c r="P946" s="9"/>
      <c r="Q946" s="9"/>
      <c r="T946" s="9"/>
    </row>
    <row r="947">
      <c r="N947" s="9"/>
      <c r="O947" s="9"/>
      <c r="P947" s="9"/>
      <c r="Q947" s="9"/>
      <c r="T947" s="9"/>
    </row>
    <row r="948">
      <c r="N948" s="9"/>
      <c r="O948" s="9"/>
      <c r="P948" s="9"/>
      <c r="Q948" s="9"/>
      <c r="T948" s="9"/>
    </row>
    <row r="949">
      <c r="N949" s="9"/>
      <c r="O949" s="9"/>
      <c r="P949" s="9"/>
      <c r="Q949" s="9"/>
      <c r="T949" s="9"/>
    </row>
    <row r="950">
      <c r="N950" s="9"/>
      <c r="O950" s="9"/>
      <c r="P950" s="9"/>
      <c r="Q950" s="9"/>
      <c r="T950" s="9"/>
    </row>
    <row r="951">
      <c r="N951" s="9"/>
      <c r="O951" s="9"/>
      <c r="P951" s="9"/>
      <c r="Q951" s="9"/>
      <c r="T951" s="9"/>
    </row>
    <row r="952">
      <c r="N952" s="9"/>
      <c r="O952" s="9"/>
      <c r="P952" s="9"/>
      <c r="Q952" s="9"/>
      <c r="T952" s="9"/>
    </row>
    <row r="953">
      <c r="N953" s="9"/>
      <c r="O953" s="9"/>
      <c r="P953" s="9"/>
      <c r="Q953" s="9"/>
      <c r="T953" s="9"/>
    </row>
    <row r="954">
      <c r="N954" s="9"/>
      <c r="O954" s="9"/>
      <c r="P954" s="9"/>
      <c r="Q954" s="9"/>
      <c r="T954" s="9"/>
    </row>
    <row r="955">
      <c r="N955" s="9"/>
      <c r="O955" s="9"/>
      <c r="P955" s="9"/>
      <c r="Q955" s="9"/>
      <c r="T955" s="9"/>
    </row>
    <row r="956">
      <c r="N956" s="9"/>
      <c r="O956" s="9"/>
      <c r="P956" s="9"/>
      <c r="Q956" s="9"/>
      <c r="T956" s="9"/>
    </row>
    <row r="957">
      <c r="N957" s="9"/>
      <c r="O957" s="9"/>
      <c r="P957" s="9"/>
      <c r="Q957" s="9"/>
      <c r="T957" s="9"/>
    </row>
    <row r="958">
      <c r="N958" s="9"/>
      <c r="O958" s="9"/>
      <c r="P958" s="9"/>
      <c r="Q958" s="9"/>
      <c r="T958" s="9"/>
    </row>
    <row r="959">
      <c r="N959" s="9"/>
      <c r="O959" s="9"/>
      <c r="P959" s="9"/>
      <c r="Q959" s="9"/>
      <c r="T959" s="9"/>
    </row>
    <row r="960">
      <c r="N960" s="9"/>
      <c r="O960" s="9"/>
      <c r="P960" s="9"/>
      <c r="Q960" s="9"/>
      <c r="T960" s="9"/>
    </row>
    <row r="961">
      <c r="N961" s="9"/>
      <c r="O961" s="9"/>
      <c r="P961" s="9"/>
      <c r="Q961" s="9"/>
      <c r="T961" s="9"/>
    </row>
    <row r="962">
      <c r="N962" s="9"/>
      <c r="O962" s="9"/>
      <c r="P962" s="9"/>
      <c r="Q962" s="9"/>
      <c r="T962" s="9"/>
    </row>
    <row r="963">
      <c r="N963" s="9"/>
      <c r="O963" s="9"/>
      <c r="P963" s="9"/>
      <c r="Q963" s="9"/>
      <c r="T963" s="9"/>
    </row>
    <row r="964">
      <c r="N964" s="9"/>
      <c r="O964" s="9"/>
      <c r="P964" s="9"/>
      <c r="Q964" s="9"/>
      <c r="T964" s="9"/>
    </row>
    <row r="965">
      <c r="N965" s="9"/>
      <c r="O965" s="9"/>
      <c r="P965" s="9"/>
      <c r="Q965" s="9"/>
      <c r="T965" s="9"/>
    </row>
    <row r="966">
      <c r="N966" s="9"/>
      <c r="O966" s="9"/>
      <c r="P966" s="9"/>
      <c r="Q966" s="9"/>
      <c r="T966" s="9"/>
    </row>
    <row r="967">
      <c r="N967" s="9"/>
      <c r="O967" s="9"/>
      <c r="P967" s="9"/>
      <c r="Q967" s="9"/>
      <c r="T967" s="9"/>
    </row>
    <row r="968">
      <c r="N968" s="9"/>
      <c r="O968" s="9"/>
      <c r="P968" s="9"/>
      <c r="Q968" s="9"/>
      <c r="T968" s="9"/>
    </row>
    <row r="969">
      <c r="N969" s="9"/>
      <c r="O969" s="9"/>
      <c r="P969" s="9"/>
      <c r="Q969" s="9"/>
      <c r="T969" s="9"/>
    </row>
    <row r="970">
      <c r="N970" s="9"/>
      <c r="O970" s="9"/>
      <c r="P970" s="9"/>
      <c r="Q970" s="9"/>
      <c r="T970" s="9"/>
    </row>
    <row r="971">
      <c r="N971" s="9"/>
      <c r="O971" s="9"/>
      <c r="P971" s="9"/>
      <c r="Q971" s="9"/>
      <c r="T971" s="9"/>
    </row>
    <row r="972">
      <c r="N972" s="9"/>
      <c r="O972" s="9"/>
      <c r="P972" s="9"/>
      <c r="Q972" s="9"/>
      <c r="T972" s="9"/>
    </row>
    <row r="973">
      <c r="N973" s="9"/>
      <c r="O973" s="9"/>
      <c r="P973" s="9"/>
      <c r="Q973" s="9"/>
      <c r="T973" s="9"/>
    </row>
    <row r="974">
      <c r="N974" s="9"/>
      <c r="O974" s="9"/>
      <c r="P974" s="9"/>
      <c r="Q974" s="9"/>
      <c r="T974" s="9"/>
    </row>
    <row r="975">
      <c r="N975" s="9"/>
      <c r="O975" s="9"/>
      <c r="P975" s="9"/>
      <c r="Q975" s="9"/>
      <c r="T975" s="9"/>
    </row>
    <row r="976">
      <c r="N976" s="9"/>
      <c r="O976" s="9"/>
      <c r="P976" s="9"/>
      <c r="Q976" s="9"/>
      <c r="T976" s="9"/>
    </row>
    <row r="977">
      <c r="N977" s="9"/>
      <c r="O977" s="9"/>
      <c r="P977" s="9"/>
      <c r="Q977" s="9"/>
      <c r="T977" s="9"/>
    </row>
    <row r="978">
      <c r="N978" s="9"/>
      <c r="O978" s="9"/>
      <c r="P978" s="9"/>
      <c r="Q978" s="9"/>
      <c r="T978" s="9"/>
    </row>
    <row r="979">
      <c r="N979" s="9"/>
      <c r="O979" s="9"/>
      <c r="P979" s="9"/>
      <c r="Q979" s="9"/>
      <c r="T979" s="9"/>
    </row>
    <row r="980">
      <c r="N980" s="9"/>
      <c r="O980" s="9"/>
      <c r="P980" s="9"/>
      <c r="Q980" s="9"/>
      <c r="T980" s="9"/>
    </row>
    <row r="981">
      <c r="N981" s="9"/>
      <c r="O981" s="9"/>
      <c r="P981" s="9"/>
      <c r="Q981" s="9"/>
      <c r="T981" s="9"/>
    </row>
    <row r="982">
      <c r="N982" s="9"/>
      <c r="O982" s="9"/>
      <c r="P982" s="9"/>
      <c r="Q982" s="9"/>
      <c r="T982" s="9"/>
    </row>
    <row r="983">
      <c r="N983" s="9"/>
      <c r="O983" s="9"/>
      <c r="P983" s="9"/>
      <c r="Q983" s="9"/>
      <c r="T983" s="9"/>
    </row>
    <row r="984">
      <c r="N984" s="9"/>
      <c r="O984" s="9"/>
      <c r="P984" s="9"/>
      <c r="Q984" s="9"/>
      <c r="T984" s="9"/>
    </row>
    <row r="985">
      <c r="N985" s="9"/>
      <c r="O985" s="9"/>
      <c r="P985" s="9"/>
      <c r="Q985" s="9"/>
      <c r="T985" s="9"/>
    </row>
    <row r="986">
      <c r="N986" s="9"/>
      <c r="O986" s="9"/>
      <c r="P986" s="9"/>
      <c r="Q986" s="9"/>
      <c r="T986" s="9"/>
    </row>
    <row r="987">
      <c r="N987" s="9"/>
      <c r="O987" s="9"/>
      <c r="P987" s="9"/>
      <c r="Q987" s="9"/>
      <c r="T987" s="9"/>
    </row>
    <row r="988">
      <c r="N988" s="9"/>
      <c r="O988" s="9"/>
      <c r="P988" s="9"/>
      <c r="Q988" s="9"/>
      <c r="T988" s="9"/>
    </row>
    <row r="989">
      <c r="N989" s="9"/>
      <c r="O989" s="9"/>
      <c r="P989" s="9"/>
      <c r="Q989" s="9"/>
      <c r="T989" s="9"/>
    </row>
    <row r="990">
      <c r="N990" s="9"/>
      <c r="O990" s="9"/>
      <c r="P990" s="9"/>
      <c r="Q990" s="9"/>
      <c r="T990" s="9"/>
    </row>
    <row r="991">
      <c r="N991" s="9"/>
      <c r="O991" s="9"/>
      <c r="P991" s="9"/>
      <c r="Q991" s="9"/>
      <c r="T991" s="9"/>
    </row>
    <row r="992">
      <c r="N992" s="9"/>
      <c r="O992" s="9"/>
      <c r="P992" s="9"/>
      <c r="Q992" s="9"/>
      <c r="T992" s="9"/>
    </row>
    <row r="993">
      <c r="N993" s="9"/>
      <c r="O993" s="9"/>
      <c r="P993" s="9"/>
      <c r="Q993" s="9"/>
      <c r="T993" s="9"/>
    </row>
    <row r="994">
      <c r="N994" s="9"/>
      <c r="O994" s="9"/>
      <c r="P994" s="9"/>
      <c r="Q994" s="9"/>
      <c r="T994" s="9"/>
    </row>
    <row r="995">
      <c r="N995" s="9"/>
      <c r="O995" s="9"/>
      <c r="P995" s="9"/>
      <c r="Q995" s="9"/>
      <c r="T995" s="9"/>
    </row>
  </sheetData>
  <autoFilter ref="$A$1:$W$995">
    <sortState ref="A1:W995">
      <sortCondition ref="G1:G995"/>
      <sortCondition ref="F1:F995"/>
      <sortCondition descending="1" ref="E1:E995"/>
      <sortCondition ref="C1:C995"/>
      <sortCondition descending="1" ref="T1:T995"/>
      <sortCondition ref="B1:B995"/>
      <sortCondition descending="1" ref="M1:M995"/>
      <sortCondition ref="O1:O995"/>
      <sortCondition ref="N1:N995"/>
      <sortCondition ref="P1:P99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C1" s="4" t="s">
        <v>9</v>
      </c>
      <c r="D1" s="4" t="s">
        <v>26</v>
      </c>
      <c r="E1" s="4" t="s">
        <v>12</v>
      </c>
      <c r="F1" s="4" t="s">
        <v>11</v>
      </c>
      <c r="G1" s="4" t="s">
        <v>27</v>
      </c>
      <c r="H1" s="4" t="s">
        <v>28</v>
      </c>
      <c r="I1" s="4" t="s">
        <v>29</v>
      </c>
      <c r="J1" s="4" t="s">
        <v>16</v>
      </c>
    </row>
    <row r="2">
      <c r="A2" s="7" t="s">
        <v>30</v>
      </c>
      <c r="B2" s="7" t="s">
        <v>31</v>
      </c>
      <c r="C2" s="7">
        <v>103.496</v>
      </c>
      <c r="D2" s="7">
        <v>50.893</v>
      </c>
      <c r="E2" s="7">
        <v>11.357</v>
      </c>
      <c r="F2" s="7">
        <v>17.434</v>
      </c>
      <c r="G2" s="7">
        <v>0.502</v>
      </c>
      <c r="H2" s="7">
        <v>2.152</v>
      </c>
      <c r="I2" s="7">
        <v>0.465</v>
      </c>
      <c r="J2" s="7">
        <v>0.803</v>
      </c>
    </row>
    <row r="3">
      <c r="A3" s="7" t="s">
        <v>30</v>
      </c>
      <c r="B3" s="7" t="s">
        <v>32</v>
      </c>
      <c r="C3" s="7">
        <v>59.692</v>
      </c>
      <c r="D3" s="7">
        <v>46.461</v>
      </c>
      <c r="E3" s="7">
        <v>10.559</v>
      </c>
      <c r="F3" s="7">
        <v>15.347</v>
      </c>
      <c r="G3" s="7">
        <v>0.347</v>
      </c>
      <c r="H3" s="7">
        <v>2.153</v>
      </c>
      <c r="I3" s="7">
        <v>0.465</v>
      </c>
      <c r="J3" s="7">
        <v>0.622</v>
      </c>
    </row>
    <row r="4">
      <c r="A4" s="7" t="s">
        <v>30</v>
      </c>
      <c r="B4" s="7" t="s">
        <v>33</v>
      </c>
      <c r="C4" s="7">
        <v>105.644</v>
      </c>
      <c r="D4" s="7">
        <v>52.716</v>
      </c>
      <c r="E4" s="7">
        <v>12.032</v>
      </c>
      <c r="F4" s="7">
        <v>17.311</v>
      </c>
      <c r="G4" s="7">
        <v>0.478</v>
      </c>
      <c r="H4" s="7">
        <v>2.004</v>
      </c>
      <c r="I4" s="7">
        <v>0.499</v>
      </c>
      <c r="J4" s="7">
        <v>0.758</v>
      </c>
    </row>
    <row r="5">
      <c r="A5" s="7" t="s">
        <v>34</v>
      </c>
      <c r="B5" s="7" t="s">
        <v>35</v>
      </c>
      <c r="C5" s="7">
        <v>111.355</v>
      </c>
      <c r="D5" s="7">
        <v>60.147</v>
      </c>
      <c r="E5" s="7">
        <v>16.113</v>
      </c>
      <c r="F5" s="7">
        <v>17.712</v>
      </c>
      <c r="G5" s="7">
        <v>0.387</v>
      </c>
      <c r="H5" s="7">
        <v>1.363</v>
      </c>
      <c r="I5" s="7">
        <v>0.734</v>
      </c>
      <c r="J5" s="7">
        <v>0.641</v>
      </c>
    </row>
    <row r="6">
      <c r="A6" s="7" t="s">
        <v>34</v>
      </c>
      <c r="B6" s="7" t="s">
        <v>36</v>
      </c>
      <c r="C6" s="7">
        <v>261.918</v>
      </c>
      <c r="D6" s="7">
        <v>100.624</v>
      </c>
      <c r="E6" s="7">
        <v>21.525</v>
      </c>
      <c r="F6" s="7">
        <v>29.213</v>
      </c>
      <c r="G6" s="7">
        <v>0.325</v>
      </c>
      <c r="H6" s="7">
        <v>1.741</v>
      </c>
      <c r="I6" s="7">
        <v>0.575</v>
      </c>
      <c r="J6" s="7">
        <v>0.668</v>
      </c>
    </row>
    <row r="7">
      <c r="A7" s="7" t="s">
        <v>34</v>
      </c>
      <c r="B7" s="7" t="s">
        <v>37</v>
      </c>
      <c r="C7" s="7">
        <v>54.798</v>
      </c>
      <c r="D7" s="7">
        <v>36.077</v>
      </c>
      <c r="E7" s="7">
        <v>10.886</v>
      </c>
      <c r="F7" s="7">
        <v>9.963</v>
      </c>
      <c r="G7" s="7">
        <v>0.529</v>
      </c>
      <c r="H7" s="7">
        <v>1.095</v>
      </c>
      <c r="I7" s="7">
        <v>0.913</v>
      </c>
      <c r="J7" s="7">
        <v>0.776</v>
      </c>
    </row>
    <row r="8">
      <c r="A8" s="7" t="s">
        <v>34</v>
      </c>
      <c r="B8" s="7" t="s">
        <v>38</v>
      </c>
      <c r="C8" s="7">
        <v>64.235</v>
      </c>
      <c r="D8" s="7">
        <v>47.866</v>
      </c>
      <c r="E8" s="7">
        <v>12.546</v>
      </c>
      <c r="F8" s="7">
        <v>13.838</v>
      </c>
      <c r="G8" s="7">
        <v>0.352</v>
      </c>
      <c r="H8" s="7">
        <v>1.579</v>
      </c>
      <c r="I8" s="7">
        <v>0.633</v>
      </c>
      <c r="J8" s="7">
        <v>0.604</v>
      </c>
    </row>
    <row r="9">
      <c r="A9" s="7" t="s">
        <v>34</v>
      </c>
      <c r="B9" s="7" t="s">
        <v>39</v>
      </c>
      <c r="C9" s="7">
        <v>55.88</v>
      </c>
      <c r="D9" s="7">
        <v>36.197</v>
      </c>
      <c r="E9" s="7">
        <v>11.439</v>
      </c>
      <c r="F9" s="7">
        <v>9.902</v>
      </c>
      <c r="G9" s="7">
        <v>0.536</v>
      </c>
      <c r="H9" s="7">
        <v>1.151</v>
      </c>
      <c r="I9" s="7">
        <v>0.869</v>
      </c>
      <c r="J9" s="7">
        <v>0.765</v>
      </c>
    </row>
    <row r="10">
      <c r="A10" s="7" t="s">
        <v>34</v>
      </c>
      <c r="B10" s="7" t="s">
        <v>40</v>
      </c>
      <c r="C10" s="7">
        <v>112.214</v>
      </c>
      <c r="D10" s="7">
        <v>54.393</v>
      </c>
      <c r="E10" s="7">
        <v>15.683</v>
      </c>
      <c r="F10" s="7">
        <v>15.99</v>
      </c>
      <c r="G10" s="7">
        <v>0.477</v>
      </c>
      <c r="H10" s="7">
        <v>1.176</v>
      </c>
      <c r="I10" s="7">
        <v>0.85</v>
      </c>
      <c r="J10" s="7">
        <v>0.72</v>
      </c>
    </row>
    <row r="11">
      <c r="A11" s="7" t="s">
        <v>34</v>
      </c>
      <c r="B11" s="7" t="s">
        <v>41</v>
      </c>
      <c r="C11" s="7">
        <v>585.107</v>
      </c>
      <c r="D11" s="7">
        <v>166.355</v>
      </c>
      <c r="E11" s="7">
        <v>40.59</v>
      </c>
      <c r="F11" s="7">
        <v>45.387</v>
      </c>
      <c r="G11" s="7">
        <v>0.266</v>
      </c>
      <c r="H11" s="7">
        <v>1.701</v>
      </c>
      <c r="I11" s="7">
        <v>0.588</v>
      </c>
      <c r="J11" s="7">
        <v>0.525</v>
      </c>
    </row>
    <row r="12">
      <c r="A12" s="7" t="s">
        <v>34</v>
      </c>
      <c r="B12" s="7" t="s">
        <v>42</v>
      </c>
      <c r="C12" s="7">
        <v>88.408</v>
      </c>
      <c r="D12" s="7">
        <v>42.439</v>
      </c>
      <c r="E12" s="7">
        <v>11.993</v>
      </c>
      <c r="F12" s="7">
        <v>11.993</v>
      </c>
      <c r="G12" s="7">
        <v>0.617</v>
      </c>
      <c r="H12" s="7">
        <v>1.066</v>
      </c>
      <c r="I12" s="7">
        <v>0.938</v>
      </c>
      <c r="J12" s="7">
        <v>0.843</v>
      </c>
    </row>
    <row r="13">
      <c r="A13" s="7" t="s">
        <v>34</v>
      </c>
      <c r="B13" s="7" t="s">
        <v>43</v>
      </c>
      <c r="C13" s="7">
        <v>98.344</v>
      </c>
      <c r="D13" s="7">
        <v>49.036</v>
      </c>
      <c r="E13" s="7">
        <v>11.378</v>
      </c>
      <c r="F13" s="7">
        <v>16.052</v>
      </c>
      <c r="G13" s="7">
        <v>0.514</v>
      </c>
      <c r="H13" s="7">
        <v>1.852</v>
      </c>
      <c r="I13" s="7">
        <v>0.54</v>
      </c>
      <c r="J13" s="7">
        <v>0.811</v>
      </c>
    </row>
    <row r="14">
      <c r="A14" s="7" t="s">
        <v>34</v>
      </c>
      <c r="B14" s="7" t="s">
        <v>44</v>
      </c>
      <c r="C14" s="7">
        <v>28.451</v>
      </c>
      <c r="D14" s="7">
        <v>31.812</v>
      </c>
      <c r="E14" s="7">
        <v>8.118</v>
      </c>
      <c r="F14" s="7">
        <v>10.025</v>
      </c>
      <c r="G14" s="7">
        <v>0.353</v>
      </c>
      <c r="H14" s="7">
        <v>1.654</v>
      </c>
      <c r="I14" s="7">
        <v>0.605</v>
      </c>
      <c r="J14" s="7">
        <v>0.593</v>
      </c>
    </row>
    <row r="16">
      <c r="C16" s="8" t="s">
        <v>9</v>
      </c>
      <c r="D16" s="8" t="s">
        <v>26</v>
      </c>
      <c r="E16" s="8" t="s">
        <v>12</v>
      </c>
      <c r="F16" s="8" t="s">
        <v>11</v>
      </c>
      <c r="G16" s="8" t="s">
        <v>27</v>
      </c>
      <c r="H16" s="8" t="s">
        <v>28</v>
      </c>
      <c r="I16" s="8" t="s">
        <v>29</v>
      </c>
      <c r="J16" s="8" t="s">
        <v>16</v>
      </c>
    </row>
    <row r="17">
      <c r="A17" s="7" t="s">
        <v>34</v>
      </c>
      <c r="B17" s="7" t="s">
        <v>35</v>
      </c>
      <c r="C17" s="7">
        <v>111.408</v>
      </c>
      <c r="D17" s="7">
        <v>60.183</v>
      </c>
      <c r="E17" s="7">
        <v>16.113</v>
      </c>
      <c r="F17" s="7">
        <v>17.712</v>
      </c>
      <c r="G17" s="7">
        <v>0.387</v>
      </c>
      <c r="H17" s="7">
        <v>1.363</v>
      </c>
      <c r="I17" s="7">
        <v>0.734</v>
      </c>
      <c r="J17" s="7">
        <v>0.641</v>
      </c>
      <c r="K17" s="7" t="s">
        <v>45</v>
      </c>
    </row>
    <row r="18">
      <c r="A18" s="7" t="s">
        <v>34</v>
      </c>
      <c r="B18" s="7" t="s">
        <v>36</v>
      </c>
      <c r="C18" s="7">
        <v>258.908</v>
      </c>
      <c r="D18" s="7">
        <v>103.169</v>
      </c>
      <c r="E18" s="7">
        <v>21.833</v>
      </c>
      <c r="F18" s="7">
        <v>29.582</v>
      </c>
      <c r="G18" s="7">
        <v>0.306</v>
      </c>
      <c r="H18" s="7">
        <v>1.743</v>
      </c>
      <c r="I18" s="7">
        <v>0.574</v>
      </c>
      <c r="J18" s="7">
        <v>0.662</v>
      </c>
      <c r="K18" s="7" t="s">
        <v>45</v>
      </c>
    </row>
    <row r="19">
      <c r="A19" s="7" t="s">
        <v>34</v>
      </c>
      <c r="B19" s="7" t="s">
        <v>37</v>
      </c>
      <c r="C19" s="7">
        <v>53.531</v>
      </c>
      <c r="D19" s="7">
        <v>36.43</v>
      </c>
      <c r="E19" s="7">
        <v>10.886</v>
      </c>
      <c r="F19" s="7">
        <v>10.025</v>
      </c>
      <c r="G19" s="7">
        <v>0.507</v>
      </c>
      <c r="H19" s="7">
        <v>1.096</v>
      </c>
      <c r="I19" s="7">
        <v>0.912</v>
      </c>
      <c r="J19" s="7">
        <v>0.766</v>
      </c>
      <c r="K19" s="7" t="s">
        <v>45</v>
      </c>
    </row>
    <row r="20">
      <c r="A20" s="7" t="s">
        <v>34</v>
      </c>
      <c r="B20" s="7" t="s">
        <v>38</v>
      </c>
      <c r="C20" s="7">
        <v>64.235</v>
      </c>
      <c r="D20" s="7">
        <v>47.866</v>
      </c>
      <c r="E20" s="7">
        <v>12.546</v>
      </c>
      <c r="F20" s="7">
        <v>13.838</v>
      </c>
      <c r="G20" s="7">
        <v>0.352</v>
      </c>
      <c r="H20" s="7">
        <v>1.579</v>
      </c>
      <c r="I20" s="7">
        <v>0.633</v>
      </c>
      <c r="J20" s="7">
        <v>0.604</v>
      </c>
      <c r="K20" s="7" t="s">
        <v>45</v>
      </c>
    </row>
    <row r="21">
      <c r="A21" s="7" t="s">
        <v>34</v>
      </c>
      <c r="B21" s="7" t="s">
        <v>39</v>
      </c>
      <c r="C21" s="7">
        <v>55.88</v>
      </c>
      <c r="D21" s="7">
        <v>36.197</v>
      </c>
      <c r="E21" s="7">
        <v>11.439</v>
      </c>
      <c r="F21" s="7">
        <v>9.902</v>
      </c>
      <c r="G21" s="7">
        <v>0.536</v>
      </c>
      <c r="H21" s="7">
        <v>1.151</v>
      </c>
      <c r="I21" s="7">
        <v>0.869</v>
      </c>
      <c r="J21" s="7">
        <v>0.765</v>
      </c>
      <c r="K21" s="7" t="s">
        <v>45</v>
      </c>
    </row>
    <row r="22">
      <c r="A22" s="7" t="s">
        <v>34</v>
      </c>
      <c r="B22" s="7" t="s">
        <v>40</v>
      </c>
      <c r="C22" s="7">
        <v>110.293</v>
      </c>
      <c r="D22" s="7">
        <v>56.536</v>
      </c>
      <c r="E22" s="7">
        <v>15.929</v>
      </c>
      <c r="F22" s="7">
        <v>16.544</v>
      </c>
      <c r="G22" s="7">
        <v>0.434</v>
      </c>
      <c r="H22" s="7">
        <v>1.176</v>
      </c>
      <c r="I22" s="7">
        <v>0.85</v>
      </c>
      <c r="J22" s="7">
        <v>0.713</v>
      </c>
      <c r="K22" s="7" t="s">
        <v>45</v>
      </c>
    </row>
    <row r="23">
      <c r="A23" s="7" t="s">
        <v>34</v>
      </c>
      <c r="B23" s="7" t="s">
        <v>41</v>
      </c>
      <c r="C23" s="7">
        <v>579.18</v>
      </c>
      <c r="D23" s="7">
        <v>177.293</v>
      </c>
      <c r="E23" s="7">
        <v>42.435</v>
      </c>
      <c r="F23" s="7">
        <v>46.863</v>
      </c>
      <c r="G23" s="7">
        <v>0.232</v>
      </c>
      <c r="H23" s="7">
        <v>1.707</v>
      </c>
      <c r="I23" s="7">
        <v>0.586</v>
      </c>
      <c r="J23" s="7">
        <v>0.522</v>
      </c>
      <c r="K23" s="7" t="s">
        <v>45</v>
      </c>
    </row>
    <row r="24">
      <c r="A24" s="7" t="s">
        <v>34</v>
      </c>
      <c r="B24" s="7" t="s">
        <v>42</v>
      </c>
      <c r="C24" s="7">
        <v>86.899</v>
      </c>
      <c r="D24" s="7">
        <v>44.662</v>
      </c>
      <c r="E24" s="7">
        <v>13.346</v>
      </c>
      <c r="F24" s="7">
        <v>12.854</v>
      </c>
      <c r="G24" s="7">
        <v>0.547</v>
      </c>
      <c r="H24" s="7">
        <v>1.068</v>
      </c>
      <c r="I24" s="7">
        <v>0.937</v>
      </c>
      <c r="J24" s="7">
        <v>0.835</v>
      </c>
      <c r="K24" s="7" t="s">
        <v>45</v>
      </c>
    </row>
    <row r="25">
      <c r="A25" s="7" t="s">
        <v>34</v>
      </c>
      <c r="B25" s="7" t="s">
        <v>43</v>
      </c>
      <c r="C25" s="7">
        <v>98.344</v>
      </c>
      <c r="D25" s="7">
        <v>49.036</v>
      </c>
      <c r="E25" s="7">
        <v>11.378</v>
      </c>
      <c r="F25" s="7">
        <v>16.052</v>
      </c>
      <c r="G25" s="7">
        <v>0.514</v>
      </c>
      <c r="H25" s="7">
        <v>1.852</v>
      </c>
      <c r="I25" s="7">
        <v>0.54</v>
      </c>
      <c r="J25" s="7">
        <v>0.811</v>
      </c>
      <c r="K25" s="7" t="s">
        <v>45</v>
      </c>
    </row>
    <row r="26">
      <c r="A26" s="7" t="s">
        <v>34</v>
      </c>
      <c r="B26" s="7" t="s">
        <v>44</v>
      </c>
      <c r="C26" s="7">
        <v>27.354</v>
      </c>
      <c r="D26" s="7">
        <v>32.183</v>
      </c>
      <c r="E26" s="7">
        <v>8.057</v>
      </c>
      <c r="F26" s="7">
        <v>10.086</v>
      </c>
      <c r="G26" s="7">
        <v>0.332</v>
      </c>
      <c r="H26" s="7">
        <v>1.661</v>
      </c>
      <c r="I26" s="7">
        <v>0.602</v>
      </c>
      <c r="J26" s="7">
        <v>0.581</v>
      </c>
      <c r="K26" s="7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2.75" customHeight="1">
      <c r="A1" s="7">
        <v>622.0</v>
      </c>
      <c r="B1" s="8"/>
      <c r="F1" s="8"/>
    </row>
    <row r="2" ht="42.75" customHeight="1">
      <c r="A2" s="7">
        <v>627.0</v>
      </c>
      <c r="B2" s="8"/>
      <c r="F2" s="8"/>
    </row>
    <row r="3" ht="42.75" customHeight="1">
      <c r="A3" s="7">
        <v>595.0</v>
      </c>
      <c r="B3" s="8"/>
      <c r="F3" s="8"/>
    </row>
    <row r="4" ht="42.75" customHeight="1">
      <c r="A4" s="7">
        <v>628.0</v>
      </c>
      <c r="B4" s="8"/>
      <c r="F4" s="8"/>
    </row>
    <row r="5" ht="42.75" customHeight="1">
      <c r="A5" s="7">
        <v>616.0</v>
      </c>
      <c r="B5" s="8"/>
      <c r="C5" s="8"/>
      <c r="D5" s="8"/>
      <c r="F5" s="8"/>
    </row>
    <row r="6" ht="42.75" customHeight="1">
      <c r="A6" s="7">
        <v>603.0</v>
      </c>
      <c r="B6" s="8"/>
      <c r="F6" s="8"/>
    </row>
    <row r="7" ht="42.75" customHeight="1">
      <c r="A7" s="7">
        <v>608.0</v>
      </c>
      <c r="B7" s="8"/>
    </row>
    <row r="8" ht="42.75" customHeight="1">
      <c r="A8" s="7">
        <v>610.0</v>
      </c>
      <c r="B8" s="8"/>
      <c r="C8" s="8"/>
    </row>
    <row r="9" ht="42.75" customHeight="1">
      <c r="A9" s="7">
        <v>617.0</v>
      </c>
      <c r="B9" s="8"/>
    </row>
    <row r="10" ht="42.75" customHeight="1">
      <c r="A10" s="7">
        <v>620.0</v>
      </c>
      <c r="B10" s="8"/>
    </row>
    <row r="11" ht="42.75" customHeight="1">
      <c r="A11" s="7">
        <v>624.0</v>
      </c>
      <c r="B11" s="8"/>
    </row>
    <row r="12" ht="42.75" customHeight="1">
      <c r="A12" s="7">
        <v>636.0</v>
      </c>
      <c r="B12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25"/>
    <col customWidth="1" min="6" max="6" width="13.63"/>
    <col customWidth="1" min="7" max="7" width="18.13"/>
    <col customWidth="1" min="13" max="16" width="14.0"/>
  </cols>
  <sheetData>
    <row r="1">
      <c r="A1" s="12" t="s">
        <v>46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1" t="s">
        <v>8</v>
      </c>
      <c r="H1" s="1" t="s">
        <v>52</v>
      </c>
      <c r="I1" s="1" t="s">
        <v>4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12</v>
      </c>
      <c r="O1" s="1" t="s">
        <v>57</v>
      </c>
      <c r="P1" s="1" t="s">
        <v>58</v>
      </c>
      <c r="Q1" s="1" t="s">
        <v>18</v>
      </c>
      <c r="R1" s="7" t="s">
        <v>19</v>
      </c>
      <c r="S1" s="2" t="s">
        <v>9</v>
      </c>
      <c r="T1" s="2" t="s">
        <v>10</v>
      </c>
      <c r="U1" s="2" t="s">
        <v>12</v>
      </c>
      <c r="V1" s="2" t="s">
        <v>11</v>
      </c>
      <c r="W1" s="3" t="s">
        <v>13</v>
      </c>
      <c r="X1" s="3" t="s">
        <v>14</v>
      </c>
      <c r="Y1" s="3" t="s">
        <v>15</v>
      </c>
      <c r="Z1" s="3" t="s">
        <v>16</v>
      </c>
      <c r="AA1" s="6"/>
      <c r="AB1" s="6"/>
      <c r="AC1" s="6"/>
      <c r="AD1" s="6"/>
      <c r="AE1" s="6"/>
      <c r="AF1" s="6"/>
      <c r="AG1" s="6"/>
      <c r="AH1" s="6"/>
    </row>
    <row r="2" ht="65.25" customHeight="1">
      <c r="A2" s="13" t="s">
        <v>59</v>
      </c>
      <c r="B2" s="13">
        <v>77.0</v>
      </c>
      <c r="C2" s="13" t="s">
        <v>60</v>
      </c>
      <c r="D2" s="13" t="s">
        <v>61</v>
      </c>
      <c r="E2" s="13" t="s">
        <v>62</v>
      </c>
      <c r="F2" s="13" t="s">
        <v>63</v>
      </c>
      <c r="G2" s="8"/>
      <c r="H2" s="7">
        <v>1.0</v>
      </c>
      <c r="I2" s="7">
        <v>1.0</v>
      </c>
      <c r="P2" s="7">
        <v>72.0</v>
      </c>
      <c r="Q2" s="7">
        <v>72.0</v>
      </c>
      <c r="R2" s="8">
        <f t="shared" ref="R2:R4" si="1">P2/Q2</f>
        <v>1</v>
      </c>
    </row>
    <row r="3" ht="65.25" customHeight="1">
      <c r="A3" s="13" t="s">
        <v>64</v>
      </c>
      <c r="B3" s="13">
        <v>83.0</v>
      </c>
      <c r="C3" s="13" t="s">
        <v>65</v>
      </c>
      <c r="D3" s="13" t="s">
        <v>66</v>
      </c>
      <c r="E3" s="13" t="s">
        <v>67</v>
      </c>
      <c r="F3" s="13" t="s">
        <v>68</v>
      </c>
      <c r="G3" s="8"/>
      <c r="H3" s="7">
        <v>1.0</v>
      </c>
      <c r="I3" s="7">
        <v>1.0</v>
      </c>
      <c r="M3" s="7"/>
      <c r="N3" s="7"/>
      <c r="O3" s="7"/>
      <c r="P3" s="7">
        <v>79.0</v>
      </c>
      <c r="Q3" s="7">
        <v>76.0</v>
      </c>
      <c r="R3" s="8">
        <f t="shared" si="1"/>
        <v>1.039473684</v>
      </c>
      <c r="T3" s="8" t="str">
        <f>average(#REF!)</f>
        <v>#REF!</v>
      </c>
    </row>
    <row r="4" ht="65.25" customHeight="1">
      <c r="A4" s="13" t="s">
        <v>69</v>
      </c>
      <c r="B4" s="13" t="s">
        <v>70</v>
      </c>
      <c r="C4" s="13" t="s">
        <v>71</v>
      </c>
      <c r="D4" s="13" t="s">
        <v>72</v>
      </c>
      <c r="E4" s="13" t="s">
        <v>73</v>
      </c>
      <c r="F4" s="14"/>
      <c r="G4" s="8"/>
      <c r="H4" s="7">
        <v>1.0</v>
      </c>
      <c r="I4" s="7">
        <v>1.0</v>
      </c>
      <c r="M4" s="7"/>
      <c r="N4" s="7"/>
      <c r="O4" s="7"/>
      <c r="P4" s="7">
        <v>105.0</v>
      </c>
      <c r="Q4" s="7">
        <v>98.0</v>
      </c>
      <c r="R4" s="8">
        <f t="shared" si="1"/>
        <v>1.071428571</v>
      </c>
    </row>
    <row r="5" ht="65.25" customHeight="1">
      <c r="A5" s="13" t="s">
        <v>74</v>
      </c>
      <c r="B5" s="13">
        <v>93.0</v>
      </c>
      <c r="C5" s="13" t="s">
        <v>75</v>
      </c>
      <c r="D5" s="13" t="s">
        <v>76</v>
      </c>
      <c r="E5" s="13" t="s">
        <v>77</v>
      </c>
      <c r="F5" s="13" t="s">
        <v>78</v>
      </c>
      <c r="G5" s="8"/>
      <c r="H5" s="7">
        <v>1.0</v>
      </c>
      <c r="I5" s="7">
        <v>1.0</v>
      </c>
    </row>
    <row r="6" ht="65.25" customHeight="1">
      <c r="A6" s="13" t="s">
        <v>69</v>
      </c>
      <c r="B6" s="13" t="s">
        <v>79</v>
      </c>
      <c r="C6" s="13" t="s">
        <v>80</v>
      </c>
      <c r="E6" s="13" t="s">
        <v>81</v>
      </c>
      <c r="F6" s="14"/>
      <c r="G6" s="8"/>
      <c r="H6" s="7">
        <v>1.0</v>
      </c>
      <c r="I6" s="7">
        <v>1.0</v>
      </c>
      <c r="M6" s="7"/>
      <c r="N6" s="7"/>
      <c r="O6" s="7"/>
      <c r="P6" s="7">
        <v>86.0</v>
      </c>
      <c r="Q6" s="7">
        <v>79.0</v>
      </c>
      <c r="R6" s="8">
        <f>P6/Q6</f>
        <v>1.088607595</v>
      </c>
    </row>
    <row r="7" ht="65.25" customHeight="1">
      <c r="A7" s="13" t="s">
        <v>69</v>
      </c>
      <c r="B7" s="13" t="s">
        <v>82</v>
      </c>
      <c r="C7" s="14"/>
      <c r="D7" s="14"/>
      <c r="E7" s="14"/>
      <c r="F7" s="14"/>
      <c r="G7" s="8"/>
      <c r="H7" s="7">
        <v>1.0</v>
      </c>
      <c r="I7" s="7">
        <v>1.0</v>
      </c>
    </row>
    <row r="8" ht="65.25" customHeight="1">
      <c r="A8" s="13" t="s">
        <v>83</v>
      </c>
      <c r="B8" s="13">
        <v>87.0</v>
      </c>
      <c r="C8" s="13" t="s">
        <v>84</v>
      </c>
      <c r="D8" s="13" t="s">
        <v>85</v>
      </c>
      <c r="E8" s="13" t="s">
        <v>86</v>
      </c>
      <c r="F8" s="13" t="s">
        <v>87</v>
      </c>
      <c r="G8" s="8"/>
      <c r="I8" s="7">
        <v>1.0</v>
      </c>
    </row>
    <row r="9" ht="65.25" customHeight="1">
      <c r="A9" s="13" t="s">
        <v>88</v>
      </c>
      <c r="B9" s="13">
        <v>370.0</v>
      </c>
      <c r="C9" s="14"/>
      <c r="D9" s="14"/>
      <c r="E9" s="14"/>
      <c r="F9" s="14"/>
      <c r="G9" s="8"/>
      <c r="I9" s="7">
        <v>1.0</v>
      </c>
      <c r="M9" s="7"/>
      <c r="N9" s="7"/>
      <c r="O9" s="7"/>
      <c r="P9" s="7">
        <v>92.0</v>
      </c>
      <c r="Q9" s="7">
        <v>90.0</v>
      </c>
      <c r="R9" s="8">
        <f t="shared" ref="R9:R20" si="2">P9/Q9</f>
        <v>1.022222222</v>
      </c>
    </row>
    <row r="10" ht="65.25" customHeight="1">
      <c r="A10" s="13" t="s">
        <v>89</v>
      </c>
      <c r="B10" s="13">
        <v>96.0</v>
      </c>
      <c r="C10" s="13">
        <v>5.0</v>
      </c>
      <c r="D10" s="13" t="s">
        <v>90</v>
      </c>
      <c r="E10" s="13" t="s">
        <v>81</v>
      </c>
      <c r="F10" s="13" t="s">
        <v>91</v>
      </c>
      <c r="G10" s="8"/>
      <c r="H10" s="7">
        <v>1.0</v>
      </c>
      <c r="M10" s="7"/>
      <c r="N10" s="7"/>
      <c r="O10" s="7"/>
      <c r="P10" s="7">
        <v>84.0</v>
      </c>
      <c r="Q10" s="7">
        <v>77.0</v>
      </c>
      <c r="R10" s="8">
        <f t="shared" si="2"/>
        <v>1.090909091</v>
      </c>
    </row>
    <row r="11" ht="65.25" customHeight="1">
      <c r="A11" s="13" t="s">
        <v>92</v>
      </c>
      <c r="B11" s="13">
        <v>81.0</v>
      </c>
      <c r="C11" s="13" t="s">
        <v>93</v>
      </c>
      <c r="D11" s="13" t="s">
        <v>94</v>
      </c>
      <c r="E11" s="13" t="s">
        <v>95</v>
      </c>
      <c r="F11" s="13" t="s">
        <v>96</v>
      </c>
      <c r="G11" s="8"/>
      <c r="H11" s="7">
        <v>1.0</v>
      </c>
      <c r="M11" s="7"/>
      <c r="N11" s="7"/>
      <c r="O11" s="7"/>
      <c r="P11" s="7">
        <v>63.0</v>
      </c>
      <c r="Q11" s="7">
        <v>59.0</v>
      </c>
      <c r="R11" s="8">
        <f t="shared" si="2"/>
        <v>1.06779661</v>
      </c>
    </row>
    <row r="12" ht="65.25" customHeight="1">
      <c r="A12" s="13" t="s">
        <v>89</v>
      </c>
      <c r="B12" s="13">
        <v>85.0</v>
      </c>
      <c r="C12" s="13" t="s">
        <v>84</v>
      </c>
      <c r="D12" s="13" t="s">
        <v>85</v>
      </c>
      <c r="E12" s="13" t="s">
        <v>97</v>
      </c>
      <c r="F12" s="13" t="s">
        <v>98</v>
      </c>
      <c r="G12" s="8"/>
      <c r="H12" s="7">
        <v>1.0</v>
      </c>
      <c r="M12" s="7"/>
      <c r="N12" s="7"/>
      <c r="O12" s="7"/>
      <c r="P12" s="7">
        <v>91.0</v>
      </c>
      <c r="Q12" s="7">
        <v>85.0</v>
      </c>
      <c r="R12" s="8">
        <f t="shared" si="2"/>
        <v>1.070588235</v>
      </c>
    </row>
    <row r="13" ht="65.25" customHeight="1">
      <c r="A13" s="13" t="s">
        <v>89</v>
      </c>
      <c r="B13" s="13">
        <v>89.0</v>
      </c>
      <c r="C13" s="15" t="s">
        <v>84</v>
      </c>
      <c r="D13" s="15" t="s">
        <v>85</v>
      </c>
      <c r="E13" s="15" t="s">
        <v>99</v>
      </c>
      <c r="F13" s="15" t="s">
        <v>100</v>
      </c>
      <c r="G13" s="8"/>
      <c r="H13" s="7">
        <v>1.0</v>
      </c>
      <c r="M13" s="7"/>
      <c r="N13" s="7"/>
      <c r="O13" s="7"/>
      <c r="P13" s="7">
        <v>76.0</v>
      </c>
      <c r="Q13" s="7">
        <v>67.0</v>
      </c>
      <c r="R13" s="8">
        <f t="shared" si="2"/>
        <v>1.134328358</v>
      </c>
    </row>
    <row r="14" ht="65.25" customHeight="1">
      <c r="A14" s="13" t="s">
        <v>69</v>
      </c>
      <c r="B14" s="13" t="s">
        <v>101</v>
      </c>
      <c r="C14" s="13" t="s">
        <v>71</v>
      </c>
      <c r="D14" s="13" t="s">
        <v>102</v>
      </c>
      <c r="E14" s="13" t="s">
        <v>103</v>
      </c>
      <c r="F14" s="14"/>
      <c r="G14" s="8"/>
      <c r="H14" s="7">
        <v>1.0</v>
      </c>
      <c r="M14" s="7"/>
      <c r="N14" s="7"/>
      <c r="O14" s="7"/>
      <c r="P14" s="7">
        <v>95.0</v>
      </c>
      <c r="Q14" s="7">
        <v>83.0</v>
      </c>
      <c r="R14" s="8">
        <f t="shared" si="2"/>
        <v>1.144578313</v>
      </c>
    </row>
    <row r="15" ht="65.25" customHeight="1">
      <c r="A15" s="13" t="s">
        <v>69</v>
      </c>
      <c r="B15" s="13" t="s">
        <v>104</v>
      </c>
      <c r="C15" s="13" t="s">
        <v>71</v>
      </c>
      <c r="D15" s="13" t="s">
        <v>72</v>
      </c>
      <c r="E15" s="13" t="s">
        <v>81</v>
      </c>
      <c r="F15" s="14"/>
      <c r="G15" s="8"/>
      <c r="H15" s="7">
        <v>1.0</v>
      </c>
      <c r="M15" s="7"/>
      <c r="N15" s="7"/>
      <c r="O15" s="7"/>
      <c r="P15" s="7">
        <v>88.0</v>
      </c>
      <c r="Q15" s="7">
        <v>79.0</v>
      </c>
      <c r="R15" s="8">
        <f t="shared" si="2"/>
        <v>1.113924051</v>
      </c>
    </row>
    <row r="16" ht="65.25" customHeight="1">
      <c r="A16" s="13" t="s">
        <v>69</v>
      </c>
      <c r="B16" s="13" t="s">
        <v>105</v>
      </c>
      <c r="C16" s="13" t="s">
        <v>71</v>
      </c>
      <c r="D16" s="13" t="s">
        <v>72</v>
      </c>
      <c r="E16" s="13" t="s">
        <v>106</v>
      </c>
      <c r="F16" s="14"/>
      <c r="G16" s="8"/>
      <c r="H16" s="7">
        <v>1.0</v>
      </c>
      <c r="M16" s="7"/>
      <c r="N16" s="7"/>
      <c r="O16" s="7"/>
      <c r="P16" s="7">
        <v>107.0</v>
      </c>
      <c r="Q16" s="7">
        <v>97.0</v>
      </c>
      <c r="R16" s="8">
        <f t="shared" si="2"/>
        <v>1.103092784</v>
      </c>
    </row>
    <row r="17" ht="65.25" customHeight="1">
      <c r="A17" s="13" t="s">
        <v>89</v>
      </c>
      <c r="B17" s="13">
        <v>94.0</v>
      </c>
      <c r="C17" s="13" t="s">
        <v>75</v>
      </c>
      <c r="D17" s="13" t="s">
        <v>76</v>
      </c>
      <c r="E17" s="13" t="s">
        <v>107</v>
      </c>
      <c r="F17" s="13" t="s">
        <v>108</v>
      </c>
      <c r="G17" s="8"/>
      <c r="H17" s="7">
        <v>1.0</v>
      </c>
      <c r="M17" s="7"/>
      <c r="N17" s="7"/>
      <c r="O17" s="7"/>
      <c r="P17" s="7">
        <v>85.0</v>
      </c>
      <c r="Q17" s="7">
        <v>77.0</v>
      </c>
      <c r="R17" s="8">
        <f t="shared" si="2"/>
        <v>1.103896104</v>
      </c>
    </row>
    <row r="18" ht="65.25" customHeight="1">
      <c r="A18" s="13" t="s">
        <v>69</v>
      </c>
      <c r="B18" s="13" t="s">
        <v>109</v>
      </c>
      <c r="C18" s="13" t="s">
        <v>110</v>
      </c>
      <c r="D18" s="13"/>
      <c r="E18" s="13" t="s">
        <v>111</v>
      </c>
      <c r="F18" s="14"/>
      <c r="G18" s="8"/>
      <c r="H18" s="7">
        <v>1.0</v>
      </c>
      <c r="M18" s="7"/>
      <c r="N18" s="7"/>
      <c r="O18" s="7"/>
      <c r="P18" s="7">
        <v>98.0</v>
      </c>
      <c r="Q18" s="7">
        <v>73.0</v>
      </c>
      <c r="R18" s="8">
        <f t="shared" si="2"/>
        <v>1.342465753</v>
      </c>
    </row>
    <row r="19" ht="65.25" customHeight="1">
      <c r="A19" s="13" t="s">
        <v>69</v>
      </c>
      <c r="B19" s="13" t="s">
        <v>112</v>
      </c>
      <c r="C19" s="13" t="s">
        <v>110</v>
      </c>
      <c r="D19" s="13"/>
      <c r="E19" s="13" t="s">
        <v>113</v>
      </c>
      <c r="F19" s="14"/>
      <c r="G19" s="8"/>
      <c r="H19" s="7">
        <v>1.0</v>
      </c>
      <c r="M19" s="7"/>
      <c r="N19" s="7"/>
      <c r="O19" s="7"/>
      <c r="P19" s="7">
        <v>115.0</v>
      </c>
      <c r="Q19" s="7">
        <v>85.0</v>
      </c>
      <c r="R19" s="8">
        <f t="shared" si="2"/>
        <v>1.352941176</v>
      </c>
    </row>
    <row r="20" ht="65.25" customHeight="1">
      <c r="A20" s="13"/>
      <c r="B20" s="13" t="s">
        <v>114</v>
      </c>
      <c r="C20" s="13"/>
      <c r="D20" s="13"/>
      <c r="E20" s="13" t="s">
        <v>115</v>
      </c>
      <c r="F20" s="14"/>
      <c r="G20" s="8"/>
      <c r="H20" s="7">
        <v>1.0</v>
      </c>
      <c r="M20" s="7"/>
      <c r="N20" s="7"/>
      <c r="O20" s="7"/>
      <c r="P20" s="7">
        <v>94.0</v>
      </c>
      <c r="Q20" s="7">
        <v>89.0</v>
      </c>
      <c r="R20" s="8">
        <f t="shared" si="2"/>
        <v>1.056179775</v>
      </c>
    </row>
    <row r="21" ht="65.25" customHeight="1">
      <c r="A21" s="13" t="s">
        <v>69</v>
      </c>
      <c r="B21" s="13" t="s">
        <v>116</v>
      </c>
      <c r="C21" s="14"/>
      <c r="D21" s="14"/>
      <c r="E21" s="14"/>
      <c r="F21" s="14"/>
      <c r="G21" s="8"/>
      <c r="H21" s="7">
        <v>1.0</v>
      </c>
    </row>
    <row r="22" ht="65.25" customHeight="1">
      <c r="A22" s="13" t="s">
        <v>69</v>
      </c>
      <c r="B22" s="13" t="s">
        <v>117</v>
      </c>
      <c r="C22" s="14"/>
      <c r="D22" s="14"/>
      <c r="E22" s="14"/>
      <c r="F22" s="14"/>
      <c r="G22" s="8"/>
      <c r="H22" s="7">
        <v>1.0</v>
      </c>
    </row>
    <row r="23" ht="65.25" customHeight="1">
      <c r="A23" s="13" t="s">
        <v>89</v>
      </c>
      <c r="B23" s="13">
        <v>97.0</v>
      </c>
      <c r="C23" s="13">
        <v>5.0</v>
      </c>
      <c r="D23" s="13" t="s">
        <v>118</v>
      </c>
      <c r="E23" s="14"/>
      <c r="F23" s="14"/>
      <c r="G23" s="8"/>
      <c r="J23" s="7">
        <v>1.0</v>
      </c>
      <c r="K23" s="7">
        <v>1.0</v>
      </c>
    </row>
    <row r="24" ht="65.25" customHeight="1">
      <c r="A24" s="13" t="s">
        <v>89</v>
      </c>
      <c r="B24" s="13">
        <v>2.0</v>
      </c>
      <c r="C24" s="13" t="s">
        <v>119</v>
      </c>
      <c r="D24" s="13" t="s">
        <v>120</v>
      </c>
      <c r="F24" s="14"/>
      <c r="G24" s="8"/>
      <c r="J24" s="7">
        <v>1.0</v>
      </c>
      <c r="K24" s="7">
        <v>1.0</v>
      </c>
    </row>
    <row r="25" ht="65.25" customHeight="1">
      <c r="A25" s="13" t="s">
        <v>89</v>
      </c>
      <c r="B25" s="13">
        <v>21.0</v>
      </c>
      <c r="C25" s="13" t="s">
        <v>121</v>
      </c>
      <c r="D25" s="13" t="s">
        <v>122</v>
      </c>
      <c r="E25" s="14"/>
      <c r="F25" s="14"/>
      <c r="G25" s="8"/>
      <c r="J25" s="7">
        <v>1.0</v>
      </c>
    </row>
    <row r="26" ht="65.25" customHeight="1">
      <c r="A26" s="13" t="s">
        <v>89</v>
      </c>
      <c r="B26" s="13">
        <v>25.0</v>
      </c>
      <c r="C26" s="13" t="s">
        <v>123</v>
      </c>
      <c r="D26" s="13" t="s">
        <v>124</v>
      </c>
      <c r="E26" s="14"/>
      <c r="F26" s="14"/>
      <c r="G26" s="8"/>
      <c r="J26" s="7">
        <v>1.0</v>
      </c>
    </row>
    <row r="27" ht="65.25" customHeight="1">
      <c r="A27" s="13" t="s">
        <v>89</v>
      </c>
      <c r="B27" s="13">
        <v>28.0</v>
      </c>
      <c r="C27" s="13" t="s">
        <v>125</v>
      </c>
      <c r="D27" s="13" t="s">
        <v>126</v>
      </c>
      <c r="E27" s="14"/>
      <c r="F27" s="14"/>
      <c r="G27" s="8"/>
      <c r="J27" s="7">
        <v>1.0</v>
      </c>
    </row>
    <row r="28" ht="65.25" customHeight="1">
      <c r="A28" s="13" t="s">
        <v>88</v>
      </c>
      <c r="B28" s="14"/>
      <c r="C28" s="13" t="s">
        <v>125</v>
      </c>
      <c r="D28" s="16" t="s">
        <v>127</v>
      </c>
      <c r="F28" s="14"/>
      <c r="G28" s="8"/>
      <c r="J28" s="7">
        <v>1.0</v>
      </c>
      <c r="K28" s="7">
        <v>1.0</v>
      </c>
      <c r="S28" s="7">
        <v>136.584</v>
      </c>
      <c r="T28" s="7">
        <v>54.38</v>
      </c>
      <c r="U28" s="7">
        <v>13.554</v>
      </c>
      <c r="V28" s="7">
        <v>18.434</v>
      </c>
      <c r="W28" s="7">
        <v>0.58</v>
      </c>
      <c r="X28" s="7">
        <v>1.786</v>
      </c>
      <c r="Y28" s="7">
        <v>0.56</v>
      </c>
      <c r="Z28" s="7">
        <v>0.862</v>
      </c>
    </row>
    <row r="29" ht="65.25" customHeight="1">
      <c r="A29" s="13" t="s">
        <v>88</v>
      </c>
      <c r="B29" s="14"/>
      <c r="C29" s="13" t="s">
        <v>125</v>
      </c>
      <c r="D29" s="16" t="s">
        <v>127</v>
      </c>
      <c r="F29" s="14"/>
      <c r="G29" s="8"/>
      <c r="J29" s="7">
        <v>1.0</v>
      </c>
      <c r="S29" s="7">
        <v>126.593</v>
      </c>
      <c r="T29" s="7">
        <v>52.817</v>
      </c>
      <c r="U29" s="7">
        <v>12.831</v>
      </c>
      <c r="V29" s="7">
        <v>18.012</v>
      </c>
      <c r="W29" s="7">
        <v>0.57</v>
      </c>
      <c r="X29" s="7">
        <v>1.895</v>
      </c>
      <c r="Y29" s="7">
        <v>0.528</v>
      </c>
      <c r="Z29" s="7">
        <v>0.832</v>
      </c>
    </row>
    <row r="30" ht="65.25" customHeight="1">
      <c r="A30" s="13" t="s">
        <v>88</v>
      </c>
      <c r="B30" s="14"/>
      <c r="C30" s="13" t="s">
        <v>125</v>
      </c>
      <c r="D30" s="16" t="s">
        <v>127</v>
      </c>
      <c r="F30" s="14"/>
      <c r="G30" s="8"/>
      <c r="J30" s="7">
        <v>1.0</v>
      </c>
      <c r="S30" s="7">
        <v>91.465</v>
      </c>
      <c r="T30" s="7">
        <v>46.063</v>
      </c>
      <c r="U30" s="7">
        <v>10.843</v>
      </c>
      <c r="V30" s="7">
        <v>15.904</v>
      </c>
      <c r="W30" s="7">
        <v>0.542</v>
      </c>
      <c r="X30" s="7">
        <v>2.037</v>
      </c>
      <c r="Y30" s="7">
        <v>0.491</v>
      </c>
      <c r="Z30" s="7">
        <v>0.814</v>
      </c>
    </row>
    <row r="31" ht="65.25" customHeight="1">
      <c r="A31" s="13" t="s">
        <v>88</v>
      </c>
      <c r="B31" s="14"/>
      <c r="C31" s="13" t="s">
        <v>125</v>
      </c>
      <c r="D31" s="16" t="s">
        <v>127</v>
      </c>
      <c r="F31" s="14"/>
      <c r="G31" s="8"/>
      <c r="J31" s="7">
        <v>1.0</v>
      </c>
      <c r="S31" s="7">
        <v>83.078</v>
      </c>
      <c r="T31" s="7">
        <v>40.095</v>
      </c>
      <c r="U31" s="7">
        <v>10.06</v>
      </c>
      <c r="V31" s="7">
        <v>13.614</v>
      </c>
      <c r="W31" s="7">
        <v>0.649</v>
      </c>
      <c r="X31" s="7">
        <v>1.648</v>
      </c>
      <c r="Y31" s="7">
        <v>0.607</v>
      </c>
      <c r="Z31" s="7">
        <v>0.928</v>
      </c>
    </row>
    <row r="32" ht="65.25" customHeight="1">
      <c r="A32" s="13" t="s">
        <v>89</v>
      </c>
      <c r="B32" s="13">
        <v>36.0</v>
      </c>
      <c r="C32" s="13" t="s">
        <v>128</v>
      </c>
      <c r="D32" s="13" t="s">
        <v>129</v>
      </c>
      <c r="E32" s="14"/>
      <c r="F32" s="14"/>
      <c r="G32" s="8"/>
      <c r="J32" s="7">
        <v>1.0</v>
      </c>
    </row>
    <row r="33" ht="65.25" customHeight="1">
      <c r="A33" s="13" t="s">
        <v>89</v>
      </c>
      <c r="B33" s="13">
        <v>42.0</v>
      </c>
      <c r="C33" s="13" t="s">
        <v>130</v>
      </c>
      <c r="D33" s="13" t="s">
        <v>131</v>
      </c>
      <c r="E33" s="14"/>
      <c r="F33" s="14"/>
      <c r="G33" s="8"/>
      <c r="J33" s="7">
        <v>1.0</v>
      </c>
      <c r="T33" s="8" t="str">
        <f>average(R28:R34)</f>
        <v>#DIV/0!</v>
      </c>
      <c r="U33" s="8" t="str">
        <f>STDEVA(R28:R34)</f>
        <v>#DIV/0!</v>
      </c>
    </row>
    <row r="34" ht="65.25" customHeight="1">
      <c r="A34" s="13" t="s">
        <v>132</v>
      </c>
      <c r="B34" s="13">
        <v>90.0</v>
      </c>
      <c r="C34" s="13" t="s">
        <v>84</v>
      </c>
      <c r="D34" s="13" t="s">
        <v>133</v>
      </c>
      <c r="E34" s="13" t="s">
        <v>134</v>
      </c>
      <c r="F34" s="13" t="s">
        <v>135</v>
      </c>
      <c r="G34" s="8"/>
      <c r="L34" s="7">
        <v>1.0</v>
      </c>
    </row>
    <row r="35" ht="65.25" customHeight="1">
      <c r="A35" s="13" t="s">
        <v>136</v>
      </c>
      <c r="B35" s="13">
        <v>91.0</v>
      </c>
      <c r="C35" s="13" t="s">
        <v>84</v>
      </c>
      <c r="D35" s="13" t="s">
        <v>133</v>
      </c>
      <c r="E35" s="13" t="s">
        <v>137</v>
      </c>
      <c r="F35" s="13" t="s">
        <v>138</v>
      </c>
      <c r="G35" s="8"/>
      <c r="L35" s="7">
        <v>1.0</v>
      </c>
    </row>
    <row r="36" ht="65.25" customHeight="1">
      <c r="A36" s="13" t="s">
        <v>88</v>
      </c>
      <c r="B36" s="13">
        <v>426.0</v>
      </c>
      <c r="C36" s="14"/>
      <c r="D36" s="14"/>
      <c r="E36" s="14"/>
      <c r="F36" s="14"/>
      <c r="G36" s="8"/>
      <c r="J36" s="7">
        <v>1.0</v>
      </c>
      <c r="K36" s="7">
        <v>1.0</v>
      </c>
    </row>
    <row r="37" ht="56.25" customHeight="1">
      <c r="A37" s="13" t="s">
        <v>69</v>
      </c>
      <c r="B37" s="13" t="s">
        <v>139</v>
      </c>
      <c r="C37" s="14"/>
      <c r="D37" s="14"/>
      <c r="E37" s="14"/>
      <c r="F37" s="14"/>
      <c r="G37" s="8"/>
      <c r="J37" s="7">
        <v>1.0</v>
      </c>
      <c r="K37" s="7">
        <v>1.0</v>
      </c>
    </row>
    <row r="38" ht="56.25" customHeight="1">
      <c r="A38" s="13" t="s">
        <v>69</v>
      </c>
      <c r="B38" s="13" t="s">
        <v>140</v>
      </c>
      <c r="C38" s="14"/>
      <c r="D38" s="14"/>
      <c r="E38" s="14"/>
      <c r="F38" s="14"/>
      <c r="G38" s="8"/>
      <c r="J38" s="7">
        <v>1.0</v>
      </c>
      <c r="K38" s="7">
        <v>1.0</v>
      </c>
    </row>
    <row r="39" ht="56.25" customHeight="1">
      <c r="A39" s="13"/>
      <c r="B39" s="13">
        <v>82.0</v>
      </c>
      <c r="C39" s="13"/>
      <c r="D39" s="13"/>
      <c r="E39" s="13"/>
      <c r="F39" s="13"/>
      <c r="H39" s="7"/>
      <c r="M39" s="7"/>
      <c r="N39" s="7"/>
      <c r="O39" s="7"/>
      <c r="P39" s="7"/>
      <c r="Q39" s="7"/>
    </row>
    <row r="40" ht="45.0" customHeight="1">
      <c r="A40" s="13" t="s">
        <v>89</v>
      </c>
      <c r="B40" s="13">
        <v>109.0</v>
      </c>
      <c r="C40" s="14"/>
      <c r="D40" s="14"/>
      <c r="E40" s="14"/>
      <c r="F40" s="14"/>
      <c r="G40" s="8"/>
    </row>
    <row r="41" ht="45.0" customHeight="1">
      <c r="A41" s="13" t="s">
        <v>89</v>
      </c>
      <c r="B41" s="13">
        <v>110.0</v>
      </c>
      <c r="C41" s="14"/>
      <c r="D41" s="14"/>
      <c r="E41" s="14"/>
      <c r="F41" s="14"/>
      <c r="G41" s="8"/>
    </row>
    <row r="42" ht="45.0" customHeight="1">
      <c r="A42" s="13" t="s">
        <v>88</v>
      </c>
      <c r="B42" s="13">
        <v>362.0</v>
      </c>
      <c r="C42" s="14"/>
      <c r="D42" s="14"/>
      <c r="E42" s="14"/>
      <c r="F42" s="14"/>
      <c r="G42" s="8"/>
      <c r="L42" s="7">
        <v>1.0</v>
      </c>
    </row>
    <row r="43" ht="45.0" customHeight="1">
      <c r="A43" s="14"/>
      <c r="B43" s="13" t="s">
        <v>141</v>
      </c>
      <c r="C43" s="14"/>
      <c r="D43" s="14"/>
      <c r="E43" s="14"/>
      <c r="F43" s="14"/>
    </row>
    <row r="44">
      <c r="A44" s="14"/>
      <c r="B44" s="14"/>
      <c r="C44" s="14"/>
      <c r="D44" s="14"/>
      <c r="E44" s="14"/>
      <c r="F44" s="14"/>
    </row>
    <row r="45">
      <c r="A45" s="14"/>
      <c r="B45" s="14"/>
      <c r="C45" s="14"/>
      <c r="D45" s="14"/>
      <c r="E45" s="14"/>
      <c r="F45" s="14"/>
    </row>
    <row r="46">
      <c r="A46" s="14"/>
      <c r="B46" s="14"/>
      <c r="C46" s="14"/>
      <c r="D46" s="14"/>
      <c r="E46" s="14"/>
      <c r="F46" s="14"/>
    </row>
    <row r="47">
      <c r="A47" s="14"/>
      <c r="B47" s="14"/>
      <c r="C47" s="14"/>
      <c r="D47" s="14"/>
      <c r="E47" s="14"/>
      <c r="F47" s="14"/>
    </row>
    <row r="48">
      <c r="A48" s="14"/>
      <c r="B48" s="14"/>
      <c r="C48" s="14"/>
      <c r="D48" s="14"/>
      <c r="E48" s="14"/>
      <c r="F48" s="14"/>
    </row>
    <row r="49">
      <c r="A49" s="14"/>
      <c r="B49" s="14"/>
      <c r="C49" s="14"/>
      <c r="D49" s="14"/>
      <c r="E49" s="14"/>
      <c r="F49" s="14"/>
    </row>
    <row r="50">
      <c r="A50" s="14"/>
      <c r="B50" s="14"/>
      <c r="C50" s="14"/>
      <c r="D50" s="14"/>
      <c r="E50" s="14"/>
      <c r="F50" s="14"/>
    </row>
    <row r="51">
      <c r="A51" s="14"/>
      <c r="B51" s="14"/>
      <c r="C51" s="14"/>
      <c r="D51" s="14"/>
      <c r="E51" s="14"/>
      <c r="F51" s="14"/>
    </row>
    <row r="52">
      <c r="A52" s="14"/>
      <c r="B52" s="14"/>
      <c r="C52" s="14"/>
      <c r="D52" s="14"/>
      <c r="E52" s="14"/>
      <c r="F52" s="14"/>
    </row>
    <row r="53">
      <c r="A53" s="14"/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0">
      <c r="A60" s="14"/>
      <c r="B60" s="14"/>
      <c r="C60" s="14"/>
      <c r="D60" s="14"/>
      <c r="E60" s="14"/>
      <c r="F60" s="14"/>
    </row>
    <row r="61">
      <c r="A61" s="14"/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  <row r="71">
      <c r="A71" s="14"/>
      <c r="B71" s="14"/>
      <c r="C71" s="14"/>
      <c r="D71" s="14"/>
      <c r="E71" s="14"/>
      <c r="F71" s="14"/>
    </row>
    <row r="72">
      <c r="A72" s="14"/>
      <c r="B72" s="14"/>
      <c r="C72" s="14"/>
      <c r="D72" s="14"/>
      <c r="E72" s="14"/>
      <c r="F72" s="14"/>
    </row>
    <row r="73">
      <c r="A73" s="14"/>
      <c r="B73" s="14"/>
      <c r="C73" s="14"/>
      <c r="D73" s="14"/>
      <c r="E73" s="14"/>
      <c r="F73" s="14"/>
    </row>
    <row r="74">
      <c r="A74" s="14"/>
      <c r="B74" s="14"/>
      <c r="C74" s="14"/>
      <c r="D74" s="14"/>
      <c r="E74" s="14"/>
      <c r="F74" s="14"/>
    </row>
    <row r="75">
      <c r="A75" s="14"/>
      <c r="B75" s="14"/>
      <c r="C75" s="14"/>
      <c r="D75" s="14"/>
      <c r="E75" s="14"/>
      <c r="F75" s="14"/>
    </row>
    <row r="76">
      <c r="A76" s="14"/>
      <c r="B76" s="14"/>
      <c r="C76" s="14"/>
      <c r="D76" s="14"/>
      <c r="E76" s="14"/>
      <c r="F76" s="14"/>
    </row>
    <row r="77">
      <c r="A77" s="14"/>
      <c r="B77" s="14"/>
      <c r="C77" s="14"/>
      <c r="D77" s="14"/>
      <c r="E77" s="14"/>
      <c r="F77" s="14"/>
    </row>
    <row r="78">
      <c r="A78" s="14"/>
      <c r="B78" s="14"/>
      <c r="C78" s="14"/>
      <c r="D78" s="14"/>
      <c r="E78" s="14"/>
      <c r="F78" s="14"/>
    </row>
    <row r="79">
      <c r="A79" s="14"/>
      <c r="B79" s="14"/>
      <c r="C79" s="14"/>
      <c r="D79" s="14"/>
      <c r="E79" s="14"/>
      <c r="F79" s="14"/>
    </row>
    <row r="80">
      <c r="A80" s="14"/>
      <c r="B80" s="14"/>
      <c r="C80" s="14"/>
      <c r="D80" s="14"/>
      <c r="E80" s="14"/>
      <c r="F80" s="14"/>
    </row>
    <row r="81">
      <c r="A81" s="14"/>
      <c r="B81" s="14"/>
      <c r="C81" s="14"/>
      <c r="D81" s="14"/>
      <c r="E81" s="14"/>
      <c r="F81" s="14"/>
    </row>
    <row r="82">
      <c r="A82" s="14"/>
      <c r="B82" s="14"/>
      <c r="C82" s="14"/>
      <c r="D82" s="14"/>
      <c r="E82" s="14"/>
      <c r="F82" s="14"/>
    </row>
    <row r="83">
      <c r="A83" s="14"/>
      <c r="B83" s="14"/>
      <c r="C83" s="14"/>
      <c r="D83" s="14"/>
      <c r="E83" s="14"/>
      <c r="F83" s="14"/>
    </row>
    <row r="84">
      <c r="A84" s="14"/>
      <c r="B84" s="14"/>
      <c r="C84" s="14"/>
      <c r="D84" s="14"/>
      <c r="E84" s="14"/>
      <c r="F84" s="14"/>
    </row>
    <row r="85">
      <c r="A85" s="14"/>
      <c r="B85" s="14"/>
      <c r="C85" s="14"/>
      <c r="D85" s="14"/>
      <c r="E85" s="14"/>
      <c r="F85" s="14"/>
    </row>
    <row r="86">
      <c r="A86" s="14"/>
      <c r="B86" s="14"/>
      <c r="C86" s="14"/>
      <c r="D86" s="14"/>
      <c r="E86" s="14"/>
      <c r="F86" s="14"/>
    </row>
    <row r="87">
      <c r="A87" s="14"/>
      <c r="B87" s="14"/>
      <c r="C87" s="14"/>
      <c r="D87" s="14"/>
      <c r="E87" s="14"/>
      <c r="F87" s="14"/>
    </row>
    <row r="88">
      <c r="A88" s="14"/>
      <c r="B88" s="14"/>
      <c r="C88" s="14"/>
      <c r="D88" s="14"/>
      <c r="E88" s="14"/>
      <c r="F88" s="14"/>
    </row>
    <row r="89">
      <c r="A89" s="14"/>
      <c r="B89" s="14"/>
      <c r="C89" s="14"/>
      <c r="D89" s="14"/>
      <c r="E89" s="14"/>
      <c r="F89" s="14"/>
    </row>
    <row r="90">
      <c r="A90" s="14"/>
      <c r="B90" s="14"/>
      <c r="C90" s="14"/>
      <c r="D90" s="14"/>
      <c r="E90" s="14"/>
      <c r="F90" s="14"/>
    </row>
    <row r="91">
      <c r="A91" s="14"/>
      <c r="B91" s="14"/>
      <c r="C91" s="14"/>
      <c r="D91" s="14"/>
      <c r="E91" s="14"/>
      <c r="F91" s="14"/>
    </row>
    <row r="92">
      <c r="A92" s="14"/>
      <c r="B92" s="14"/>
      <c r="C92" s="14"/>
      <c r="D92" s="14"/>
      <c r="E92" s="14"/>
      <c r="F92" s="14"/>
    </row>
    <row r="93">
      <c r="A93" s="14"/>
      <c r="B93" s="14"/>
      <c r="C93" s="14"/>
      <c r="D93" s="14"/>
      <c r="E93" s="14"/>
      <c r="F93" s="14"/>
    </row>
    <row r="94">
      <c r="A94" s="14"/>
      <c r="B94" s="14"/>
      <c r="C94" s="14"/>
      <c r="D94" s="14"/>
      <c r="E94" s="14"/>
      <c r="F94" s="14"/>
    </row>
    <row r="95">
      <c r="A95" s="14"/>
      <c r="B95" s="14"/>
      <c r="C95" s="14"/>
      <c r="D95" s="14"/>
      <c r="E95" s="14"/>
      <c r="F95" s="14"/>
    </row>
    <row r="96">
      <c r="A96" s="14"/>
      <c r="B96" s="14"/>
      <c r="C96" s="14"/>
      <c r="D96" s="14"/>
      <c r="E96" s="14"/>
      <c r="F96" s="14"/>
    </row>
    <row r="97">
      <c r="A97" s="14"/>
      <c r="B97" s="14"/>
      <c r="C97" s="14"/>
      <c r="D97" s="14"/>
      <c r="E97" s="14"/>
      <c r="F97" s="14"/>
    </row>
    <row r="98">
      <c r="A98" s="14"/>
      <c r="B98" s="14"/>
      <c r="C98" s="14"/>
      <c r="D98" s="14"/>
      <c r="E98" s="14"/>
      <c r="F98" s="14"/>
    </row>
    <row r="99">
      <c r="A99" s="14"/>
      <c r="B99" s="14"/>
      <c r="C99" s="14"/>
      <c r="D99" s="14"/>
      <c r="E99" s="14"/>
      <c r="F99" s="14"/>
    </row>
    <row r="100">
      <c r="A100" s="14"/>
      <c r="B100" s="14"/>
      <c r="C100" s="14"/>
      <c r="D100" s="14"/>
      <c r="E100" s="14"/>
      <c r="F100" s="14"/>
    </row>
    <row r="101">
      <c r="A101" s="14"/>
      <c r="B101" s="14"/>
      <c r="C101" s="14"/>
      <c r="D101" s="14"/>
      <c r="E101" s="14"/>
      <c r="F101" s="14"/>
    </row>
    <row r="102">
      <c r="A102" s="14"/>
      <c r="B102" s="14"/>
      <c r="C102" s="14"/>
      <c r="D102" s="14"/>
      <c r="E102" s="14"/>
      <c r="F102" s="14"/>
    </row>
    <row r="103">
      <c r="A103" s="14"/>
      <c r="B103" s="14"/>
      <c r="C103" s="14"/>
      <c r="D103" s="14"/>
      <c r="E103" s="14"/>
      <c r="F103" s="14"/>
    </row>
    <row r="104">
      <c r="A104" s="14"/>
      <c r="B104" s="14"/>
      <c r="C104" s="14"/>
      <c r="D104" s="14"/>
      <c r="E104" s="14"/>
      <c r="F104" s="14"/>
    </row>
    <row r="105">
      <c r="A105" s="14"/>
      <c r="B105" s="14"/>
      <c r="C105" s="14"/>
      <c r="D105" s="14"/>
      <c r="E105" s="14"/>
      <c r="F105" s="14"/>
    </row>
    <row r="106">
      <c r="A106" s="14"/>
      <c r="B106" s="14"/>
      <c r="C106" s="14"/>
      <c r="D106" s="14"/>
      <c r="E106" s="14"/>
      <c r="F106" s="14"/>
    </row>
    <row r="107">
      <c r="A107" s="14"/>
      <c r="B107" s="14"/>
      <c r="C107" s="14"/>
      <c r="D107" s="14"/>
      <c r="E107" s="14"/>
      <c r="F107" s="14"/>
    </row>
    <row r="108">
      <c r="A108" s="14"/>
      <c r="B108" s="14"/>
      <c r="C108" s="14"/>
      <c r="D108" s="14"/>
      <c r="E108" s="14"/>
      <c r="F108" s="14"/>
    </row>
    <row r="109">
      <c r="A109" s="14"/>
      <c r="B109" s="14"/>
      <c r="C109" s="14"/>
      <c r="D109" s="14"/>
      <c r="E109" s="14"/>
      <c r="F109" s="14"/>
    </row>
    <row r="110">
      <c r="A110" s="14"/>
      <c r="B110" s="14"/>
      <c r="C110" s="14"/>
      <c r="D110" s="14"/>
      <c r="E110" s="14"/>
      <c r="F110" s="14"/>
    </row>
    <row r="111">
      <c r="A111" s="14"/>
      <c r="B111" s="14"/>
      <c r="C111" s="14"/>
      <c r="D111" s="14"/>
      <c r="E111" s="14"/>
      <c r="F111" s="14"/>
    </row>
    <row r="112">
      <c r="A112" s="14"/>
      <c r="B112" s="14"/>
      <c r="C112" s="14"/>
      <c r="D112" s="14"/>
      <c r="E112" s="14"/>
      <c r="F112" s="14"/>
    </row>
    <row r="113">
      <c r="A113" s="14"/>
      <c r="B113" s="14"/>
      <c r="C113" s="14"/>
      <c r="D113" s="14"/>
      <c r="E113" s="14"/>
      <c r="F113" s="14"/>
    </row>
    <row r="114">
      <c r="A114" s="14"/>
      <c r="B114" s="14"/>
      <c r="C114" s="14"/>
      <c r="D114" s="14"/>
      <c r="E114" s="14"/>
      <c r="F114" s="14"/>
    </row>
    <row r="115">
      <c r="A115" s="14"/>
      <c r="B115" s="14"/>
      <c r="C115" s="14"/>
      <c r="D115" s="14"/>
      <c r="E115" s="14"/>
      <c r="F115" s="14"/>
    </row>
    <row r="116">
      <c r="A116" s="14"/>
      <c r="B116" s="14"/>
      <c r="C116" s="14"/>
      <c r="D116" s="14"/>
      <c r="E116" s="14"/>
      <c r="F116" s="14"/>
    </row>
    <row r="117">
      <c r="A117" s="14"/>
      <c r="B117" s="14"/>
      <c r="C117" s="14"/>
      <c r="D117" s="14"/>
      <c r="E117" s="14"/>
      <c r="F117" s="14"/>
    </row>
    <row r="118">
      <c r="A118" s="14"/>
      <c r="B118" s="14"/>
      <c r="C118" s="14"/>
      <c r="D118" s="14"/>
      <c r="E118" s="14"/>
      <c r="F118" s="14"/>
    </row>
    <row r="119">
      <c r="A119" s="14"/>
      <c r="B119" s="14"/>
      <c r="C119" s="14"/>
      <c r="D119" s="14"/>
      <c r="E119" s="14"/>
      <c r="F119" s="14"/>
    </row>
    <row r="120">
      <c r="A120" s="14"/>
      <c r="B120" s="14"/>
      <c r="C120" s="14"/>
      <c r="D120" s="14"/>
      <c r="E120" s="14"/>
      <c r="F120" s="14"/>
    </row>
    <row r="121">
      <c r="A121" s="14"/>
      <c r="B121" s="14"/>
      <c r="C121" s="14"/>
      <c r="D121" s="14"/>
      <c r="E121" s="14"/>
      <c r="F121" s="14"/>
    </row>
    <row r="122">
      <c r="A122" s="14"/>
      <c r="B122" s="14"/>
      <c r="C122" s="14"/>
      <c r="D122" s="14"/>
      <c r="E122" s="14"/>
      <c r="F122" s="14"/>
    </row>
    <row r="123">
      <c r="A123" s="14"/>
      <c r="B123" s="14"/>
      <c r="C123" s="14"/>
      <c r="D123" s="14"/>
      <c r="E123" s="14"/>
      <c r="F123" s="14"/>
    </row>
    <row r="124">
      <c r="A124" s="14"/>
      <c r="B124" s="14"/>
      <c r="C124" s="14"/>
      <c r="D124" s="14"/>
      <c r="E124" s="14"/>
      <c r="F124" s="14"/>
    </row>
    <row r="125">
      <c r="A125" s="14"/>
      <c r="B125" s="14"/>
      <c r="C125" s="14"/>
      <c r="D125" s="14"/>
      <c r="E125" s="14"/>
      <c r="F125" s="14"/>
    </row>
    <row r="126">
      <c r="A126" s="14"/>
      <c r="B126" s="14"/>
      <c r="C126" s="14"/>
      <c r="D126" s="14"/>
      <c r="E126" s="14"/>
      <c r="F126" s="14"/>
    </row>
    <row r="127">
      <c r="A127" s="14"/>
      <c r="B127" s="14"/>
      <c r="C127" s="14"/>
      <c r="D127" s="14"/>
      <c r="E127" s="14"/>
      <c r="F127" s="14"/>
    </row>
    <row r="128">
      <c r="A128" s="14"/>
      <c r="B128" s="14"/>
      <c r="C128" s="14"/>
      <c r="D128" s="14"/>
      <c r="E128" s="14"/>
      <c r="F128" s="14"/>
    </row>
    <row r="129">
      <c r="A129" s="14"/>
      <c r="B129" s="14"/>
      <c r="C129" s="14"/>
      <c r="D129" s="14"/>
      <c r="E129" s="14"/>
      <c r="F129" s="14"/>
    </row>
    <row r="130">
      <c r="A130" s="14"/>
      <c r="B130" s="14"/>
      <c r="C130" s="14"/>
      <c r="D130" s="14"/>
      <c r="E130" s="14"/>
      <c r="F130" s="14"/>
    </row>
    <row r="131">
      <c r="A131" s="14"/>
      <c r="B131" s="14"/>
      <c r="C131" s="14"/>
      <c r="D131" s="14"/>
      <c r="E131" s="14"/>
      <c r="F131" s="14"/>
    </row>
    <row r="132">
      <c r="A132" s="14"/>
      <c r="B132" s="14"/>
      <c r="C132" s="14"/>
      <c r="D132" s="14"/>
      <c r="E132" s="14"/>
      <c r="F132" s="14"/>
    </row>
    <row r="133">
      <c r="A133" s="14"/>
      <c r="B133" s="14"/>
      <c r="C133" s="14"/>
      <c r="D133" s="14"/>
      <c r="E133" s="14"/>
      <c r="F133" s="14"/>
    </row>
    <row r="134">
      <c r="A134" s="14"/>
      <c r="B134" s="14"/>
      <c r="C134" s="14"/>
      <c r="D134" s="14"/>
      <c r="E134" s="14"/>
      <c r="F134" s="14"/>
    </row>
    <row r="135">
      <c r="A135" s="14"/>
      <c r="B135" s="14"/>
      <c r="C135" s="14"/>
      <c r="D135" s="14"/>
      <c r="E135" s="14"/>
      <c r="F135" s="14"/>
    </row>
    <row r="136">
      <c r="A136" s="14"/>
      <c r="B136" s="14"/>
      <c r="C136" s="14"/>
      <c r="D136" s="14"/>
      <c r="E136" s="14"/>
      <c r="F136" s="14"/>
    </row>
    <row r="137">
      <c r="A137" s="14"/>
      <c r="B137" s="14"/>
      <c r="C137" s="14"/>
      <c r="D137" s="14"/>
      <c r="E137" s="14"/>
      <c r="F137" s="14"/>
    </row>
    <row r="138">
      <c r="A138" s="14"/>
      <c r="B138" s="14"/>
      <c r="C138" s="14"/>
      <c r="D138" s="14"/>
      <c r="E138" s="14"/>
      <c r="F138" s="14"/>
    </row>
    <row r="139">
      <c r="A139" s="14"/>
      <c r="B139" s="14"/>
      <c r="C139" s="14"/>
      <c r="D139" s="14"/>
      <c r="E139" s="14"/>
      <c r="F139" s="14"/>
    </row>
    <row r="140">
      <c r="A140" s="14"/>
      <c r="B140" s="14"/>
      <c r="C140" s="14"/>
      <c r="D140" s="14"/>
      <c r="E140" s="14"/>
      <c r="F140" s="14"/>
    </row>
    <row r="141">
      <c r="A141" s="14"/>
      <c r="B141" s="14"/>
      <c r="C141" s="14"/>
      <c r="D141" s="14"/>
      <c r="E141" s="14"/>
      <c r="F141" s="14"/>
    </row>
    <row r="142">
      <c r="A142" s="14"/>
      <c r="B142" s="14"/>
      <c r="C142" s="14"/>
      <c r="D142" s="14"/>
      <c r="E142" s="14"/>
      <c r="F142" s="14"/>
    </row>
    <row r="143">
      <c r="A143" s="14"/>
      <c r="B143" s="14"/>
      <c r="C143" s="14"/>
      <c r="D143" s="14"/>
      <c r="E143" s="14"/>
      <c r="F143" s="14"/>
    </row>
    <row r="144">
      <c r="A144" s="14"/>
      <c r="B144" s="14"/>
      <c r="C144" s="14"/>
      <c r="D144" s="14"/>
      <c r="E144" s="14"/>
      <c r="F144" s="14"/>
    </row>
    <row r="145">
      <c r="A145" s="14"/>
      <c r="B145" s="14"/>
      <c r="C145" s="14"/>
      <c r="D145" s="14"/>
      <c r="E145" s="14"/>
      <c r="F145" s="14"/>
    </row>
    <row r="146">
      <c r="A146" s="14"/>
      <c r="B146" s="14"/>
      <c r="C146" s="14"/>
      <c r="D146" s="14"/>
      <c r="E146" s="14"/>
      <c r="F146" s="14"/>
    </row>
    <row r="147">
      <c r="A147" s="14"/>
      <c r="B147" s="14"/>
      <c r="C147" s="14"/>
      <c r="D147" s="14"/>
      <c r="E147" s="14"/>
      <c r="F147" s="14"/>
    </row>
    <row r="148">
      <c r="A148" s="14"/>
      <c r="B148" s="14"/>
      <c r="C148" s="14"/>
      <c r="D148" s="14"/>
      <c r="E148" s="14"/>
      <c r="F148" s="14"/>
    </row>
    <row r="149">
      <c r="A149" s="14"/>
      <c r="B149" s="14"/>
      <c r="C149" s="14"/>
      <c r="D149" s="14"/>
      <c r="E149" s="14"/>
      <c r="F149" s="14"/>
    </row>
    <row r="150">
      <c r="A150" s="14"/>
      <c r="B150" s="14"/>
      <c r="C150" s="14"/>
      <c r="D150" s="14"/>
      <c r="E150" s="14"/>
      <c r="F150" s="14"/>
    </row>
    <row r="151">
      <c r="A151" s="14"/>
      <c r="B151" s="14"/>
      <c r="C151" s="14"/>
      <c r="D151" s="14"/>
      <c r="E151" s="14"/>
      <c r="F151" s="14"/>
    </row>
    <row r="152">
      <c r="A152" s="14"/>
      <c r="B152" s="14"/>
      <c r="C152" s="14"/>
      <c r="D152" s="14"/>
      <c r="E152" s="14"/>
      <c r="F152" s="14"/>
    </row>
    <row r="153">
      <c r="A153" s="14"/>
      <c r="B153" s="14"/>
      <c r="C153" s="14"/>
      <c r="D153" s="14"/>
      <c r="E153" s="14"/>
      <c r="F153" s="14"/>
    </row>
    <row r="154">
      <c r="A154" s="14"/>
      <c r="B154" s="14"/>
      <c r="C154" s="14"/>
      <c r="D154" s="14"/>
      <c r="E154" s="14"/>
      <c r="F154" s="14"/>
    </row>
    <row r="155">
      <c r="A155" s="14"/>
      <c r="B155" s="14"/>
      <c r="C155" s="14"/>
      <c r="D155" s="14"/>
      <c r="E155" s="14"/>
      <c r="F155" s="14"/>
    </row>
    <row r="156">
      <c r="A156" s="14"/>
      <c r="B156" s="14"/>
      <c r="C156" s="14"/>
      <c r="D156" s="14"/>
      <c r="E156" s="14"/>
      <c r="F156" s="14"/>
    </row>
    <row r="157">
      <c r="A157" s="14"/>
      <c r="B157" s="14"/>
      <c r="C157" s="14"/>
      <c r="D157" s="14"/>
      <c r="E157" s="14"/>
      <c r="F157" s="14"/>
    </row>
    <row r="158">
      <c r="A158" s="14"/>
      <c r="B158" s="14"/>
      <c r="C158" s="14"/>
      <c r="D158" s="14"/>
      <c r="E158" s="14"/>
      <c r="F158" s="14"/>
    </row>
    <row r="159">
      <c r="A159" s="14"/>
      <c r="B159" s="14"/>
      <c r="C159" s="14"/>
      <c r="D159" s="14"/>
      <c r="E159" s="14"/>
      <c r="F159" s="14"/>
    </row>
    <row r="160">
      <c r="A160" s="14"/>
      <c r="B160" s="14"/>
      <c r="C160" s="14"/>
      <c r="D160" s="14"/>
      <c r="E160" s="14"/>
      <c r="F160" s="14"/>
    </row>
    <row r="161">
      <c r="A161" s="14"/>
      <c r="B161" s="14"/>
      <c r="C161" s="14"/>
      <c r="D161" s="14"/>
      <c r="E161" s="14"/>
      <c r="F161" s="14"/>
    </row>
    <row r="162">
      <c r="A162" s="14"/>
      <c r="B162" s="14"/>
      <c r="C162" s="14"/>
      <c r="D162" s="14"/>
      <c r="E162" s="14"/>
      <c r="F162" s="14"/>
    </row>
    <row r="163">
      <c r="A163" s="14"/>
      <c r="B163" s="14"/>
      <c r="C163" s="14"/>
      <c r="D163" s="14"/>
      <c r="E163" s="14"/>
      <c r="F163" s="14"/>
    </row>
    <row r="164">
      <c r="A164" s="14"/>
      <c r="B164" s="14"/>
      <c r="C164" s="14"/>
      <c r="D164" s="14"/>
      <c r="E164" s="14"/>
      <c r="F164" s="14"/>
    </row>
    <row r="165">
      <c r="A165" s="14"/>
      <c r="B165" s="14"/>
      <c r="C165" s="14"/>
      <c r="D165" s="14"/>
      <c r="E165" s="14"/>
      <c r="F165" s="14"/>
    </row>
    <row r="166">
      <c r="A166" s="14"/>
      <c r="B166" s="14"/>
      <c r="C166" s="14"/>
      <c r="D166" s="14"/>
      <c r="E166" s="14"/>
      <c r="F166" s="14"/>
    </row>
    <row r="167">
      <c r="A167" s="14"/>
      <c r="B167" s="14"/>
      <c r="C167" s="14"/>
      <c r="D167" s="14"/>
      <c r="E167" s="14"/>
      <c r="F167" s="14"/>
    </row>
    <row r="168">
      <c r="A168" s="14"/>
      <c r="B168" s="14"/>
      <c r="C168" s="14"/>
      <c r="D168" s="14"/>
      <c r="E168" s="14"/>
      <c r="F168" s="14"/>
    </row>
    <row r="169">
      <c r="A169" s="14"/>
      <c r="B169" s="14"/>
      <c r="C169" s="14"/>
      <c r="D169" s="14"/>
      <c r="E169" s="14"/>
      <c r="F169" s="14"/>
    </row>
    <row r="170">
      <c r="A170" s="14"/>
      <c r="B170" s="14"/>
      <c r="C170" s="14"/>
      <c r="D170" s="14"/>
      <c r="E170" s="14"/>
      <c r="F170" s="14"/>
    </row>
    <row r="171">
      <c r="A171" s="14"/>
      <c r="B171" s="14"/>
      <c r="C171" s="14"/>
      <c r="D171" s="14"/>
      <c r="E171" s="14"/>
      <c r="F171" s="14"/>
    </row>
    <row r="172">
      <c r="A172" s="14"/>
      <c r="B172" s="14"/>
      <c r="C172" s="14"/>
      <c r="D172" s="14"/>
      <c r="E172" s="14"/>
      <c r="F172" s="14"/>
    </row>
    <row r="173">
      <c r="A173" s="14"/>
      <c r="B173" s="14"/>
      <c r="C173" s="14"/>
      <c r="D173" s="14"/>
      <c r="E173" s="14"/>
      <c r="F173" s="14"/>
    </row>
    <row r="174">
      <c r="A174" s="14"/>
      <c r="B174" s="14"/>
      <c r="C174" s="14"/>
      <c r="D174" s="14"/>
      <c r="E174" s="14"/>
      <c r="F174" s="14"/>
    </row>
    <row r="175">
      <c r="A175" s="14"/>
      <c r="B175" s="14"/>
      <c r="C175" s="14"/>
      <c r="D175" s="14"/>
      <c r="E175" s="14"/>
      <c r="F175" s="14"/>
    </row>
    <row r="176">
      <c r="A176" s="14"/>
      <c r="B176" s="14"/>
      <c r="C176" s="14"/>
      <c r="D176" s="14"/>
      <c r="E176" s="14"/>
      <c r="F176" s="14"/>
    </row>
    <row r="177">
      <c r="A177" s="14"/>
      <c r="B177" s="14"/>
      <c r="C177" s="14"/>
      <c r="D177" s="14"/>
      <c r="E177" s="14"/>
      <c r="F177" s="14"/>
    </row>
    <row r="178">
      <c r="A178" s="14"/>
      <c r="B178" s="14"/>
      <c r="C178" s="14"/>
      <c r="D178" s="14"/>
      <c r="E178" s="14"/>
      <c r="F178" s="14"/>
    </row>
    <row r="179">
      <c r="A179" s="14"/>
      <c r="B179" s="14"/>
      <c r="C179" s="14"/>
      <c r="D179" s="14"/>
      <c r="E179" s="14"/>
      <c r="F179" s="14"/>
    </row>
    <row r="180">
      <c r="A180" s="14"/>
      <c r="B180" s="14"/>
      <c r="C180" s="14"/>
      <c r="D180" s="14"/>
      <c r="E180" s="14"/>
      <c r="F180" s="14"/>
    </row>
    <row r="181">
      <c r="A181" s="14"/>
      <c r="B181" s="14"/>
      <c r="C181" s="14"/>
      <c r="D181" s="14"/>
      <c r="E181" s="14"/>
      <c r="F181" s="14"/>
    </row>
    <row r="182">
      <c r="A182" s="14"/>
      <c r="B182" s="14"/>
      <c r="C182" s="14"/>
      <c r="D182" s="14"/>
      <c r="E182" s="14"/>
      <c r="F182" s="14"/>
    </row>
    <row r="183">
      <c r="A183" s="14"/>
      <c r="B183" s="14"/>
      <c r="C183" s="14"/>
      <c r="D183" s="14"/>
      <c r="E183" s="14"/>
      <c r="F183" s="14"/>
    </row>
    <row r="184">
      <c r="A184" s="14"/>
      <c r="B184" s="14"/>
      <c r="C184" s="14"/>
      <c r="D184" s="14"/>
      <c r="E184" s="14"/>
      <c r="F184" s="14"/>
    </row>
    <row r="185">
      <c r="A185" s="14"/>
      <c r="B185" s="14"/>
      <c r="C185" s="14"/>
      <c r="D185" s="14"/>
      <c r="E185" s="14"/>
      <c r="F185" s="14"/>
    </row>
    <row r="186">
      <c r="A186" s="14"/>
      <c r="B186" s="14"/>
      <c r="C186" s="14"/>
      <c r="D186" s="14"/>
      <c r="E186" s="14"/>
      <c r="F186" s="14"/>
    </row>
    <row r="187">
      <c r="A187" s="14"/>
      <c r="B187" s="14"/>
      <c r="C187" s="14"/>
      <c r="D187" s="14"/>
      <c r="E187" s="14"/>
      <c r="F187" s="14"/>
    </row>
    <row r="188">
      <c r="A188" s="14"/>
      <c r="B188" s="14"/>
      <c r="C188" s="14"/>
      <c r="D188" s="14"/>
      <c r="E188" s="14"/>
      <c r="F188" s="14"/>
    </row>
    <row r="189">
      <c r="A189" s="14"/>
      <c r="B189" s="14"/>
      <c r="C189" s="14"/>
      <c r="D189" s="14"/>
      <c r="E189" s="14"/>
      <c r="F189" s="14"/>
    </row>
    <row r="190">
      <c r="A190" s="14"/>
      <c r="B190" s="14"/>
      <c r="C190" s="14"/>
      <c r="D190" s="14"/>
      <c r="E190" s="14"/>
      <c r="F190" s="14"/>
    </row>
    <row r="191">
      <c r="A191" s="14"/>
      <c r="B191" s="14"/>
      <c r="C191" s="14"/>
      <c r="D191" s="14"/>
      <c r="E191" s="14"/>
      <c r="F191" s="14"/>
    </row>
    <row r="192">
      <c r="A192" s="14"/>
      <c r="B192" s="14"/>
      <c r="C192" s="14"/>
      <c r="D192" s="14"/>
      <c r="E192" s="14"/>
      <c r="F192" s="14"/>
    </row>
    <row r="193">
      <c r="A193" s="14"/>
      <c r="B193" s="14"/>
      <c r="C193" s="14"/>
      <c r="D193" s="14"/>
      <c r="E193" s="14"/>
      <c r="F193" s="14"/>
    </row>
    <row r="194">
      <c r="A194" s="14"/>
      <c r="B194" s="14"/>
      <c r="C194" s="14"/>
      <c r="D194" s="14"/>
      <c r="E194" s="14"/>
      <c r="F194" s="14"/>
    </row>
    <row r="195">
      <c r="A195" s="14"/>
      <c r="B195" s="14"/>
      <c r="C195" s="14"/>
      <c r="D195" s="14"/>
      <c r="E195" s="14"/>
      <c r="F195" s="14"/>
    </row>
    <row r="196">
      <c r="A196" s="14"/>
      <c r="B196" s="14"/>
      <c r="C196" s="14"/>
      <c r="D196" s="14"/>
      <c r="E196" s="14"/>
      <c r="F196" s="14"/>
    </row>
    <row r="197">
      <c r="A197" s="14"/>
      <c r="B197" s="14"/>
      <c r="C197" s="14"/>
      <c r="D197" s="14"/>
      <c r="E197" s="14"/>
      <c r="F197" s="14"/>
    </row>
    <row r="198">
      <c r="A198" s="14"/>
      <c r="B198" s="14"/>
      <c r="C198" s="14"/>
      <c r="D198" s="14"/>
      <c r="E198" s="14"/>
      <c r="F198" s="14"/>
    </row>
    <row r="199">
      <c r="A199" s="14"/>
      <c r="B199" s="14"/>
      <c r="C199" s="14"/>
      <c r="D199" s="14"/>
      <c r="E199" s="14"/>
      <c r="F199" s="14"/>
    </row>
    <row r="200">
      <c r="A200" s="14"/>
      <c r="B200" s="14"/>
      <c r="C200" s="14"/>
      <c r="D200" s="14"/>
      <c r="E200" s="14"/>
      <c r="F200" s="14"/>
    </row>
    <row r="201">
      <c r="A201" s="14"/>
      <c r="B201" s="14"/>
      <c r="C201" s="14"/>
      <c r="D201" s="14"/>
      <c r="E201" s="14"/>
      <c r="F201" s="14"/>
    </row>
    <row r="202">
      <c r="A202" s="14"/>
      <c r="B202" s="14"/>
      <c r="C202" s="14"/>
      <c r="D202" s="14"/>
      <c r="E202" s="14"/>
      <c r="F202" s="14"/>
    </row>
    <row r="203">
      <c r="A203" s="14"/>
      <c r="B203" s="14"/>
      <c r="C203" s="14"/>
      <c r="D203" s="14"/>
      <c r="E203" s="14"/>
      <c r="F203" s="14"/>
    </row>
    <row r="204">
      <c r="A204" s="14"/>
      <c r="B204" s="14"/>
      <c r="C204" s="14"/>
      <c r="D204" s="14"/>
      <c r="E204" s="14"/>
      <c r="F204" s="14"/>
    </row>
    <row r="205">
      <c r="A205" s="14"/>
      <c r="B205" s="14"/>
      <c r="C205" s="14"/>
      <c r="D205" s="14"/>
      <c r="E205" s="14"/>
      <c r="F205" s="14"/>
    </row>
    <row r="206">
      <c r="A206" s="14"/>
      <c r="B206" s="14"/>
      <c r="C206" s="14"/>
      <c r="D206" s="14"/>
      <c r="E206" s="14"/>
      <c r="F206" s="14"/>
    </row>
    <row r="207">
      <c r="A207" s="14"/>
      <c r="B207" s="14"/>
      <c r="C207" s="14"/>
      <c r="D207" s="14"/>
      <c r="E207" s="14"/>
      <c r="F207" s="14"/>
    </row>
    <row r="208">
      <c r="A208" s="14"/>
      <c r="B208" s="14"/>
      <c r="C208" s="14"/>
      <c r="D208" s="14"/>
      <c r="E208" s="14"/>
      <c r="F208" s="14"/>
    </row>
    <row r="209">
      <c r="A209" s="14"/>
      <c r="B209" s="14"/>
      <c r="C209" s="14"/>
      <c r="D209" s="14"/>
      <c r="E209" s="14"/>
      <c r="F209" s="14"/>
    </row>
    <row r="210">
      <c r="A210" s="14"/>
      <c r="B210" s="14"/>
      <c r="C210" s="14"/>
      <c r="D210" s="14"/>
      <c r="E210" s="14"/>
      <c r="F210" s="14"/>
    </row>
    <row r="211">
      <c r="A211" s="14"/>
      <c r="B211" s="14"/>
      <c r="C211" s="14"/>
      <c r="D211" s="14"/>
      <c r="E211" s="14"/>
      <c r="F211" s="14"/>
    </row>
    <row r="212">
      <c r="A212" s="14"/>
      <c r="B212" s="14"/>
      <c r="C212" s="14"/>
      <c r="D212" s="14"/>
      <c r="E212" s="14"/>
      <c r="F212" s="14"/>
    </row>
    <row r="213">
      <c r="A213" s="14"/>
      <c r="B213" s="14"/>
      <c r="C213" s="14"/>
      <c r="D213" s="14"/>
      <c r="E213" s="14"/>
      <c r="F213" s="14"/>
    </row>
    <row r="214">
      <c r="A214" s="14"/>
      <c r="B214" s="14"/>
      <c r="C214" s="14"/>
      <c r="D214" s="14"/>
      <c r="E214" s="14"/>
      <c r="F214" s="14"/>
    </row>
    <row r="215">
      <c r="A215" s="14"/>
      <c r="B215" s="14"/>
      <c r="C215" s="14"/>
      <c r="D215" s="14"/>
      <c r="E215" s="14"/>
      <c r="F215" s="14"/>
    </row>
    <row r="216">
      <c r="A216" s="14"/>
      <c r="B216" s="14"/>
      <c r="C216" s="14"/>
      <c r="D216" s="14"/>
      <c r="E216" s="14"/>
      <c r="F216" s="14"/>
    </row>
    <row r="217">
      <c r="A217" s="14"/>
      <c r="B217" s="14"/>
      <c r="C217" s="14"/>
      <c r="D217" s="14"/>
      <c r="E217" s="14"/>
      <c r="F217" s="14"/>
    </row>
    <row r="218">
      <c r="A218" s="14"/>
      <c r="B218" s="14"/>
      <c r="C218" s="14"/>
      <c r="D218" s="14"/>
      <c r="E218" s="14"/>
      <c r="F218" s="14"/>
    </row>
    <row r="219">
      <c r="A219" s="14"/>
      <c r="B219" s="14"/>
      <c r="C219" s="14"/>
      <c r="D219" s="14"/>
      <c r="E219" s="14"/>
      <c r="F219" s="14"/>
    </row>
    <row r="220">
      <c r="A220" s="14"/>
      <c r="B220" s="14"/>
      <c r="C220" s="14"/>
      <c r="D220" s="14"/>
      <c r="E220" s="14"/>
      <c r="F220" s="14"/>
    </row>
    <row r="221">
      <c r="A221" s="14"/>
      <c r="B221" s="14"/>
      <c r="C221" s="14"/>
      <c r="D221" s="14"/>
      <c r="E221" s="14"/>
      <c r="F221" s="14"/>
    </row>
    <row r="222">
      <c r="A222" s="14"/>
      <c r="B222" s="14"/>
      <c r="C222" s="14"/>
      <c r="D222" s="14"/>
      <c r="E222" s="14"/>
      <c r="F222" s="14"/>
    </row>
    <row r="223">
      <c r="A223" s="14"/>
      <c r="B223" s="14"/>
      <c r="C223" s="14"/>
      <c r="D223" s="14"/>
      <c r="E223" s="14"/>
      <c r="F223" s="14"/>
    </row>
    <row r="224">
      <c r="A224" s="14"/>
      <c r="B224" s="14"/>
      <c r="C224" s="14"/>
      <c r="D224" s="14"/>
      <c r="E224" s="14"/>
      <c r="F224" s="14"/>
    </row>
    <row r="225">
      <c r="A225" s="14"/>
      <c r="B225" s="14"/>
      <c r="C225" s="14"/>
      <c r="D225" s="14"/>
      <c r="E225" s="14"/>
      <c r="F225" s="14"/>
    </row>
    <row r="226">
      <c r="A226" s="14"/>
      <c r="B226" s="14"/>
      <c r="C226" s="14"/>
      <c r="D226" s="14"/>
      <c r="E226" s="14"/>
      <c r="F226" s="14"/>
    </row>
    <row r="227">
      <c r="A227" s="14"/>
      <c r="B227" s="14"/>
      <c r="C227" s="14"/>
      <c r="D227" s="14"/>
      <c r="E227" s="14"/>
      <c r="F227" s="14"/>
    </row>
    <row r="228">
      <c r="A228" s="14"/>
      <c r="B228" s="14"/>
      <c r="C228" s="14"/>
      <c r="D228" s="14"/>
      <c r="E228" s="14"/>
      <c r="F228" s="14"/>
    </row>
    <row r="229">
      <c r="A229" s="14"/>
      <c r="B229" s="14"/>
      <c r="C229" s="14"/>
      <c r="D229" s="14"/>
      <c r="E229" s="14"/>
      <c r="F229" s="14"/>
    </row>
    <row r="230">
      <c r="A230" s="14"/>
      <c r="B230" s="14"/>
      <c r="C230" s="14"/>
      <c r="D230" s="14"/>
      <c r="E230" s="14"/>
      <c r="F230" s="14"/>
    </row>
    <row r="231">
      <c r="A231" s="14"/>
      <c r="B231" s="14"/>
      <c r="C231" s="14"/>
      <c r="D231" s="14"/>
      <c r="E231" s="14"/>
      <c r="F231" s="14"/>
    </row>
    <row r="232">
      <c r="A232" s="14"/>
      <c r="B232" s="14"/>
      <c r="C232" s="14"/>
      <c r="D232" s="14"/>
      <c r="E232" s="14"/>
      <c r="F232" s="14"/>
    </row>
    <row r="233">
      <c r="A233" s="14"/>
      <c r="B233" s="14"/>
      <c r="C233" s="14"/>
      <c r="D233" s="14"/>
      <c r="E233" s="14"/>
      <c r="F233" s="14"/>
    </row>
    <row r="234">
      <c r="A234" s="14"/>
      <c r="B234" s="14"/>
      <c r="C234" s="14"/>
      <c r="D234" s="14"/>
      <c r="E234" s="14"/>
      <c r="F234" s="14"/>
    </row>
    <row r="235">
      <c r="A235" s="14"/>
      <c r="B235" s="14"/>
      <c r="C235" s="14"/>
      <c r="D235" s="14"/>
      <c r="E235" s="14"/>
      <c r="F235" s="14"/>
    </row>
    <row r="236">
      <c r="A236" s="14"/>
      <c r="B236" s="14"/>
      <c r="C236" s="14"/>
      <c r="D236" s="14"/>
      <c r="E236" s="14"/>
      <c r="F236" s="14"/>
    </row>
    <row r="237">
      <c r="A237" s="14"/>
      <c r="B237" s="14"/>
      <c r="C237" s="14"/>
      <c r="D237" s="14"/>
      <c r="E237" s="14"/>
      <c r="F237" s="14"/>
    </row>
    <row r="238">
      <c r="A238" s="14"/>
      <c r="B238" s="14"/>
      <c r="C238" s="14"/>
      <c r="D238" s="14"/>
      <c r="E238" s="14"/>
      <c r="F238" s="14"/>
    </row>
    <row r="239">
      <c r="A239" s="14"/>
      <c r="B239" s="14"/>
      <c r="C239" s="14"/>
      <c r="D239" s="14"/>
      <c r="E239" s="14"/>
      <c r="F239" s="14"/>
    </row>
    <row r="240">
      <c r="A240" s="14"/>
      <c r="B240" s="14"/>
      <c r="C240" s="14"/>
      <c r="D240" s="14"/>
      <c r="E240" s="14"/>
      <c r="F240" s="14"/>
    </row>
    <row r="241">
      <c r="A241" s="14"/>
      <c r="B241" s="14"/>
      <c r="C241" s="14"/>
      <c r="D241" s="14"/>
      <c r="E241" s="14"/>
      <c r="F241" s="14"/>
    </row>
    <row r="242">
      <c r="A242" s="14"/>
      <c r="B242" s="14"/>
      <c r="C242" s="14"/>
      <c r="D242" s="14"/>
      <c r="E242" s="14"/>
      <c r="F242" s="14"/>
    </row>
    <row r="243">
      <c r="A243" s="14"/>
      <c r="B243" s="14"/>
      <c r="C243" s="14"/>
      <c r="D243" s="14"/>
      <c r="E243" s="14"/>
      <c r="F243" s="14"/>
    </row>
    <row r="244">
      <c r="A244" s="14"/>
      <c r="B244" s="14"/>
      <c r="C244" s="14"/>
      <c r="D244" s="14"/>
      <c r="E244" s="14"/>
      <c r="F244" s="14"/>
    </row>
    <row r="245">
      <c r="A245" s="14"/>
      <c r="B245" s="14"/>
      <c r="C245" s="14"/>
      <c r="D245" s="14"/>
      <c r="E245" s="14"/>
      <c r="F245" s="14"/>
    </row>
    <row r="246">
      <c r="A246" s="14"/>
      <c r="B246" s="14"/>
      <c r="C246" s="14"/>
      <c r="D246" s="14"/>
      <c r="E246" s="14"/>
      <c r="F246" s="14"/>
    </row>
    <row r="247">
      <c r="A247" s="14"/>
      <c r="B247" s="14"/>
      <c r="C247" s="14"/>
      <c r="D247" s="14"/>
      <c r="E247" s="14"/>
      <c r="F247" s="14"/>
    </row>
    <row r="248">
      <c r="A248" s="14"/>
      <c r="B248" s="14"/>
      <c r="C248" s="14"/>
      <c r="D248" s="14"/>
      <c r="E248" s="14"/>
      <c r="F248" s="14"/>
    </row>
    <row r="249">
      <c r="A249" s="14"/>
      <c r="B249" s="14"/>
      <c r="C249" s="14"/>
      <c r="D249" s="14"/>
      <c r="E249" s="14"/>
      <c r="F249" s="14"/>
    </row>
    <row r="250">
      <c r="A250" s="14"/>
      <c r="B250" s="14"/>
      <c r="C250" s="14"/>
      <c r="D250" s="14"/>
      <c r="E250" s="14"/>
      <c r="F250" s="14"/>
    </row>
    <row r="251">
      <c r="A251" s="14"/>
      <c r="B251" s="14"/>
      <c r="C251" s="14"/>
      <c r="D251" s="14"/>
      <c r="E251" s="14"/>
      <c r="F251" s="14"/>
    </row>
    <row r="252">
      <c r="A252" s="14"/>
      <c r="B252" s="14"/>
      <c r="C252" s="14"/>
      <c r="D252" s="14"/>
      <c r="E252" s="14"/>
      <c r="F252" s="14"/>
    </row>
    <row r="253">
      <c r="A253" s="14"/>
      <c r="B253" s="14"/>
      <c r="C253" s="14"/>
      <c r="D253" s="14"/>
      <c r="E253" s="14"/>
      <c r="F253" s="14"/>
    </row>
    <row r="254">
      <c r="A254" s="14"/>
      <c r="B254" s="14"/>
      <c r="C254" s="14"/>
      <c r="D254" s="14"/>
      <c r="E254" s="14"/>
      <c r="F254" s="14"/>
    </row>
    <row r="255">
      <c r="A255" s="14"/>
      <c r="B255" s="14"/>
      <c r="C255" s="14"/>
      <c r="D255" s="14"/>
      <c r="E255" s="14"/>
      <c r="F255" s="14"/>
    </row>
    <row r="256">
      <c r="A256" s="14"/>
      <c r="B256" s="14"/>
      <c r="C256" s="14"/>
      <c r="D256" s="14"/>
      <c r="E256" s="14"/>
      <c r="F256" s="14"/>
    </row>
    <row r="257">
      <c r="A257" s="14"/>
      <c r="B257" s="14"/>
      <c r="C257" s="14"/>
      <c r="D257" s="14"/>
      <c r="E257" s="14"/>
      <c r="F257" s="14"/>
    </row>
    <row r="258">
      <c r="A258" s="14"/>
      <c r="B258" s="14"/>
      <c r="C258" s="14"/>
      <c r="D258" s="14"/>
      <c r="E258" s="14"/>
      <c r="F258" s="14"/>
    </row>
    <row r="259">
      <c r="A259" s="14"/>
      <c r="B259" s="14"/>
      <c r="C259" s="14"/>
      <c r="D259" s="14"/>
      <c r="E259" s="14"/>
      <c r="F259" s="14"/>
    </row>
    <row r="260">
      <c r="A260" s="14"/>
      <c r="B260" s="14"/>
      <c r="C260" s="14"/>
      <c r="D260" s="14"/>
      <c r="E260" s="14"/>
      <c r="F260" s="14"/>
    </row>
    <row r="261">
      <c r="A261" s="14"/>
      <c r="B261" s="14"/>
      <c r="C261" s="14"/>
      <c r="D261" s="14"/>
      <c r="E261" s="14"/>
      <c r="F261" s="14"/>
    </row>
    <row r="262">
      <c r="A262" s="14"/>
      <c r="B262" s="14"/>
      <c r="C262" s="14"/>
      <c r="D262" s="14"/>
      <c r="E262" s="14"/>
      <c r="F262" s="14"/>
    </row>
    <row r="263">
      <c r="A263" s="14"/>
      <c r="B263" s="14"/>
      <c r="C263" s="14"/>
      <c r="D263" s="14"/>
      <c r="E263" s="14"/>
      <c r="F263" s="14"/>
    </row>
    <row r="264">
      <c r="A264" s="14"/>
      <c r="B264" s="14"/>
      <c r="C264" s="14"/>
      <c r="D264" s="14"/>
      <c r="E264" s="14"/>
      <c r="F264" s="14"/>
    </row>
    <row r="265">
      <c r="A265" s="14"/>
      <c r="B265" s="14"/>
      <c r="C265" s="14"/>
      <c r="D265" s="14"/>
      <c r="E265" s="14"/>
      <c r="F265" s="14"/>
    </row>
    <row r="266">
      <c r="A266" s="14"/>
      <c r="B266" s="14"/>
      <c r="C266" s="14"/>
      <c r="D266" s="14"/>
      <c r="E266" s="14"/>
      <c r="F266" s="14"/>
    </row>
    <row r="267">
      <c r="A267" s="14"/>
      <c r="B267" s="14"/>
      <c r="C267" s="14"/>
      <c r="D267" s="14"/>
      <c r="E267" s="14"/>
      <c r="F267" s="14"/>
    </row>
    <row r="268">
      <c r="A268" s="14"/>
      <c r="B268" s="14"/>
      <c r="C268" s="14"/>
      <c r="D268" s="14"/>
      <c r="E268" s="14"/>
      <c r="F268" s="14"/>
    </row>
    <row r="269">
      <c r="A269" s="14"/>
      <c r="B269" s="14"/>
      <c r="C269" s="14"/>
      <c r="D269" s="14"/>
      <c r="E269" s="14"/>
      <c r="F269" s="14"/>
    </row>
    <row r="270">
      <c r="A270" s="14"/>
      <c r="B270" s="14"/>
      <c r="C270" s="14"/>
      <c r="D270" s="14"/>
      <c r="E270" s="14"/>
      <c r="F270" s="14"/>
    </row>
    <row r="271">
      <c r="A271" s="14"/>
      <c r="B271" s="14"/>
      <c r="C271" s="14"/>
      <c r="D271" s="14"/>
      <c r="E271" s="14"/>
      <c r="F271" s="14"/>
    </row>
    <row r="272">
      <c r="A272" s="14"/>
      <c r="B272" s="14"/>
      <c r="C272" s="14"/>
      <c r="D272" s="14"/>
      <c r="E272" s="14"/>
      <c r="F272" s="14"/>
    </row>
    <row r="273">
      <c r="A273" s="14"/>
      <c r="B273" s="14"/>
      <c r="C273" s="14"/>
      <c r="D273" s="14"/>
      <c r="E273" s="14"/>
      <c r="F273" s="14"/>
    </row>
    <row r="274">
      <c r="A274" s="14"/>
      <c r="B274" s="14"/>
      <c r="C274" s="14"/>
      <c r="D274" s="14"/>
      <c r="E274" s="14"/>
      <c r="F274" s="14"/>
    </row>
    <row r="275">
      <c r="A275" s="14"/>
      <c r="B275" s="14"/>
      <c r="C275" s="14"/>
      <c r="D275" s="14"/>
      <c r="E275" s="14"/>
      <c r="F275" s="14"/>
    </row>
    <row r="276">
      <c r="A276" s="14"/>
      <c r="B276" s="14"/>
      <c r="C276" s="14"/>
      <c r="D276" s="14"/>
      <c r="E276" s="14"/>
      <c r="F276" s="14"/>
    </row>
    <row r="277">
      <c r="A277" s="14"/>
      <c r="B277" s="14"/>
      <c r="C277" s="14"/>
      <c r="D277" s="14"/>
      <c r="E277" s="14"/>
      <c r="F277" s="14"/>
    </row>
    <row r="278">
      <c r="A278" s="14"/>
      <c r="B278" s="14"/>
      <c r="C278" s="14"/>
      <c r="D278" s="14"/>
      <c r="E278" s="14"/>
      <c r="F278" s="14"/>
    </row>
    <row r="279">
      <c r="A279" s="14"/>
      <c r="B279" s="14"/>
      <c r="C279" s="14"/>
      <c r="D279" s="14"/>
      <c r="E279" s="14"/>
      <c r="F279" s="14"/>
    </row>
    <row r="280">
      <c r="A280" s="14"/>
      <c r="B280" s="14"/>
      <c r="C280" s="14"/>
      <c r="D280" s="14"/>
      <c r="E280" s="14"/>
      <c r="F280" s="14"/>
    </row>
    <row r="281">
      <c r="A281" s="14"/>
      <c r="B281" s="14"/>
      <c r="C281" s="14"/>
      <c r="D281" s="14"/>
      <c r="E281" s="14"/>
      <c r="F281" s="14"/>
    </row>
    <row r="282">
      <c r="A282" s="14"/>
      <c r="B282" s="14"/>
      <c r="C282" s="14"/>
      <c r="D282" s="14"/>
      <c r="E282" s="14"/>
      <c r="F282" s="14"/>
    </row>
    <row r="283">
      <c r="A283" s="14"/>
      <c r="B283" s="14"/>
      <c r="C283" s="14"/>
      <c r="D283" s="14"/>
      <c r="E283" s="14"/>
      <c r="F283" s="14"/>
    </row>
    <row r="284">
      <c r="A284" s="14"/>
      <c r="B284" s="14"/>
      <c r="C284" s="14"/>
      <c r="D284" s="14"/>
      <c r="E284" s="14"/>
      <c r="F284" s="14"/>
    </row>
    <row r="285">
      <c r="A285" s="14"/>
      <c r="B285" s="14"/>
      <c r="C285" s="14"/>
      <c r="D285" s="14"/>
      <c r="E285" s="14"/>
      <c r="F285" s="14"/>
    </row>
    <row r="286">
      <c r="A286" s="14"/>
      <c r="B286" s="14"/>
      <c r="C286" s="14"/>
      <c r="D286" s="14"/>
      <c r="E286" s="14"/>
      <c r="F286" s="14"/>
    </row>
    <row r="287">
      <c r="A287" s="14"/>
      <c r="B287" s="14"/>
      <c r="C287" s="14"/>
      <c r="D287" s="14"/>
      <c r="E287" s="14"/>
      <c r="F287" s="14"/>
    </row>
    <row r="288">
      <c r="A288" s="14"/>
      <c r="B288" s="14"/>
      <c r="C288" s="14"/>
      <c r="D288" s="14"/>
      <c r="E288" s="14"/>
      <c r="F288" s="14"/>
    </row>
    <row r="289">
      <c r="A289" s="14"/>
      <c r="B289" s="14"/>
      <c r="C289" s="14"/>
      <c r="D289" s="14"/>
      <c r="E289" s="14"/>
      <c r="F289" s="14"/>
    </row>
    <row r="290">
      <c r="A290" s="14"/>
      <c r="B290" s="14"/>
      <c r="C290" s="14"/>
      <c r="D290" s="14"/>
      <c r="E290" s="14"/>
      <c r="F290" s="14"/>
    </row>
    <row r="291">
      <c r="A291" s="14"/>
      <c r="B291" s="14"/>
      <c r="C291" s="14"/>
      <c r="D291" s="14"/>
      <c r="E291" s="14"/>
      <c r="F291" s="14"/>
    </row>
    <row r="292">
      <c r="A292" s="14"/>
      <c r="B292" s="14"/>
      <c r="C292" s="14"/>
      <c r="D292" s="14"/>
      <c r="E292" s="14"/>
      <c r="F292" s="14"/>
    </row>
    <row r="293">
      <c r="A293" s="14"/>
      <c r="B293" s="14"/>
      <c r="C293" s="14"/>
      <c r="D293" s="14"/>
      <c r="E293" s="14"/>
      <c r="F293" s="14"/>
    </row>
    <row r="294">
      <c r="A294" s="14"/>
      <c r="B294" s="14"/>
      <c r="C294" s="14"/>
      <c r="D294" s="14"/>
      <c r="E294" s="14"/>
      <c r="F294" s="14"/>
    </row>
    <row r="295">
      <c r="A295" s="14"/>
      <c r="B295" s="14"/>
      <c r="C295" s="14"/>
      <c r="D295" s="14"/>
      <c r="E295" s="14"/>
      <c r="F295" s="14"/>
    </row>
    <row r="296">
      <c r="A296" s="14"/>
      <c r="B296" s="14"/>
      <c r="C296" s="14"/>
      <c r="D296" s="14"/>
      <c r="E296" s="14"/>
      <c r="F296" s="14"/>
    </row>
    <row r="297">
      <c r="A297" s="14"/>
      <c r="B297" s="14"/>
      <c r="C297" s="14"/>
      <c r="D297" s="14"/>
      <c r="E297" s="14"/>
      <c r="F297" s="14"/>
    </row>
    <row r="298">
      <c r="A298" s="14"/>
      <c r="B298" s="14"/>
      <c r="C298" s="14"/>
      <c r="D298" s="14"/>
      <c r="E298" s="14"/>
      <c r="F298" s="14"/>
    </row>
    <row r="299">
      <c r="A299" s="14"/>
      <c r="B299" s="14"/>
      <c r="C299" s="14"/>
      <c r="D299" s="14"/>
      <c r="E299" s="14"/>
      <c r="F299" s="14"/>
    </row>
    <row r="300">
      <c r="A300" s="14"/>
      <c r="B300" s="14"/>
      <c r="C300" s="14"/>
      <c r="D300" s="14"/>
      <c r="E300" s="14"/>
      <c r="F300" s="14"/>
    </row>
    <row r="301">
      <c r="A301" s="14"/>
      <c r="B301" s="14"/>
      <c r="C301" s="14"/>
      <c r="D301" s="14"/>
      <c r="E301" s="14"/>
      <c r="F301" s="14"/>
    </row>
    <row r="302">
      <c r="A302" s="14"/>
      <c r="B302" s="14"/>
      <c r="C302" s="14"/>
      <c r="D302" s="14"/>
      <c r="E302" s="14"/>
      <c r="F302" s="14"/>
    </row>
    <row r="303">
      <c r="A303" s="14"/>
      <c r="B303" s="14"/>
      <c r="C303" s="14"/>
      <c r="D303" s="14"/>
      <c r="E303" s="14"/>
      <c r="F303" s="14"/>
    </row>
    <row r="304">
      <c r="A304" s="14"/>
      <c r="B304" s="14"/>
      <c r="C304" s="14"/>
      <c r="D304" s="14"/>
      <c r="E304" s="14"/>
      <c r="F304" s="14"/>
    </row>
    <row r="305">
      <c r="A305" s="14"/>
      <c r="B305" s="14"/>
      <c r="C305" s="14"/>
      <c r="D305" s="14"/>
      <c r="E305" s="14"/>
      <c r="F305" s="14"/>
    </row>
    <row r="306">
      <c r="A306" s="14"/>
      <c r="B306" s="14"/>
      <c r="C306" s="14"/>
      <c r="D306" s="14"/>
      <c r="E306" s="14"/>
      <c r="F306" s="14"/>
    </row>
    <row r="307">
      <c r="A307" s="14"/>
      <c r="B307" s="14"/>
      <c r="C307" s="14"/>
      <c r="D307" s="14"/>
      <c r="E307" s="14"/>
      <c r="F307" s="14"/>
    </row>
    <row r="308">
      <c r="A308" s="14"/>
      <c r="B308" s="14"/>
      <c r="C308" s="14"/>
      <c r="D308" s="14"/>
      <c r="E308" s="14"/>
      <c r="F308" s="14"/>
    </row>
    <row r="309">
      <c r="A309" s="14"/>
      <c r="B309" s="14"/>
      <c r="C309" s="14"/>
      <c r="D309" s="14"/>
      <c r="E309" s="14"/>
      <c r="F309" s="14"/>
    </row>
    <row r="310">
      <c r="A310" s="14"/>
      <c r="B310" s="14"/>
      <c r="C310" s="14"/>
      <c r="D310" s="14"/>
      <c r="E310" s="14"/>
      <c r="F310" s="14"/>
    </row>
    <row r="311">
      <c r="A311" s="14"/>
      <c r="B311" s="14"/>
      <c r="C311" s="14"/>
      <c r="D311" s="14"/>
      <c r="E311" s="14"/>
      <c r="F311" s="14"/>
    </row>
    <row r="312">
      <c r="A312" s="14"/>
      <c r="B312" s="14"/>
      <c r="C312" s="14"/>
      <c r="D312" s="14"/>
      <c r="E312" s="14"/>
      <c r="F312" s="14"/>
    </row>
    <row r="313">
      <c r="A313" s="14"/>
      <c r="B313" s="14"/>
      <c r="C313" s="14"/>
      <c r="D313" s="14"/>
      <c r="E313" s="14"/>
      <c r="F313" s="14"/>
    </row>
    <row r="314">
      <c r="A314" s="14"/>
      <c r="B314" s="14"/>
      <c r="C314" s="14"/>
      <c r="D314" s="14"/>
      <c r="E314" s="14"/>
      <c r="F314" s="14"/>
    </row>
    <row r="315">
      <c r="A315" s="14"/>
      <c r="B315" s="14"/>
      <c r="C315" s="14"/>
      <c r="D315" s="14"/>
      <c r="E315" s="14"/>
      <c r="F315" s="14"/>
    </row>
    <row r="316">
      <c r="A316" s="14"/>
      <c r="B316" s="14"/>
      <c r="C316" s="14"/>
      <c r="D316" s="14"/>
      <c r="E316" s="14"/>
      <c r="F316" s="14"/>
    </row>
    <row r="317">
      <c r="A317" s="14"/>
      <c r="B317" s="14"/>
      <c r="C317" s="14"/>
      <c r="D317" s="14"/>
      <c r="E317" s="14"/>
      <c r="F317" s="14"/>
    </row>
    <row r="318">
      <c r="A318" s="14"/>
      <c r="B318" s="14"/>
      <c r="C318" s="14"/>
      <c r="D318" s="14"/>
      <c r="E318" s="14"/>
      <c r="F318" s="14"/>
    </row>
    <row r="319">
      <c r="A319" s="14"/>
      <c r="B319" s="14"/>
      <c r="C319" s="14"/>
      <c r="D319" s="14"/>
      <c r="E319" s="14"/>
      <c r="F319" s="14"/>
    </row>
    <row r="320">
      <c r="A320" s="14"/>
      <c r="B320" s="14"/>
      <c r="C320" s="14"/>
      <c r="D320" s="14"/>
      <c r="E320" s="14"/>
      <c r="F320" s="14"/>
    </row>
    <row r="321">
      <c r="A321" s="14"/>
      <c r="B321" s="14"/>
      <c r="C321" s="14"/>
      <c r="D321" s="14"/>
      <c r="E321" s="14"/>
      <c r="F321" s="14"/>
    </row>
    <row r="322">
      <c r="A322" s="14"/>
      <c r="B322" s="14"/>
      <c r="C322" s="14"/>
      <c r="D322" s="14"/>
      <c r="E322" s="14"/>
      <c r="F322" s="14"/>
    </row>
    <row r="323">
      <c r="A323" s="14"/>
      <c r="B323" s="14"/>
      <c r="C323" s="14"/>
      <c r="D323" s="14"/>
      <c r="E323" s="14"/>
      <c r="F323" s="14"/>
    </row>
    <row r="324">
      <c r="A324" s="14"/>
      <c r="B324" s="14"/>
      <c r="C324" s="14"/>
      <c r="D324" s="14"/>
      <c r="E324" s="14"/>
      <c r="F324" s="14"/>
    </row>
    <row r="325">
      <c r="A325" s="14"/>
      <c r="B325" s="14"/>
      <c r="C325" s="14"/>
      <c r="D325" s="14"/>
      <c r="E325" s="14"/>
      <c r="F325" s="14"/>
    </row>
    <row r="326">
      <c r="A326" s="14"/>
      <c r="B326" s="14"/>
      <c r="C326" s="14"/>
      <c r="D326" s="14"/>
      <c r="E326" s="14"/>
      <c r="F326" s="14"/>
    </row>
    <row r="327">
      <c r="A327" s="14"/>
      <c r="B327" s="14"/>
      <c r="C327" s="14"/>
      <c r="D327" s="14"/>
      <c r="E327" s="14"/>
      <c r="F327" s="14"/>
    </row>
    <row r="328">
      <c r="A328" s="14"/>
      <c r="B328" s="14"/>
      <c r="C328" s="14"/>
      <c r="D328" s="14"/>
      <c r="E328" s="14"/>
      <c r="F328" s="14"/>
    </row>
    <row r="329">
      <c r="A329" s="14"/>
      <c r="B329" s="14"/>
      <c r="C329" s="14"/>
      <c r="D329" s="14"/>
      <c r="E329" s="14"/>
      <c r="F329" s="14"/>
    </row>
    <row r="330">
      <c r="A330" s="14"/>
      <c r="B330" s="14"/>
      <c r="C330" s="14"/>
      <c r="D330" s="14"/>
      <c r="E330" s="14"/>
      <c r="F330" s="14"/>
    </row>
    <row r="331">
      <c r="A331" s="14"/>
      <c r="B331" s="14"/>
      <c r="C331" s="14"/>
      <c r="D331" s="14"/>
      <c r="E331" s="14"/>
      <c r="F331" s="14"/>
    </row>
    <row r="332">
      <c r="A332" s="14"/>
      <c r="B332" s="14"/>
      <c r="C332" s="14"/>
      <c r="D332" s="14"/>
      <c r="E332" s="14"/>
      <c r="F332" s="14"/>
    </row>
    <row r="333">
      <c r="A333" s="14"/>
      <c r="B333" s="14"/>
      <c r="C333" s="14"/>
      <c r="D333" s="14"/>
      <c r="E333" s="14"/>
      <c r="F333" s="14"/>
    </row>
    <row r="334">
      <c r="A334" s="14"/>
      <c r="B334" s="14"/>
      <c r="C334" s="14"/>
      <c r="D334" s="14"/>
      <c r="E334" s="14"/>
      <c r="F334" s="14"/>
    </row>
    <row r="335">
      <c r="A335" s="14"/>
      <c r="B335" s="14"/>
      <c r="C335" s="14"/>
      <c r="D335" s="14"/>
      <c r="E335" s="14"/>
      <c r="F335" s="14"/>
    </row>
    <row r="336">
      <c r="A336" s="14"/>
      <c r="B336" s="14"/>
      <c r="C336" s="14"/>
      <c r="D336" s="14"/>
      <c r="E336" s="14"/>
      <c r="F336" s="14"/>
    </row>
    <row r="337">
      <c r="A337" s="14"/>
      <c r="B337" s="14"/>
      <c r="C337" s="14"/>
      <c r="D337" s="14"/>
      <c r="E337" s="14"/>
      <c r="F337" s="14"/>
    </row>
    <row r="338">
      <c r="A338" s="14"/>
      <c r="B338" s="14"/>
      <c r="C338" s="14"/>
      <c r="D338" s="14"/>
      <c r="E338" s="14"/>
      <c r="F338" s="14"/>
    </row>
    <row r="339">
      <c r="A339" s="14"/>
      <c r="B339" s="14"/>
      <c r="C339" s="14"/>
      <c r="D339" s="14"/>
      <c r="E339" s="14"/>
      <c r="F339" s="14"/>
    </row>
    <row r="340">
      <c r="A340" s="14"/>
      <c r="B340" s="14"/>
      <c r="C340" s="14"/>
      <c r="D340" s="14"/>
      <c r="E340" s="14"/>
      <c r="F340" s="14"/>
    </row>
    <row r="341">
      <c r="A341" s="14"/>
      <c r="B341" s="14"/>
      <c r="C341" s="14"/>
      <c r="D341" s="14"/>
      <c r="E341" s="14"/>
      <c r="F341" s="14"/>
    </row>
    <row r="342">
      <c r="A342" s="14"/>
      <c r="B342" s="14"/>
      <c r="C342" s="14"/>
      <c r="D342" s="14"/>
      <c r="E342" s="14"/>
      <c r="F342" s="14"/>
    </row>
    <row r="343">
      <c r="A343" s="14"/>
      <c r="B343" s="14"/>
      <c r="C343" s="14"/>
      <c r="D343" s="14"/>
      <c r="E343" s="14"/>
      <c r="F343" s="14"/>
    </row>
    <row r="344">
      <c r="A344" s="14"/>
      <c r="B344" s="14"/>
      <c r="C344" s="14"/>
      <c r="D344" s="14"/>
      <c r="E344" s="14"/>
      <c r="F344" s="14"/>
    </row>
    <row r="345">
      <c r="A345" s="14"/>
      <c r="B345" s="14"/>
      <c r="C345" s="14"/>
      <c r="D345" s="14"/>
      <c r="E345" s="14"/>
      <c r="F345" s="14"/>
    </row>
    <row r="346">
      <c r="A346" s="14"/>
      <c r="B346" s="14"/>
      <c r="C346" s="14"/>
      <c r="D346" s="14"/>
      <c r="E346" s="14"/>
      <c r="F346" s="14"/>
    </row>
    <row r="347">
      <c r="A347" s="14"/>
      <c r="B347" s="14"/>
      <c r="C347" s="14"/>
      <c r="D347" s="14"/>
      <c r="E347" s="14"/>
      <c r="F347" s="14"/>
    </row>
    <row r="348">
      <c r="A348" s="14"/>
      <c r="B348" s="14"/>
      <c r="C348" s="14"/>
      <c r="D348" s="14"/>
      <c r="E348" s="14"/>
      <c r="F348" s="14"/>
    </row>
    <row r="349">
      <c r="A349" s="14"/>
      <c r="B349" s="14"/>
      <c r="C349" s="14"/>
      <c r="D349" s="14"/>
      <c r="E349" s="14"/>
      <c r="F349" s="14"/>
    </row>
    <row r="350">
      <c r="A350" s="14"/>
      <c r="B350" s="14"/>
      <c r="C350" s="14"/>
      <c r="D350" s="14"/>
      <c r="E350" s="14"/>
      <c r="F350" s="14"/>
    </row>
    <row r="351">
      <c r="A351" s="14"/>
      <c r="B351" s="14"/>
      <c r="C351" s="14"/>
      <c r="D351" s="14"/>
      <c r="E351" s="14"/>
      <c r="F351" s="14"/>
    </row>
    <row r="352">
      <c r="A352" s="14"/>
      <c r="B352" s="14"/>
      <c r="C352" s="14"/>
      <c r="D352" s="14"/>
      <c r="E352" s="14"/>
      <c r="F352" s="14"/>
    </row>
    <row r="353">
      <c r="A353" s="14"/>
      <c r="B353" s="14"/>
      <c r="C353" s="14"/>
      <c r="D353" s="14"/>
      <c r="E353" s="14"/>
      <c r="F353" s="14"/>
    </row>
    <row r="354">
      <c r="A354" s="14"/>
      <c r="B354" s="14"/>
      <c r="C354" s="14"/>
      <c r="D354" s="14"/>
      <c r="E354" s="14"/>
      <c r="F354" s="14"/>
    </row>
    <row r="355">
      <c r="A355" s="14"/>
      <c r="B355" s="14"/>
      <c r="C355" s="14"/>
      <c r="D355" s="14"/>
      <c r="E355" s="14"/>
      <c r="F355" s="14"/>
    </row>
    <row r="356">
      <c r="A356" s="14"/>
      <c r="B356" s="14"/>
      <c r="C356" s="14"/>
      <c r="D356" s="14"/>
      <c r="E356" s="14"/>
      <c r="F356" s="14"/>
    </row>
    <row r="357">
      <c r="A357" s="14"/>
      <c r="B357" s="14"/>
      <c r="C357" s="14"/>
      <c r="D357" s="14"/>
      <c r="E357" s="14"/>
      <c r="F357" s="14"/>
    </row>
    <row r="358">
      <c r="A358" s="14"/>
      <c r="B358" s="14"/>
      <c r="C358" s="14"/>
      <c r="D358" s="14"/>
      <c r="E358" s="14"/>
      <c r="F358" s="14"/>
    </row>
    <row r="359">
      <c r="A359" s="14"/>
      <c r="B359" s="14"/>
      <c r="C359" s="14"/>
      <c r="D359" s="14"/>
      <c r="E359" s="14"/>
      <c r="F359" s="14"/>
    </row>
    <row r="360">
      <c r="A360" s="14"/>
      <c r="B360" s="14"/>
      <c r="C360" s="14"/>
      <c r="D360" s="14"/>
      <c r="E360" s="14"/>
      <c r="F360" s="14"/>
    </row>
    <row r="361">
      <c r="A361" s="14"/>
      <c r="B361" s="14"/>
      <c r="C361" s="14"/>
      <c r="D361" s="14"/>
      <c r="E361" s="14"/>
      <c r="F361" s="14"/>
    </row>
    <row r="362">
      <c r="A362" s="14"/>
      <c r="B362" s="14"/>
      <c r="C362" s="14"/>
      <c r="D362" s="14"/>
      <c r="E362" s="14"/>
      <c r="F362" s="14"/>
    </row>
    <row r="363">
      <c r="A363" s="14"/>
      <c r="B363" s="14"/>
      <c r="C363" s="14"/>
      <c r="D363" s="14"/>
      <c r="E363" s="14"/>
      <c r="F363" s="14"/>
    </row>
    <row r="364">
      <c r="A364" s="14"/>
      <c r="B364" s="14"/>
      <c r="C364" s="14"/>
      <c r="D364" s="14"/>
      <c r="E364" s="14"/>
      <c r="F364" s="14"/>
    </row>
    <row r="365">
      <c r="A365" s="14"/>
      <c r="B365" s="14"/>
      <c r="C365" s="14"/>
      <c r="D365" s="14"/>
      <c r="E365" s="14"/>
      <c r="F365" s="14"/>
    </row>
    <row r="366">
      <c r="A366" s="14"/>
      <c r="B366" s="14"/>
      <c r="C366" s="14"/>
      <c r="D366" s="14"/>
      <c r="E366" s="14"/>
      <c r="F366" s="14"/>
    </row>
    <row r="367">
      <c r="A367" s="14"/>
      <c r="B367" s="14"/>
      <c r="C367" s="14"/>
      <c r="D367" s="14"/>
      <c r="E367" s="14"/>
      <c r="F367" s="14"/>
    </row>
    <row r="368">
      <c r="A368" s="14"/>
      <c r="B368" s="14"/>
      <c r="C368" s="14"/>
      <c r="D368" s="14"/>
      <c r="E368" s="14"/>
      <c r="F368" s="14"/>
    </row>
    <row r="369">
      <c r="A369" s="14"/>
      <c r="B369" s="14"/>
      <c r="C369" s="14"/>
      <c r="D369" s="14"/>
      <c r="E369" s="14"/>
      <c r="F369" s="14"/>
    </row>
    <row r="370">
      <c r="A370" s="14"/>
      <c r="B370" s="14"/>
      <c r="C370" s="14"/>
      <c r="D370" s="14"/>
      <c r="E370" s="14"/>
      <c r="F370" s="14"/>
    </row>
    <row r="371">
      <c r="A371" s="14"/>
      <c r="B371" s="14"/>
      <c r="C371" s="14"/>
      <c r="D371" s="14"/>
      <c r="E371" s="14"/>
      <c r="F371" s="14"/>
    </row>
    <row r="372">
      <c r="A372" s="14"/>
      <c r="B372" s="14"/>
      <c r="C372" s="14"/>
      <c r="D372" s="14"/>
      <c r="E372" s="14"/>
      <c r="F372" s="14"/>
    </row>
    <row r="373">
      <c r="A373" s="14"/>
      <c r="B373" s="14"/>
      <c r="C373" s="14"/>
      <c r="D373" s="14"/>
      <c r="E373" s="14"/>
      <c r="F373" s="14"/>
    </row>
    <row r="374">
      <c r="A374" s="14"/>
      <c r="B374" s="14"/>
      <c r="C374" s="14"/>
      <c r="D374" s="14"/>
      <c r="E374" s="14"/>
      <c r="F374" s="14"/>
    </row>
    <row r="375">
      <c r="A375" s="14"/>
      <c r="B375" s="14"/>
      <c r="C375" s="14"/>
      <c r="D375" s="14"/>
      <c r="E375" s="14"/>
      <c r="F375" s="14"/>
    </row>
    <row r="376">
      <c r="A376" s="14"/>
      <c r="B376" s="14"/>
      <c r="C376" s="14"/>
      <c r="D376" s="14"/>
      <c r="E376" s="14"/>
      <c r="F376" s="14"/>
    </row>
    <row r="377">
      <c r="A377" s="14"/>
      <c r="B377" s="14"/>
      <c r="C377" s="14"/>
      <c r="D377" s="14"/>
      <c r="E377" s="14"/>
      <c r="F377" s="14"/>
    </row>
    <row r="378">
      <c r="A378" s="14"/>
      <c r="B378" s="14"/>
      <c r="C378" s="14"/>
      <c r="D378" s="14"/>
      <c r="E378" s="14"/>
      <c r="F378" s="14"/>
    </row>
    <row r="379">
      <c r="A379" s="14"/>
      <c r="B379" s="14"/>
      <c r="C379" s="14"/>
      <c r="D379" s="14"/>
      <c r="E379" s="14"/>
      <c r="F379" s="14"/>
    </row>
    <row r="380">
      <c r="A380" s="14"/>
      <c r="B380" s="14"/>
      <c r="C380" s="14"/>
      <c r="D380" s="14"/>
      <c r="E380" s="14"/>
      <c r="F380" s="14"/>
    </row>
    <row r="381">
      <c r="A381" s="14"/>
      <c r="B381" s="14"/>
      <c r="C381" s="14"/>
      <c r="D381" s="14"/>
      <c r="E381" s="14"/>
      <c r="F381" s="14"/>
    </row>
    <row r="382">
      <c r="A382" s="14"/>
      <c r="B382" s="14"/>
      <c r="C382" s="14"/>
      <c r="D382" s="14"/>
      <c r="E382" s="14"/>
      <c r="F382" s="14"/>
    </row>
    <row r="383">
      <c r="A383" s="14"/>
      <c r="B383" s="14"/>
      <c r="C383" s="14"/>
      <c r="D383" s="14"/>
      <c r="E383" s="14"/>
      <c r="F383" s="14"/>
    </row>
    <row r="384">
      <c r="A384" s="14"/>
      <c r="B384" s="14"/>
      <c r="C384" s="14"/>
      <c r="D384" s="14"/>
      <c r="E384" s="14"/>
      <c r="F384" s="14"/>
    </row>
    <row r="385">
      <c r="A385" s="14"/>
      <c r="B385" s="14"/>
      <c r="C385" s="14"/>
      <c r="D385" s="14"/>
      <c r="E385" s="14"/>
      <c r="F385" s="14"/>
    </row>
    <row r="386">
      <c r="A386" s="14"/>
      <c r="B386" s="14"/>
      <c r="C386" s="14"/>
      <c r="D386" s="14"/>
      <c r="E386" s="14"/>
      <c r="F386" s="14"/>
    </row>
    <row r="387">
      <c r="A387" s="14"/>
      <c r="B387" s="14"/>
      <c r="C387" s="14"/>
      <c r="D387" s="14"/>
      <c r="E387" s="14"/>
      <c r="F387" s="14"/>
    </row>
    <row r="388">
      <c r="A388" s="14"/>
      <c r="B388" s="14"/>
      <c r="C388" s="14"/>
      <c r="D388" s="14"/>
      <c r="E388" s="14"/>
      <c r="F388" s="14"/>
    </row>
    <row r="389">
      <c r="A389" s="14"/>
      <c r="B389" s="14"/>
      <c r="C389" s="14"/>
      <c r="D389" s="14"/>
      <c r="E389" s="14"/>
      <c r="F389" s="14"/>
    </row>
    <row r="390">
      <c r="A390" s="14"/>
      <c r="B390" s="14"/>
      <c r="C390" s="14"/>
      <c r="D390" s="14"/>
      <c r="E390" s="14"/>
      <c r="F390" s="14"/>
    </row>
    <row r="391">
      <c r="A391" s="14"/>
      <c r="B391" s="14"/>
      <c r="C391" s="14"/>
      <c r="D391" s="14"/>
      <c r="E391" s="14"/>
      <c r="F391" s="14"/>
    </row>
    <row r="392">
      <c r="A392" s="14"/>
      <c r="B392" s="14"/>
      <c r="C392" s="14"/>
      <c r="D392" s="14"/>
      <c r="E392" s="14"/>
      <c r="F392" s="14"/>
    </row>
    <row r="393">
      <c r="A393" s="14"/>
      <c r="B393" s="14"/>
      <c r="C393" s="14"/>
      <c r="D393" s="14"/>
      <c r="E393" s="14"/>
      <c r="F393" s="14"/>
    </row>
    <row r="394">
      <c r="A394" s="14"/>
      <c r="B394" s="14"/>
      <c r="C394" s="14"/>
      <c r="D394" s="14"/>
      <c r="E394" s="14"/>
      <c r="F394" s="14"/>
    </row>
    <row r="395">
      <c r="A395" s="14"/>
      <c r="B395" s="14"/>
      <c r="C395" s="14"/>
      <c r="D395" s="14"/>
      <c r="E395" s="14"/>
      <c r="F395" s="14"/>
    </row>
    <row r="396">
      <c r="A396" s="14"/>
      <c r="B396" s="14"/>
      <c r="C396" s="14"/>
      <c r="D396" s="14"/>
      <c r="E396" s="14"/>
      <c r="F396" s="14"/>
    </row>
    <row r="397">
      <c r="A397" s="14"/>
      <c r="B397" s="14"/>
      <c r="C397" s="14"/>
      <c r="D397" s="14"/>
      <c r="E397" s="14"/>
      <c r="F397" s="14"/>
    </row>
    <row r="398">
      <c r="A398" s="14"/>
      <c r="B398" s="14"/>
      <c r="C398" s="14"/>
      <c r="D398" s="14"/>
      <c r="E398" s="14"/>
      <c r="F398" s="14"/>
    </row>
    <row r="399">
      <c r="A399" s="14"/>
      <c r="B399" s="14"/>
      <c r="C399" s="14"/>
      <c r="D399" s="14"/>
      <c r="E399" s="14"/>
      <c r="F399" s="14"/>
    </row>
    <row r="400">
      <c r="A400" s="14"/>
      <c r="B400" s="14"/>
      <c r="C400" s="14"/>
      <c r="D400" s="14"/>
      <c r="E400" s="14"/>
      <c r="F400" s="14"/>
    </row>
    <row r="401">
      <c r="A401" s="14"/>
      <c r="B401" s="14"/>
      <c r="C401" s="14"/>
      <c r="D401" s="14"/>
      <c r="E401" s="14"/>
      <c r="F401" s="14"/>
    </row>
    <row r="402">
      <c r="A402" s="14"/>
      <c r="B402" s="14"/>
      <c r="C402" s="14"/>
      <c r="D402" s="14"/>
      <c r="E402" s="14"/>
      <c r="F402" s="14"/>
    </row>
    <row r="403">
      <c r="A403" s="14"/>
      <c r="B403" s="14"/>
      <c r="C403" s="14"/>
      <c r="D403" s="14"/>
      <c r="E403" s="14"/>
      <c r="F403" s="14"/>
    </row>
    <row r="404">
      <c r="A404" s="14"/>
      <c r="B404" s="14"/>
      <c r="C404" s="14"/>
      <c r="D404" s="14"/>
      <c r="E404" s="14"/>
      <c r="F404" s="14"/>
    </row>
    <row r="405">
      <c r="A405" s="14"/>
      <c r="B405" s="14"/>
      <c r="C405" s="14"/>
      <c r="D405" s="14"/>
      <c r="E405" s="14"/>
      <c r="F405" s="14"/>
    </row>
    <row r="406">
      <c r="A406" s="14"/>
      <c r="B406" s="14"/>
      <c r="C406" s="14"/>
      <c r="D406" s="14"/>
      <c r="E406" s="14"/>
      <c r="F406" s="14"/>
    </row>
    <row r="407">
      <c r="A407" s="14"/>
      <c r="B407" s="14"/>
      <c r="C407" s="14"/>
      <c r="D407" s="14"/>
      <c r="E407" s="14"/>
      <c r="F407" s="14"/>
    </row>
    <row r="408">
      <c r="A408" s="14"/>
      <c r="B408" s="14"/>
      <c r="C408" s="14"/>
      <c r="D408" s="14"/>
      <c r="E408" s="14"/>
      <c r="F408" s="14"/>
    </row>
    <row r="409">
      <c r="A409" s="14"/>
      <c r="B409" s="14"/>
      <c r="C409" s="14"/>
      <c r="D409" s="14"/>
      <c r="E409" s="14"/>
      <c r="F409" s="14"/>
    </row>
    <row r="410">
      <c r="A410" s="14"/>
      <c r="B410" s="14"/>
      <c r="C410" s="14"/>
      <c r="D410" s="14"/>
      <c r="E410" s="14"/>
      <c r="F410" s="14"/>
    </row>
    <row r="411">
      <c r="A411" s="14"/>
      <c r="B411" s="14"/>
      <c r="C411" s="14"/>
      <c r="D411" s="14"/>
      <c r="E411" s="14"/>
      <c r="F411" s="14"/>
    </row>
    <row r="412">
      <c r="A412" s="14"/>
      <c r="B412" s="14"/>
      <c r="C412" s="14"/>
      <c r="D412" s="14"/>
      <c r="E412" s="14"/>
      <c r="F412" s="14"/>
    </row>
    <row r="413">
      <c r="A413" s="14"/>
      <c r="B413" s="14"/>
      <c r="C413" s="14"/>
      <c r="D413" s="14"/>
      <c r="E413" s="14"/>
      <c r="F413" s="14"/>
    </row>
    <row r="414">
      <c r="A414" s="14"/>
      <c r="B414" s="14"/>
      <c r="C414" s="14"/>
      <c r="D414" s="14"/>
      <c r="E414" s="14"/>
      <c r="F414" s="14"/>
    </row>
    <row r="415">
      <c r="A415" s="14"/>
      <c r="B415" s="14"/>
      <c r="C415" s="14"/>
      <c r="D415" s="14"/>
      <c r="E415" s="14"/>
      <c r="F415" s="14"/>
    </row>
    <row r="416">
      <c r="A416" s="14"/>
      <c r="B416" s="14"/>
      <c r="C416" s="14"/>
      <c r="D416" s="14"/>
      <c r="E416" s="14"/>
      <c r="F416" s="14"/>
    </row>
    <row r="417">
      <c r="A417" s="14"/>
      <c r="B417" s="14"/>
      <c r="C417" s="14"/>
      <c r="D417" s="14"/>
      <c r="E417" s="14"/>
      <c r="F417" s="14"/>
    </row>
    <row r="418">
      <c r="A418" s="14"/>
      <c r="B418" s="14"/>
      <c r="C418" s="14"/>
      <c r="D418" s="14"/>
      <c r="E418" s="14"/>
      <c r="F418" s="14"/>
    </row>
    <row r="419">
      <c r="A419" s="14"/>
      <c r="B419" s="14"/>
      <c r="C419" s="14"/>
      <c r="D419" s="14"/>
      <c r="E419" s="14"/>
      <c r="F419" s="14"/>
    </row>
    <row r="420">
      <c r="A420" s="14"/>
      <c r="B420" s="14"/>
      <c r="C420" s="14"/>
      <c r="D420" s="14"/>
      <c r="E420" s="14"/>
      <c r="F420" s="14"/>
    </row>
    <row r="421">
      <c r="A421" s="14"/>
      <c r="B421" s="14"/>
      <c r="C421" s="14"/>
      <c r="D421" s="14"/>
      <c r="E421" s="14"/>
      <c r="F421" s="14"/>
    </row>
    <row r="422">
      <c r="A422" s="14"/>
      <c r="B422" s="14"/>
      <c r="C422" s="14"/>
      <c r="D422" s="14"/>
      <c r="E422" s="14"/>
      <c r="F422" s="14"/>
    </row>
    <row r="423">
      <c r="A423" s="14"/>
      <c r="B423" s="14"/>
      <c r="C423" s="14"/>
      <c r="D423" s="14"/>
      <c r="E423" s="14"/>
      <c r="F423" s="14"/>
    </row>
    <row r="424">
      <c r="A424" s="14"/>
      <c r="B424" s="14"/>
      <c r="C424" s="14"/>
      <c r="D424" s="14"/>
      <c r="E424" s="14"/>
      <c r="F424" s="14"/>
    </row>
    <row r="425">
      <c r="A425" s="14"/>
      <c r="B425" s="14"/>
      <c r="C425" s="14"/>
      <c r="D425" s="14"/>
      <c r="E425" s="14"/>
      <c r="F425" s="14"/>
    </row>
    <row r="426">
      <c r="A426" s="14"/>
      <c r="B426" s="14"/>
      <c r="C426" s="14"/>
      <c r="D426" s="14"/>
      <c r="E426" s="14"/>
      <c r="F426" s="14"/>
    </row>
    <row r="427">
      <c r="A427" s="14"/>
      <c r="B427" s="14"/>
      <c r="C427" s="14"/>
      <c r="D427" s="14"/>
      <c r="E427" s="14"/>
      <c r="F427" s="14"/>
    </row>
    <row r="428">
      <c r="A428" s="14"/>
      <c r="B428" s="14"/>
      <c r="C428" s="14"/>
      <c r="D428" s="14"/>
      <c r="E428" s="14"/>
      <c r="F428" s="14"/>
    </row>
    <row r="429">
      <c r="A429" s="14"/>
      <c r="B429" s="14"/>
      <c r="C429" s="14"/>
      <c r="D429" s="14"/>
      <c r="E429" s="14"/>
      <c r="F429" s="14"/>
    </row>
    <row r="430">
      <c r="A430" s="14"/>
      <c r="B430" s="14"/>
      <c r="C430" s="14"/>
      <c r="D430" s="14"/>
      <c r="E430" s="14"/>
      <c r="F430" s="14"/>
    </row>
    <row r="431">
      <c r="A431" s="14"/>
      <c r="B431" s="14"/>
      <c r="C431" s="14"/>
      <c r="D431" s="14"/>
      <c r="E431" s="14"/>
      <c r="F431" s="14"/>
    </row>
    <row r="432">
      <c r="A432" s="14"/>
      <c r="B432" s="14"/>
      <c r="C432" s="14"/>
      <c r="D432" s="14"/>
      <c r="E432" s="14"/>
      <c r="F432" s="14"/>
    </row>
    <row r="433">
      <c r="A433" s="14"/>
      <c r="B433" s="14"/>
      <c r="C433" s="14"/>
      <c r="D433" s="14"/>
      <c r="E433" s="14"/>
      <c r="F433" s="14"/>
    </row>
    <row r="434">
      <c r="A434" s="14"/>
      <c r="B434" s="14"/>
      <c r="C434" s="14"/>
      <c r="D434" s="14"/>
      <c r="E434" s="14"/>
      <c r="F434" s="14"/>
    </row>
    <row r="435">
      <c r="A435" s="14"/>
      <c r="B435" s="14"/>
      <c r="C435" s="14"/>
      <c r="D435" s="14"/>
      <c r="E435" s="14"/>
      <c r="F435" s="14"/>
    </row>
    <row r="436">
      <c r="A436" s="14"/>
      <c r="B436" s="14"/>
      <c r="C436" s="14"/>
      <c r="D436" s="14"/>
      <c r="E436" s="14"/>
      <c r="F436" s="14"/>
    </row>
    <row r="437">
      <c r="A437" s="14"/>
      <c r="B437" s="14"/>
      <c r="C437" s="14"/>
      <c r="D437" s="14"/>
      <c r="E437" s="14"/>
      <c r="F437" s="14"/>
    </row>
    <row r="438">
      <c r="A438" s="14"/>
      <c r="B438" s="14"/>
      <c r="C438" s="14"/>
      <c r="D438" s="14"/>
      <c r="E438" s="14"/>
      <c r="F438" s="14"/>
    </row>
    <row r="439">
      <c r="A439" s="14"/>
      <c r="B439" s="14"/>
      <c r="C439" s="14"/>
      <c r="D439" s="14"/>
      <c r="E439" s="14"/>
      <c r="F439" s="14"/>
    </row>
    <row r="440">
      <c r="A440" s="14"/>
      <c r="B440" s="14"/>
      <c r="C440" s="14"/>
      <c r="D440" s="14"/>
      <c r="E440" s="14"/>
      <c r="F440" s="14"/>
    </row>
    <row r="441">
      <c r="A441" s="14"/>
      <c r="B441" s="14"/>
      <c r="C441" s="14"/>
      <c r="D441" s="14"/>
      <c r="E441" s="14"/>
      <c r="F441" s="14"/>
    </row>
    <row r="442">
      <c r="A442" s="14"/>
      <c r="B442" s="14"/>
      <c r="C442" s="14"/>
      <c r="D442" s="14"/>
      <c r="E442" s="14"/>
      <c r="F442" s="14"/>
    </row>
    <row r="443">
      <c r="A443" s="14"/>
      <c r="B443" s="14"/>
      <c r="C443" s="14"/>
      <c r="D443" s="14"/>
      <c r="E443" s="14"/>
      <c r="F443" s="14"/>
    </row>
    <row r="444">
      <c r="A444" s="14"/>
      <c r="B444" s="14"/>
      <c r="C444" s="14"/>
      <c r="D444" s="14"/>
      <c r="E444" s="14"/>
      <c r="F444" s="14"/>
    </row>
    <row r="445">
      <c r="A445" s="14"/>
      <c r="B445" s="14"/>
      <c r="C445" s="14"/>
      <c r="D445" s="14"/>
      <c r="E445" s="14"/>
      <c r="F445" s="14"/>
    </row>
    <row r="446">
      <c r="A446" s="14"/>
      <c r="B446" s="14"/>
      <c r="C446" s="14"/>
      <c r="D446" s="14"/>
      <c r="E446" s="14"/>
      <c r="F446" s="14"/>
    </row>
    <row r="447">
      <c r="A447" s="14"/>
      <c r="B447" s="14"/>
      <c r="C447" s="14"/>
      <c r="D447" s="14"/>
      <c r="E447" s="14"/>
      <c r="F447" s="14"/>
    </row>
    <row r="448">
      <c r="A448" s="14"/>
      <c r="B448" s="14"/>
      <c r="C448" s="14"/>
      <c r="D448" s="14"/>
      <c r="E448" s="14"/>
      <c r="F448" s="14"/>
    </row>
    <row r="449">
      <c r="A449" s="14"/>
      <c r="B449" s="14"/>
      <c r="C449" s="14"/>
      <c r="D449" s="14"/>
      <c r="E449" s="14"/>
      <c r="F449" s="14"/>
    </row>
    <row r="450">
      <c r="A450" s="14"/>
      <c r="B450" s="14"/>
      <c r="C450" s="14"/>
      <c r="D450" s="14"/>
      <c r="E450" s="14"/>
      <c r="F450" s="14"/>
    </row>
    <row r="451">
      <c r="A451" s="14"/>
      <c r="B451" s="14"/>
      <c r="C451" s="14"/>
      <c r="D451" s="14"/>
      <c r="E451" s="14"/>
      <c r="F451" s="14"/>
    </row>
    <row r="452">
      <c r="A452" s="14"/>
      <c r="B452" s="14"/>
      <c r="C452" s="14"/>
      <c r="D452" s="14"/>
      <c r="E452" s="14"/>
      <c r="F452" s="14"/>
    </row>
    <row r="453">
      <c r="A453" s="14"/>
      <c r="B453" s="14"/>
      <c r="C453" s="14"/>
      <c r="D453" s="14"/>
      <c r="E453" s="14"/>
      <c r="F453" s="14"/>
    </row>
    <row r="454">
      <c r="A454" s="14"/>
      <c r="B454" s="14"/>
      <c r="C454" s="14"/>
      <c r="D454" s="14"/>
      <c r="E454" s="14"/>
      <c r="F454" s="14"/>
    </row>
    <row r="455">
      <c r="A455" s="14"/>
      <c r="B455" s="14"/>
      <c r="C455" s="14"/>
      <c r="D455" s="14"/>
      <c r="E455" s="14"/>
      <c r="F455" s="14"/>
    </row>
    <row r="456">
      <c r="A456" s="14"/>
      <c r="B456" s="14"/>
      <c r="C456" s="14"/>
      <c r="D456" s="14"/>
      <c r="E456" s="14"/>
      <c r="F456" s="14"/>
    </row>
    <row r="457">
      <c r="A457" s="14"/>
      <c r="B457" s="14"/>
      <c r="C457" s="14"/>
      <c r="D457" s="14"/>
      <c r="E457" s="14"/>
      <c r="F457" s="14"/>
    </row>
    <row r="458">
      <c r="A458" s="14"/>
      <c r="B458" s="14"/>
      <c r="C458" s="14"/>
      <c r="D458" s="14"/>
      <c r="E458" s="14"/>
      <c r="F458" s="14"/>
    </row>
    <row r="459">
      <c r="A459" s="14"/>
      <c r="B459" s="14"/>
      <c r="C459" s="14"/>
      <c r="D459" s="14"/>
      <c r="E459" s="14"/>
      <c r="F459" s="14"/>
    </row>
    <row r="460">
      <c r="A460" s="14"/>
      <c r="B460" s="14"/>
      <c r="C460" s="14"/>
      <c r="D460" s="14"/>
      <c r="E460" s="14"/>
      <c r="F460" s="14"/>
    </row>
    <row r="461">
      <c r="A461" s="14"/>
      <c r="B461" s="14"/>
      <c r="C461" s="14"/>
      <c r="D461" s="14"/>
      <c r="E461" s="14"/>
      <c r="F461" s="14"/>
    </row>
    <row r="462">
      <c r="A462" s="14"/>
      <c r="B462" s="14"/>
      <c r="C462" s="14"/>
      <c r="D462" s="14"/>
      <c r="E462" s="14"/>
      <c r="F462" s="14"/>
    </row>
    <row r="463">
      <c r="A463" s="14"/>
      <c r="B463" s="14"/>
      <c r="C463" s="14"/>
      <c r="D463" s="14"/>
      <c r="E463" s="14"/>
      <c r="F463" s="14"/>
    </row>
    <row r="464">
      <c r="A464" s="14"/>
      <c r="B464" s="14"/>
      <c r="C464" s="14"/>
      <c r="D464" s="14"/>
      <c r="E464" s="14"/>
      <c r="F464" s="14"/>
    </row>
    <row r="465">
      <c r="A465" s="14"/>
      <c r="B465" s="14"/>
      <c r="C465" s="14"/>
      <c r="D465" s="14"/>
      <c r="E465" s="14"/>
      <c r="F465" s="14"/>
    </row>
    <row r="466">
      <c r="A466" s="14"/>
      <c r="B466" s="14"/>
      <c r="C466" s="14"/>
      <c r="D466" s="14"/>
      <c r="E466" s="14"/>
      <c r="F466" s="14"/>
    </row>
    <row r="467">
      <c r="A467" s="14"/>
      <c r="B467" s="14"/>
      <c r="C467" s="14"/>
      <c r="D467" s="14"/>
      <c r="E467" s="14"/>
      <c r="F467" s="14"/>
    </row>
    <row r="468">
      <c r="A468" s="14"/>
      <c r="B468" s="14"/>
      <c r="C468" s="14"/>
      <c r="D468" s="14"/>
      <c r="E468" s="14"/>
      <c r="F468" s="14"/>
    </row>
    <row r="469">
      <c r="A469" s="14"/>
      <c r="B469" s="14"/>
      <c r="C469" s="14"/>
      <c r="D469" s="14"/>
      <c r="E469" s="14"/>
      <c r="F469" s="14"/>
    </row>
    <row r="470">
      <c r="A470" s="14"/>
      <c r="B470" s="14"/>
      <c r="C470" s="14"/>
      <c r="D470" s="14"/>
      <c r="E470" s="14"/>
      <c r="F470" s="14"/>
    </row>
    <row r="471">
      <c r="A471" s="14"/>
      <c r="B471" s="14"/>
      <c r="C471" s="14"/>
      <c r="D471" s="14"/>
      <c r="E471" s="14"/>
      <c r="F471" s="14"/>
    </row>
    <row r="472">
      <c r="A472" s="14"/>
      <c r="B472" s="14"/>
      <c r="C472" s="14"/>
      <c r="D472" s="14"/>
      <c r="E472" s="14"/>
      <c r="F472" s="14"/>
    </row>
    <row r="473">
      <c r="A473" s="14"/>
      <c r="B473" s="14"/>
      <c r="C473" s="14"/>
      <c r="D473" s="14"/>
      <c r="E473" s="14"/>
      <c r="F473" s="14"/>
    </row>
    <row r="474">
      <c r="A474" s="14"/>
      <c r="B474" s="14"/>
      <c r="C474" s="14"/>
      <c r="D474" s="14"/>
      <c r="E474" s="14"/>
      <c r="F474" s="14"/>
    </row>
    <row r="475">
      <c r="A475" s="14"/>
      <c r="B475" s="14"/>
      <c r="C475" s="14"/>
      <c r="D475" s="14"/>
      <c r="E475" s="14"/>
      <c r="F475" s="14"/>
    </row>
    <row r="476">
      <c r="A476" s="14"/>
      <c r="B476" s="14"/>
      <c r="C476" s="14"/>
      <c r="D476" s="14"/>
      <c r="E476" s="14"/>
      <c r="F476" s="14"/>
    </row>
    <row r="477">
      <c r="A477" s="14"/>
      <c r="B477" s="14"/>
      <c r="C477" s="14"/>
      <c r="D477" s="14"/>
      <c r="E477" s="14"/>
      <c r="F477" s="14"/>
    </row>
    <row r="478">
      <c r="A478" s="14"/>
      <c r="B478" s="14"/>
      <c r="C478" s="14"/>
      <c r="D478" s="14"/>
      <c r="E478" s="14"/>
      <c r="F478" s="14"/>
    </row>
    <row r="479">
      <c r="A479" s="14"/>
      <c r="B479" s="14"/>
      <c r="C479" s="14"/>
      <c r="D479" s="14"/>
      <c r="E479" s="14"/>
      <c r="F479" s="14"/>
    </row>
    <row r="480">
      <c r="A480" s="14"/>
      <c r="B480" s="14"/>
      <c r="C480" s="14"/>
      <c r="D480" s="14"/>
      <c r="E480" s="14"/>
      <c r="F480" s="14"/>
    </row>
    <row r="481">
      <c r="A481" s="14"/>
      <c r="B481" s="14"/>
      <c r="C481" s="14"/>
      <c r="D481" s="14"/>
      <c r="E481" s="14"/>
      <c r="F481" s="14"/>
    </row>
    <row r="482">
      <c r="A482" s="14"/>
      <c r="B482" s="14"/>
      <c r="C482" s="14"/>
      <c r="D482" s="14"/>
      <c r="E482" s="14"/>
      <c r="F482" s="14"/>
    </row>
    <row r="483">
      <c r="A483" s="14"/>
      <c r="B483" s="14"/>
      <c r="C483" s="14"/>
      <c r="D483" s="14"/>
      <c r="E483" s="14"/>
      <c r="F483" s="14"/>
    </row>
    <row r="484">
      <c r="A484" s="14"/>
      <c r="B484" s="14"/>
      <c r="C484" s="14"/>
      <c r="D484" s="14"/>
      <c r="E484" s="14"/>
      <c r="F484" s="14"/>
    </row>
    <row r="485">
      <c r="A485" s="14"/>
      <c r="B485" s="14"/>
      <c r="C485" s="14"/>
      <c r="D485" s="14"/>
      <c r="E485" s="14"/>
      <c r="F485" s="14"/>
    </row>
    <row r="486">
      <c r="A486" s="14"/>
      <c r="B486" s="14"/>
      <c r="C486" s="14"/>
      <c r="D486" s="14"/>
      <c r="E486" s="14"/>
      <c r="F486" s="14"/>
    </row>
    <row r="487">
      <c r="A487" s="14"/>
      <c r="B487" s="14"/>
      <c r="C487" s="14"/>
      <c r="D487" s="14"/>
      <c r="E487" s="14"/>
      <c r="F487" s="14"/>
    </row>
    <row r="488">
      <c r="A488" s="14"/>
      <c r="B488" s="14"/>
      <c r="C488" s="14"/>
      <c r="D488" s="14"/>
      <c r="E488" s="14"/>
      <c r="F488" s="14"/>
    </row>
    <row r="489">
      <c r="A489" s="14"/>
      <c r="B489" s="14"/>
      <c r="C489" s="14"/>
      <c r="D489" s="14"/>
      <c r="E489" s="14"/>
      <c r="F489" s="14"/>
    </row>
    <row r="490">
      <c r="A490" s="14"/>
      <c r="B490" s="14"/>
      <c r="C490" s="14"/>
      <c r="D490" s="14"/>
      <c r="E490" s="14"/>
      <c r="F490" s="14"/>
    </row>
    <row r="491">
      <c r="A491" s="14"/>
      <c r="B491" s="14"/>
      <c r="C491" s="14"/>
      <c r="D491" s="14"/>
      <c r="E491" s="14"/>
      <c r="F491" s="14"/>
    </row>
    <row r="492">
      <c r="A492" s="14"/>
      <c r="B492" s="14"/>
      <c r="C492" s="14"/>
      <c r="D492" s="14"/>
      <c r="E492" s="14"/>
      <c r="F492" s="14"/>
    </row>
    <row r="493">
      <c r="A493" s="14"/>
      <c r="B493" s="14"/>
      <c r="C493" s="14"/>
      <c r="D493" s="14"/>
      <c r="E493" s="14"/>
      <c r="F493" s="14"/>
    </row>
    <row r="494">
      <c r="A494" s="14"/>
      <c r="B494" s="14"/>
      <c r="C494" s="14"/>
      <c r="D494" s="14"/>
      <c r="E494" s="14"/>
      <c r="F494" s="14"/>
    </row>
    <row r="495">
      <c r="A495" s="14"/>
      <c r="B495" s="14"/>
      <c r="C495" s="14"/>
      <c r="D495" s="14"/>
      <c r="E495" s="14"/>
      <c r="F495" s="14"/>
    </row>
    <row r="496">
      <c r="A496" s="14"/>
      <c r="B496" s="14"/>
      <c r="C496" s="14"/>
      <c r="D496" s="14"/>
      <c r="E496" s="14"/>
      <c r="F496" s="14"/>
    </row>
    <row r="497">
      <c r="A497" s="14"/>
      <c r="B497" s="14"/>
      <c r="C497" s="14"/>
      <c r="D497" s="14"/>
      <c r="E497" s="14"/>
      <c r="F497" s="14"/>
    </row>
    <row r="498">
      <c r="A498" s="14"/>
      <c r="B498" s="14"/>
      <c r="C498" s="14"/>
      <c r="D498" s="14"/>
      <c r="E498" s="14"/>
      <c r="F498" s="14"/>
    </row>
    <row r="499">
      <c r="A499" s="14"/>
      <c r="B499" s="14"/>
      <c r="C499" s="14"/>
      <c r="D499" s="14"/>
      <c r="E499" s="14"/>
      <c r="F499" s="14"/>
    </row>
    <row r="500">
      <c r="A500" s="14"/>
      <c r="B500" s="14"/>
      <c r="C500" s="14"/>
      <c r="D500" s="14"/>
      <c r="E500" s="14"/>
      <c r="F500" s="14"/>
    </row>
    <row r="501">
      <c r="A501" s="14"/>
      <c r="B501" s="14"/>
      <c r="C501" s="14"/>
      <c r="D501" s="14"/>
      <c r="E501" s="14"/>
      <c r="F501" s="14"/>
    </row>
    <row r="502">
      <c r="A502" s="14"/>
      <c r="B502" s="14"/>
      <c r="C502" s="14"/>
      <c r="D502" s="14"/>
      <c r="E502" s="14"/>
      <c r="F502" s="14"/>
    </row>
    <row r="503">
      <c r="A503" s="14"/>
      <c r="B503" s="14"/>
      <c r="C503" s="14"/>
      <c r="D503" s="14"/>
      <c r="E503" s="14"/>
      <c r="F503" s="14"/>
    </row>
    <row r="504">
      <c r="A504" s="14"/>
      <c r="B504" s="14"/>
      <c r="C504" s="14"/>
      <c r="D504" s="14"/>
      <c r="E504" s="14"/>
      <c r="F504" s="14"/>
    </row>
    <row r="505">
      <c r="A505" s="14"/>
      <c r="B505" s="14"/>
      <c r="C505" s="14"/>
      <c r="D505" s="14"/>
      <c r="E505" s="14"/>
      <c r="F505" s="14"/>
    </row>
    <row r="506">
      <c r="A506" s="14"/>
      <c r="B506" s="14"/>
      <c r="C506" s="14"/>
      <c r="D506" s="14"/>
      <c r="E506" s="14"/>
      <c r="F506" s="14"/>
    </row>
    <row r="507">
      <c r="A507" s="14"/>
      <c r="B507" s="14"/>
      <c r="C507" s="14"/>
      <c r="D507" s="14"/>
      <c r="E507" s="14"/>
      <c r="F507" s="14"/>
    </row>
    <row r="508">
      <c r="A508" s="14"/>
      <c r="B508" s="14"/>
      <c r="C508" s="14"/>
      <c r="D508" s="14"/>
      <c r="E508" s="14"/>
      <c r="F508" s="14"/>
    </row>
    <row r="509">
      <c r="A509" s="14"/>
      <c r="B509" s="14"/>
      <c r="C509" s="14"/>
      <c r="D509" s="14"/>
      <c r="E509" s="14"/>
      <c r="F509" s="14"/>
    </row>
    <row r="510">
      <c r="A510" s="14"/>
      <c r="B510" s="14"/>
      <c r="C510" s="14"/>
      <c r="D510" s="14"/>
      <c r="E510" s="14"/>
      <c r="F510" s="14"/>
    </row>
    <row r="511">
      <c r="A511" s="14"/>
      <c r="B511" s="14"/>
      <c r="C511" s="14"/>
      <c r="D511" s="14"/>
      <c r="E511" s="14"/>
      <c r="F511" s="14"/>
    </row>
    <row r="512">
      <c r="A512" s="14"/>
      <c r="B512" s="14"/>
      <c r="C512" s="14"/>
      <c r="D512" s="14"/>
      <c r="E512" s="14"/>
      <c r="F512" s="14"/>
    </row>
    <row r="513">
      <c r="A513" s="14"/>
      <c r="B513" s="14"/>
      <c r="C513" s="14"/>
      <c r="D513" s="14"/>
      <c r="E513" s="14"/>
      <c r="F513" s="14"/>
    </row>
    <row r="514">
      <c r="A514" s="14"/>
      <c r="B514" s="14"/>
      <c r="C514" s="14"/>
      <c r="D514" s="14"/>
      <c r="E514" s="14"/>
      <c r="F514" s="14"/>
    </row>
    <row r="515">
      <c r="A515" s="14"/>
      <c r="B515" s="14"/>
      <c r="C515" s="14"/>
      <c r="D515" s="14"/>
      <c r="E515" s="14"/>
      <c r="F515" s="14"/>
    </row>
    <row r="516">
      <c r="A516" s="14"/>
      <c r="B516" s="14"/>
      <c r="C516" s="14"/>
      <c r="D516" s="14"/>
      <c r="E516" s="14"/>
      <c r="F516" s="14"/>
    </row>
    <row r="517">
      <c r="A517" s="14"/>
      <c r="B517" s="14"/>
      <c r="C517" s="14"/>
      <c r="D517" s="14"/>
      <c r="E517" s="14"/>
      <c r="F517" s="14"/>
    </row>
    <row r="518">
      <c r="A518" s="14"/>
      <c r="B518" s="14"/>
      <c r="C518" s="14"/>
      <c r="D518" s="14"/>
      <c r="E518" s="14"/>
      <c r="F518" s="14"/>
    </row>
    <row r="519">
      <c r="A519" s="14"/>
      <c r="B519" s="14"/>
      <c r="C519" s="14"/>
      <c r="D519" s="14"/>
      <c r="E519" s="14"/>
      <c r="F519" s="14"/>
    </row>
    <row r="520">
      <c r="A520" s="14"/>
      <c r="B520" s="14"/>
      <c r="C520" s="14"/>
      <c r="D520" s="14"/>
      <c r="E520" s="14"/>
      <c r="F520" s="14"/>
    </row>
    <row r="521">
      <c r="A521" s="14"/>
      <c r="B521" s="14"/>
      <c r="C521" s="14"/>
      <c r="D521" s="14"/>
      <c r="E521" s="14"/>
      <c r="F521" s="14"/>
    </row>
    <row r="522">
      <c r="A522" s="14"/>
      <c r="B522" s="14"/>
      <c r="C522" s="14"/>
      <c r="D522" s="14"/>
      <c r="E522" s="14"/>
      <c r="F522" s="14"/>
    </row>
    <row r="523">
      <c r="A523" s="14"/>
      <c r="B523" s="14"/>
      <c r="C523" s="14"/>
      <c r="D523" s="14"/>
      <c r="E523" s="14"/>
      <c r="F523" s="14"/>
    </row>
    <row r="524">
      <c r="A524" s="14"/>
      <c r="B524" s="14"/>
      <c r="C524" s="14"/>
      <c r="D524" s="14"/>
      <c r="E524" s="14"/>
      <c r="F524" s="14"/>
    </row>
    <row r="525">
      <c r="A525" s="14"/>
      <c r="B525" s="14"/>
      <c r="C525" s="14"/>
      <c r="D525" s="14"/>
      <c r="E525" s="14"/>
      <c r="F525" s="14"/>
    </row>
    <row r="526">
      <c r="A526" s="14"/>
      <c r="B526" s="14"/>
      <c r="C526" s="14"/>
      <c r="D526" s="14"/>
      <c r="E526" s="14"/>
      <c r="F526" s="14"/>
    </row>
    <row r="527">
      <c r="A527" s="14"/>
      <c r="B527" s="14"/>
      <c r="C527" s="14"/>
      <c r="D527" s="14"/>
      <c r="E527" s="14"/>
      <c r="F527" s="14"/>
    </row>
    <row r="528">
      <c r="A528" s="14"/>
      <c r="B528" s="14"/>
      <c r="C528" s="14"/>
      <c r="D528" s="14"/>
      <c r="E528" s="14"/>
      <c r="F528" s="14"/>
    </row>
    <row r="529">
      <c r="A529" s="14"/>
      <c r="B529" s="14"/>
      <c r="C529" s="14"/>
      <c r="D529" s="14"/>
      <c r="E529" s="14"/>
      <c r="F529" s="14"/>
    </row>
    <row r="530">
      <c r="A530" s="14"/>
      <c r="B530" s="14"/>
      <c r="C530" s="14"/>
      <c r="D530" s="14"/>
      <c r="E530" s="14"/>
      <c r="F530" s="14"/>
    </row>
    <row r="531">
      <c r="A531" s="14"/>
      <c r="B531" s="14"/>
      <c r="C531" s="14"/>
      <c r="D531" s="14"/>
      <c r="E531" s="14"/>
      <c r="F531" s="14"/>
    </row>
    <row r="532">
      <c r="A532" s="14"/>
      <c r="B532" s="14"/>
      <c r="C532" s="14"/>
      <c r="D532" s="14"/>
      <c r="E532" s="14"/>
      <c r="F532" s="14"/>
    </row>
    <row r="533">
      <c r="A533" s="14"/>
      <c r="B533" s="14"/>
      <c r="C533" s="14"/>
      <c r="D533" s="14"/>
      <c r="E533" s="14"/>
      <c r="F533" s="14"/>
    </row>
    <row r="534">
      <c r="A534" s="14"/>
      <c r="B534" s="14"/>
      <c r="C534" s="14"/>
      <c r="D534" s="14"/>
      <c r="E534" s="14"/>
      <c r="F534" s="14"/>
    </row>
    <row r="535">
      <c r="A535" s="14"/>
      <c r="B535" s="14"/>
      <c r="C535" s="14"/>
      <c r="D535" s="14"/>
      <c r="E535" s="14"/>
      <c r="F535" s="14"/>
    </row>
    <row r="536">
      <c r="A536" s="14"/>
      <c r="B536" s="14"/>
      <c r="C536" s="14"/>
      <c r="D536" s="14"/>
      <c r="E536" s="14"/>
      <c r="F536" s="14"/>
    </row>
    <row r="537">
      <c r="A537" s="14"/>
      <c r="B537" s="14"/>
      <c r="C537" s="14"/>
      <c r="D537" s="14"/>
      <c r="E537" s="14"/>
      <c r="F537" s="14"/>
    </row>
    <row r="538">
      <c r="A538" s="14"/>
      <c r="B538" s="14"/>
      <c r="C538" s="14"/>
      <c r="D538" s="14"/>
      <c r="E538" s="14"/>
      <c r="F538" s="14"/>
    </row>
    <row r="539">
      <c r="A539" s="14"/>
      <c r="B539" s="14"/>
      <c r="C539" s="14"/>
      <c r="D539" s="14"/>
      <c r="E539" s="14"/>
      <c r="F539" s="14"/>
    </row>
    <row r="540">
      <c r="A540" s="14"/>
      <c r="B540" s="14"/>
      <c r="C540" s="14"/>
      <c r="D540" s="14"/>
      <c r="E540" s="14"/>
      <c r="F540" s="14"/>
    </row>
    <row r="541">
      <c r="A541" s="14"/>
      <c r="B541" s="14"/>
      <c r="C541" s="14"/>
      <c r="D541" s="14"/>
      <c r="E541" s="14"/>
      <c r="F541" s="14"/>
    </row>
    <row r="542">
      <c r="A542" s="14"/>
      <c r="B542" s="14"/>
      <c r="C542" s="14"/>
      <c r="D542" s="14"/>
      <c r="E542" s="14"/>
      <c r="F542" s="14"/>
    </row>
    <row r="543">
      <c r="A543" s="14"/>
      <c r="B543" s="14"/>
      <c r="C543" s="14"/>
      <c r="D543" s="14"/>
      <c r="E543" s="14"/>
      <c r="F543" s="14"/>
    </row>
    <row r="544">
      <c r="A544" s="14"/>
      <c r="B544" s="14"/>
      <c r="C544" s="14"/>
      <c r="D544" s="14"/>
      <c r="E544" s="14"/>
      <c r="F544" s="14"/>
    </row>
    <row r="545">
      <c r="A545" s="14"/>
      <c r="B545" s="14"/>
      <c r="C545" s="14"/>
      <c r="D545" s="14"/>
      <c r="E545" s="14"/>
      <c r="F545" s="14"/>
    </row>
    <row r="546">
      <c r="A546" s="14"/>
      <c r="B546" s="14"/>
      <c r="C546" s="14"/>
      <c r="D546" s="14"/>
      <c r="E546" s="14"/>
      <c r="F546" s="14"/>
    </row>
    <row r="547">
      <c r="A547" s="14"/>
      <c r="B547" s="14"/>
      <c r="C547" s="14"/>
      <c r="D547" s="14"/>
      <c r="E547" s="14"/>
      <c r="F547" s="14"/>
    </row>
    <row r="548">
      <c r="A548" s="14"/>
      <c r="B548" s="14"/>
      <c r="C548" s="14"/>
      <c r="D548" s="14"/>
      <c r="E548" s="14"/>
      <c r="F548" s="14"/>
    </row>
    <row r="549">
      <c r="A549" s="14"/>
      <c r="B549" s="14"/>
      <c r="C549" s="14"/>
      <c r="D549" s="14"/>
      <c r="E549" s="14"/>
      <c r="F549" s="14"/>
    </row>
    <row r="550">
      <c r="A550" s="14"/>
      <c r="B550" s="14"/>
      <c r="C550" s="14"/>
      <c r="D550" s="14"/>
      <c r="E550" s="14"/>
      <c r="F550" s="14"/>
    </row>
    <row r="551">
      <c r="A551" s="14"/>
      <c r="B551" s="14"/>
      <c r="C551" s="14"/>
      <c r="D551" s="14"/>
      <c r="E551" s="14"/>
      <c r="F551" s="14"/>
    </row>
    <row r="552">
      <c r="A552" s="14"/>
      <c r="B552" s="14"/>
      <c r="C552" s="14"/>
      <c r="D552" s="14"/>
      <c r="E552" s="14"/>
      <c r="F552" s="14"/>
    </row>
    <row r="553">
      <c r="A553" s="14"/>
      <c r="B553" s="14"/>
      <c r="C553" s="14"/>
      <c r="D553" s="14"/>
      <c r="E553" s="14"/>
      <c r="F553" s="14"/>
    </row>
    <row r="554">
      <c r="A554" s="14"/>
      <c r="B554" s="14"/>
      <c r="C554" s="14"/>
      <c r="D554" s="14"/>
      <c r="E554" s="14"/>
      <c r="F554" s="14"/>
    </row>
    <row r="555">
      <c r="A555" s="14"/>
      <c r="B555" s="14"/>
      <c r="C555" s="14"/>
      <c r="D555" s="14"/>
      <c r="E555" s="14"/>
      <c r="F555" s="14"/>
    </row>
    <row r="556">
      <c r="A556" s="14"/>
      <c r="B556" s="14"/>
      <c r="C556" s="14"/>
      <c r="D556" s="14"/>
      <c r="E556" s="14"/>
      <c r="F556" s="14"/>
    </row>
    <row r="557">
      <c r="A557" s="14"/>
      <c r="B557" s="14"/>
      <c r="C557" s="14"/>
      <c r="D557" s="14"/>
      <c r="E557" s="14"/>
      <c r="F557" s="14"/>
    </row>
    <row r="558">
      <c r="A558" s="14"/>
      <c r="B558" s="14"/>
      <c r="C558" s="14"/>
      <c r="D558" s="14"/>
      <c r="E558" s="14"/>
      <c r="F558" s="14"/>
    </row>
    <row r="559">
      <c r="A559" s="14"/>
      <c r="B559" s="14"/>
      <c r="C559" s="14"/>
      <c r="D559" s="14"/>
      <c r="E559" s="14"/>
      <c r="F559" s="14"/>
    </row>
    <row r="560">
      <c r="A560" s="14"/>
      <c r="B560" s="14"/>
      <c r="C560" s="14"/>
      <c r="D560" s="14"/>
      <c r="E560" s="14"/>
      <c r="F560" s="14"/>
    </row>
    <row r="561">
      <c r="A561" s="14"/>
      <c r="B561" s="14"/>
      <c r="C561" s="14"/>
      <c r="D561" s="14"/>
      <c r="E561" s="14"/>
      <c r="F561" s="14"/>
    </row>
    <row r="562">
      <c r="A562" s="14"/>
      <c r="B562" s="14"/>
      <c r="C562" s="14"/>
      <c r="D562" s="14"/>
      <c r="E562" s="14"/>
      <c r="F562" s="14"/>
    </row>
    <row r="563">
      <c r="A563" s="14"/>
      <c r="B563" s="14"/>
      <c r="C563" s="14"/>
      <c r="D563" s="14"/>
      <c r="E563" s="14"/>
      <c r="F563" s="14"/>
    </row>
    <row r="564">
      <c r="A564" s="14"/>
      <c r="B564" s="14"/>
      <c r="C564" s="14"/>
      <c r="D564" s="14"/>
      <c r="E564" s="14"/>
      <c r="F564" s="14"/>
    </row>
    <row r="565">
      <c r="A565" s="14"/>
      <c r="B565" s="14"/>
      <c r="C565" s="14"/>
      <c r="D565" s="14"/>
      <c r="E565" s="14"/>
      <c r="F565" s="14"/>
    </row>
    <row r="566">
      <c r="A566" s="14"/>
      <c r="B566" s="14"/>
      <c r="C566" s="14"/>
      <c r="D566" s="14"/>
      <c r="E566" s="14"/>
      <c r="F566" s="14"/>
    </row>
    <row r="567">
      <c r="A567" s="14"/>
      <c r="B567" s="14"/>
      <c r="C567" s="14"/>
      <c r="D567" s="14"/>
      <c r="E567" s="14"/>
      <c r="F567" s="14"/>
    </row>
    <row r="568">
      <c r="A568" s="14"/>
      <c r="B568" s="14"/>
      <c r="C568" s="14"/>
      <c r="D568" s="14"/>
      <c r="E568" s="14"/>
      <c r="F568" s="14"/>
    </row>
    <row r="569">
      <c r="A569" s="14"/>
      <c r="B569" s="14"/>
      <c r="C569" s="14"/>
      <c r="D569" s="14"/>
      <c r="E569" s="14"/>
      <c r="F569" s="14"/>
    </row>
    <row r="570">
      <c r="A570" s="14"/>
      <c r="B570" s="14"/>
      <c r="C570" s="14"/>
      <c r="D570" s="14"/>
      <c r="E570" s="14"/>
      <c r="F570" s="14"/>
    </row>
    <row r="571">
      <c r="A571" s="14"/>
      <c r="B571" s="14"/>
      <c r="C571" s="14"/>
      <c r="D571" s="14"/>
      <c r="E571" s="14"/>
      <c r="F571" s="14"/>
    </row>
    <row r="572">
      <c r="A572" s="14"/>
      <c r="B572" s="14"/>
      <c r="C572" s="14"/>
      <c r="D572" s="14"/>
      <c r="E572" s="14"/>
      <c r="F572" s="14"/>
    </row>
    <row r="573">
      <c r="A573" s="14"/>
      <c r="B573" s="14"/>
      <c r="C573" s="14"/>
      <c r="D573" s="14"/>
      <c r="E573" s="14"/>
      <c r="F573" s="14"/>
    </row>
    <row r="574">
      <c r="A574" s="14"/>
      <c r="B574" s="14"/>
      <c r="C574" s="14"/>
      <c r="D574" s="14"/>
      <c r="E574" s="14"/>
      <c r="F574" s="14"/>
    </row>
    <row r="575">
      <c r="A575" s="14"/>
      <c r="B575" s="14"/>
      <c r="C575" s="14"/>
      <c r="D575" s="14"/>
      <c r="E575" s="14"/>
      <c r="F575" s="14"/>
    </row>
    <row r="576">
      <c r="A576" s="14"/>
      <c r="B576" s="14"/>
      <c r="C576" s="14"/>
      <c r="D576" s="14"/>
      <c r="E576" s="14"/>
      <c r="F576" s="14"/>
    </row>
    <row r="577">
      <c r="A577" s="14"/>
      <c r="B577" s="14"/>
      <c r="C577" s="14"/>
      <c r="D577" s="14"/>
      <c r="E577" s="14"/>
      <c r="F577" s="14"/>
    </row>
    <row r="578">
      <c r="A578" s="14"/>
      <c r="B578" s="14"/>
      <c r="C578" s="14"/>
      <c r="D578" s="14"/>
      <c r="E578" s="14"/>
      <c r="F578" s="14"/>
    </row>
    <row r="579">
      <c r="A579" s="14"/>
      <c r="B579" s="14"/>
      <c r="C579" s="14"/>
      <c r="D579" s="14"/>
      <c r="E579" s="14"/>
      <c r="F579" s="14"/>
    </row>
    <row r="580">
      <c r="A580" s="14"/>
      <c r="B580" s="14"/>
      <c r="C580" s="14"/>
      <c r="D580" s="14"/>
      <c r="E580" s="14"/>
      <c r="F580" s="14"/>
    </row>
    <row r="581">
      <c r="A581" s="14"/>
      <c r="B581" s="14"/>
      <c r="C581" s="14"/>
      <c r="D581" s="14"/>
      <c r="E581" s="14"/>
      <c r="F581" s="14"/>
    </row>
    <row r="582">
      <c r="A582" s="14"/>
      <c r="B582" s="14"/>
      <c r="C582" s="14"/>
      <c r="D582" s="14"/>
      <c r="E582" s="14"/>
      <c r="F582" s="14"/>
    </row>
    <row r="583">
      <c r="A583" s="14"/>
      <c r="B583" s="14"/>
      <c r="C583" s="14"/>
      <c r="D583" s="14"/>
      <c r="E583" s="14"/>
      <c r="F583" s="14"/>
    </row>
    <row r="584">
      <c r="A584" s="14"/>
      <c r="B584" s="14"/>
      <c r="C584" s="14"/>
      <c r="D584" s="14"/>
      <c r="E584" s="14"/>
      <c r="F584" s="14"/>
    </row>
    <row r="585">
      <c r="A585" s="14"/>
      <c r="B585" s="14"/>
      <c r="C585" s="14"/>
      <c r="D585" s="14"/>
      <c r="E585" s="14"/>
      <c r="F585" s="14"/>
    </row>
    <row r="586">
      <c r="A586" s="14"/>
      <c r="B586" s="14"/>
      <c r="C586" s="14"/>
      <c r="D586" s="14"/>
      <c r="E586" s="14"/>
      <c r="F586" s="14"/>
    </row>
    <row r="587">
      <c r="A587" s="14"/>
      <c r="B587" s="14"/>
      <c r="C587" s="14"/>
      <c r="D587" s="14"/>
      <c r="E587" s="14"/>
      <c r="F587" s="14"/>
    </row>
    <row r="588">
      <c r="A588" s="14"/>
      <c r="B588" s="14"/>
      <c r="C588" s="14"/>
      <c r="D588" s="14"/>
      <c r="E588" s="14"/>
      <c r="F588" s="14"/>
    </row>
    <row r="589">
      <c r="A589" s="14"/>
      <c r="B589" s="14"/>
      <c r="C589" s="14"/>
      <c r="D589" s="14"/>
      <c r="E589" s="14"/>
      <c r="F589" s="14"/>
    </row>
    <row r="590">
      <c r="A590" s="14"/>
      <c r="B590" s="14"/>
      <c r="C590" s="14"/>
      <c r="D590" s="14"/>
      <c r="E590" s="14"/>
      <c r="F590" s="14"/>
    </row>
    <row r="591">
      <c r="A591" s="14"/>
      <c r="B591" s="14"/>
      <c r="C591" s="14"/>
      <c r="D591" s="14"/>
      <c r="E591" s="14"/>
      <c r="F591" s="14"/>
    </row>
    <row r="592">
      <c r="A592" s="14"/>
      <c r="B592" s="14"/>
      <c r="C592" s="14"/>
      <c r="D592" s="14"/>
      <c r="E592" s="14"/>
      <c r="F592" s="14"/>
    </row>
    <row r="593">
      <c r="A593" s="14"/>
      <c r="B593" s="14"/>
      <c r="C593" s="14"/>
      <c r="D593" s="14"/>
      <c r="E593" s="14"/>
      <c r="F593" s="14"/>
    </row>
    <row r="594">
      <c r="A594" s="14"/>
      <c r="B594" s="14"/>
      <c r="C594" s="14"/>
      <c r="D594" s="14"/>
      <c r="E594" s="14"/>
      <c r="F594" s="14"/>
    </row>
    <row r="595">
      <c r="A595" s="14"/>
      <c r="B595" s="14"/>
      <c r="C595" s="14"/>
      <c r="D595" s="14"/>
      <c r="E595" s="14"/>
      <c r="F595" s="14"/>
    </row>
    <row r="596">
      <c r="A596" s="14"/>
      <c r="B596" s="14"/>
      <c r="C596" s="14"/>
      <c r="D596" s="14"/>
      <c r="E596" s="14"/>
      <c r="F596" s="14"/>
    </row>
    <row r="597">
      <c r="A597" s="14"/>
      <c r="B597" s="14"/>
      <c r="C597" s="14"/>
      <c r="D597" s="14"/>
      <c r="E597" s="14"/>
      <c r="F597" s="14"/>
    </row>
    <row r="598">
      <c r="A598" s="14"/>
      <c r="B598" s="14"/>
      <c r="C598" s="14"/>
      <c r="D598" s="14"/>
      <c r="E598" s="14"/>
      <c r="F598" s="14"/>
    </row>
    <row r="599">
      <c r="A599" s="14"/>
      <c r="B599" s="14"/>
      <c r="C599" s="14"/>
      <c r="D599" s="14"/>
      <c r="E599" s="14"/>
      <c r="F599" s="14"/>
    </row>
    <row r="600">
      <c r="A600" s="14"/>
      <c r="B600" s="14"/>
      <c r="C600" s="14"/>
      <c r="D600" s="14"/>
      <c r="E600" s="14"/>
      <c r="F600" s="14"/>
    </row>
    <row r="601">
      <c r="A601" s="14"/>
      <c r="B601" s="14"/>
      <c r="C601" s="14"/>
      <c r="D601" s="14"/>
      <c r="E601" s="14"/>
      <c r="F601" s="14"/>
    </row>
    <row r="602">
      <c r="A602" s="14"/>
      <c r="B602" s="14"/>
      <c r="C602" s="14"/>
      <c r="D602" s="14"/>
      <c r="E602" s="14"/>
      <c r="F602" s="14"/>
    </row>
    <row r="603">
      <c r="A603" s="14"/>
      <c r="B603" s="14"/>
      <c r="C603" s="14"/>
      <c r="D603" s="14"/>
      <c r="E603" s="14"/>
      <c r="F603" s="14"/>
    </row>
    <row r="604">
      <c r="A604" s="14"/>
      <c r="B604" s="14"/>
      <c r="C604" s="14"/>
      <c r="D604" s="14"/>
      <c r="E604" s="14"/>
      <c r="F604" s="14"/>
    </row>
    <row r="605">
      <c r="A605" s="14"/>
      <c r="B605" s="14"/>
      <c r="C605" s="14"/>
      <c r="D605" s="14"/>
      <c r="E605" s="14"/>
      <c r="F605" s="14"/>
    </row>
    <row r="606">
      <c r="A606" s="14"/>
      <c r="B606" s="14"/>
      <c r="C606" s="14"/>
      <c r="D606" s="14"/>
      <c r="E606" s="14"/>
      <c r="F606" s="14"/>
    </row>
    <row r="607">
      <c r="A607" s="14"/>
      <c r="B607" s="14"/>
      <c r="C607" s="14"/>
      <c r="D607" s="14"/>
      <c r="E607" s="14"/>
      <c r="F607" s="14"/>
    </row>
    <row r="608">
      <c r="A608" s="14"/>
      <c r="B608" s="14"/>
      <c r="C608" s="14"/>
      <c r="D608" s="14"/>
      <c r="E608" s="14"/>
      <c r="F608" s="14"/>
    </row>
    <row r="609">
      <c r="A609" s="14"/>
      <c r="B609" s="14"/>
      <c r="C609" s="14"/>
      <c r="D609" s="14"/>
      <c r="E609" s="14"/>
      <c r="F609" s="14"/>
    </row>
    <row r="610">
      <c r="A610" s="14"/>
      <c r="B610" s="14"/>
      <c r="C610" s="14"/>
      <c r="D610" s="14"/>
      <c r="E610" s="14"/>
      <c r="F610" s="14"/>
    </row>
    <row r="611">
      <c r="A611" s="14"/>
      <c r="B611" s="14"/>
      <c r="C611" s="14"/>
      <c r="D611" s="14"/>
      <c r="E611" s="14"/>
      <c r="F611" s="14"/>
    </row>
    <row r="612">
      <c r="A612" s="14"/>
      <c r="B612" s="14"/>
      <c r="C612" s="14"/>
      <c r="D612" s="14"/>
      <c r="E612" s="14"/>
      <c r="F612" s="14"/>
    </row>
    <row r="613">
      <c r="A613" s="14"/>
      <c r="B613" s="14"/>
      <c r="C613" s="14"/>
      <c r="D613" s="14"/>
      <c r="E613" s="14"/>
      <c r="F613" s="14"/>
    </row>
    <row r="614">
      <c r="A614" s="14"/>
      <c r="B614" s="14"/>
      <c r="C614" s="14"/>
      <c r="D614" s="14"/>
      <c r="E614" s="14"/>
      <c r="F614" s="14"/>
    </row>
    <row r="615">
      <c r="A615" s="14"/>
      <c r="B615" s="14"/>
      <c r="C615" s="14"/>
      <c r="D615" s="14"/>
      <c r="E615" s="14"/>
      <c r="F615" s="14"/>
    </row>
    <row r="616">
      <c r="A616" s="14"/>
      <c r="B616" s="14"/>
      <c r="C616" s="14"/>
      <c r="D616" s="14"/>
      <c r="E616" s="14"/>
      <c r="F616" s="14"/>
    </row>
    <row r="617">
      <c r="A617" s="14"/>
      <c r="B617" s="14"/>
      <c r="C617" s="14"/>
      <c r="D617" s="14"/>
      <c r="E617" s="14"/>
      <c r="F617" s="14"/>
    </row>
    <row r="618">
      <c r="A618" s="14"/>
      <c r="B618" s="14"/>
      <c r="C618" s="14"/>
      <c r="D618" s="14"/>
      <c r="E618" s="14"/>
      <c r="F618" s="14"/>
    </row>
    <row r="619">
      <c r="A619" s="14"/>
      <c r="B619" s="14"/>
      <c r="C619" s="14"/>
      <c r="D619" s="14"/>
      <c r="E619" s="14"/>
      <c r="F619" s="14"/>
    </row>
    <row r="620">
      <c r="A620" s="14"/>
      <c r="B620" s="14"/>
      <c r="C620" s="14"/>
      <c r="D620" s="14"/>
      <c r="E620" s="14"/>
      <c r="F620" s="14"/>
    </row>
    <row r="621">
      <c r="A621" s="14"/>
      <c r="B621" s="14"/>
      <c r="C621" s="14"/>
      <c r="D621" s="14"/>
      <c r="E621" s="14"/>
      <c r="F621" s="14"/>
    </row>
    <row r="622">
      <c r="A622" s="14"/>
      <c r="B622" s="14"/>
      <c r="C622" s="14"/>
      <c r="D622" s="14"/>
      <c r="E622" s="14"/>
      <c r="F622" s="14"/>
    </row>
    <row r="623">
      <c r="A623" s="14"/>
      <c r="B623" s="14"/>
      <c r="C623" s="14"/>
      <c r="D623" s="14"/>
      <c r="E623" s="14"/>
      <c r="F623" s="14"/>
    </row>
    <row r="624">
      <c r="A624" s="14"/>
      <c r="B624" s="14"/>
      <c r="C624" s="14"/>
      <c r="D624" s="14"/>
      <c r="E624" s="14"/>
      <c r="F624" s="14"/>
    </row>
    <row r="625">
      <c r="A625" s="14"/>
      <c r="B625" s="14"/>
      <c r="C625" s="14"/>
      <c r="D625" s="14"/>
      <c r="E625" s="14"/>
      <c r="F625" s="14"/>
    </row>
    <row r="626">
      <c r="A626" s="14"/>
      <c r="B626" s="14"/>
      <c r="C626" s="14"/>
      <c r="D626" s="14"/>
      <c r="E626" s="14"/>
      <c r="F626" s="14"/>
    </row>
    <row r="627">
      <c r="A627" s="14"/>
      <c r="B627" s="14"/>
      <c r="C627" s="14"/>
      <c r="D627" s="14"/>
      <c r="E627" s="14"/>
      <c r="F627" s="14"/>
    </row>
    <row r="628">
      <c r="A628" s="14"/>
      <c r="B628" s="14"/>
      <c r="C628" s="14"/>
      <c r="D628" s="14"/>
      <c r="E628" s="14"/>
      <c r="F628" s="14"/>
    </row>
    <row r="629">
      <c r="A629" s="14"/>
      <c r="B629" s="14"/>
      <c r="C629" s="14"/>
      <c r="D629" s="14"/>
      <c r="E629" s="14"/>
      <c r="F629" s="14"/>
    </row>
    <row r="630">
      <c r="A630" s="14"/>
      <c r="B630" s="14"/>
      <c r="C630" s="14"/>
      <c r="D630" s="14"/>
      <c r="E630" s="14"/>
      <c r="F630" s="14"/>
    </row>
    <row r="631">
      <c r="A631" s="14"/>
      <c r="B631" s="14"/>
      <c r="C631" s="14"/>
      <c r="D631" s="14"/>
      <c r="E631" s="14"/>
      <c r="F631" s="14"/>
    </row>
    <row r="632">
      <c r="A632" s="14"/>
      <c r="B632" s="14"/>
      <c r="C632" s="14"/>
      <c r="D632" s="14"/>
      <c r="E632" s="14"/>
      <c r="F632" s="14"/>
    </row>
    <row r="633">
      <c r="A633" s="14"/>
      <c r="B633" s="14"/>
      <c r="C633" s="14"/>
      <c r="D633" s="14"/>
      <c r="E633" s="14"/>
      <c r="F633" s="14"/>
    </row>
    <row r="634">
      <c r="A634" s="14"/>
      <c r="B634" s="14"/>
      <c r="C634" s="14"/>
      <c r="D634" s="14"/>
      <c r="E634" s="14"/>
      <c r="F634" s="14"/>
    </row>
    <row r="635">
      <c r="A635" s="14"/>
      <c r="B635" s="14"/>
      <c r="C635" s="14"/>
      <c r="D635" s="14"/>
      <c r="E635" s="14"/>
      <c r="F635" s="14"/>
    </row>
    <row r="636">
      <c r="A636" s="14"/>
      <c r="B636" s="14"/>
      <c r="C636" s="14"/>
      <c r="D636" s="14"/>
      <c r="E636" s="14"/>
      <c r="F636" s="14"/>
    </row>
    <row r="637">
      <c r="A637" s="14"/>
      <c r="B637" s="14"/>
      <c r="C637" s="14"/>
      <c r="D637" s="14"/>
      <c r="E637" s="14"/>
      <c r="F637" s="14"/>
    </row>
    <row r="638">
      <c r="A638" s="14"/>
      <c r="B638" s="14"/>
      <c r="C638" s="14"/>
      <c r="D638" s="14"/>
      <c r="E638" s="14"/>
      <c r="F638" s="14"/>
    </row>
    <row r="639">
      <c r="A639" s="14"/>
      <c r="B639" s="14"/>
      <c r="C639" s="14"/>
      <c r="D639" s="14"/>
      <c r="E639" s="14"/>
      <c r="F639" s="14"/>
    </row>
    <row r="640">
      <c r="A640" s="14"/>
      <c r="B640" s="14"/>
      <c r="C640" s="14"/>
      <c r="D640" s="14"/>
      <c r="E640" s="14"/>
      <c r="F640" s="14"/>
    </row>
    <row r="641">
      <c r="A641" s="14"/>
      <c r="B641" s="14"/>
      <c r="C641" s="14"/>
      <c r="D641" s="14"/>
      <c r="E641" s="14"/>
      <c r="F641" s="14"/>
    </row>
    <row r="642">
      <c r="A642" s="14"/>
      <c r="B642" s="14"/>
      <c r="C642" s="14"/>
      <c r="D642" s="14"/>
      <c r="E642" s="14"/>
      <c r="F642" s="14"/>
    </row>
    <row r="643">
      <c r="A643" s="14"/>
      <c r="B643" s="14"/>
      <c r="C643" s="14"/>
      <c r="D643" s="14"/>
      <c r="E643" s="14"/>
      <c r="F643" s="14"/>
    </row>
    <row r="644">
      <c r="A644" s="14"/>
      <c r="B644" s="14"/>
      <c r="C644" s="14"/>
      <c r="D644" s="14"/>
      <c r="E644" s="14"/>
      <c r="F644" s="14"/>
    </row>
    <row r="645">
      <c r="A645" s="14"/>
      <c r="B645" s="14"/>
      <c r="C645" s="14"/>
      <c r="D645" s="14"/>
      <c r="E645" s="14"/>
      <c r="F645" s="14"/>
    </row>
    <row r="646">
      <c r="A646" s="14"/>
      <c r="B646" s="14"/>
      <c r="C646" s="14"/>
      <c r="D646" s="14"/>
      <c r="E646" s="14"/>
      <c r="F646" s="14"/>
    </row>
    <row r="647">
      <c r="A647" s="14"/>
      <c r="B647" s="14"/>
      <c r="C647" s="14"/>
      <c r="D647" s="14"/>
      <c r="E647" s="14"/>
      <c r="F647" s="14"/>
    </row>
    <row r="648">
      <c r="A648" s="14"/>
      <c r="B648" s="14"/>
      <c r="C648" s="14"/>
      <c r="D648" s="14"/>
      <c r="E648" s="14"/>
      <c r="F648" s="14"/>
    </row>
    <row r="649">
      <c r="A649" s="14"/>
      <c r="B649" s="14"/>
      <c r="C649" s="14"/>
      <c r="D649" s="14"/>
      <c r="E649" s="14"/>
      <c r="F649" s="14"/>
    </row>
    <row r="650">
      <c r="A650" s="14"/>
      <c r="B650" s="14"/>
      <c r="C650" s="14"/>
      <c r="D650" s="14"/>
      <c r="E650" s="14"/>
      <c r="F650" s="14"/>
    </row>
    <row r="651">
      <c r="A651" s="14"/>
      <c r="B651" s="14"/>
      <c r="C651" s="14"/>
      <c r="D651" s="14"/>
      <c r="E651" s="14"/>
      <c r="F651" s="14"/>
    </row>
    <row r="652">
      <c r="A652" s="14"/>
      <c r="B652" s="14"/>
      <c r="C652" s="14"/>
      <c r="D652" s="14"/>
      <c r="E652" s="14"/>
      <c r="F652" s="14"/>
    </row>
    <row r="653">
      <c r="A653" s="14"/>
      <c r="B653" s="14"/>
      <c r="C653" s="14"/>
      <c r="D653" s="14"/>
      <c r="E653" s="14"/>
      <c r="F653" s="14"/>
    </row>
    <row r="654">
      <c r="A654" s="14"/>
      <c r="B654" s="14"/>
      <c r="C654" s="14"/>
      <c r="D654" s="14"/>
      <c r="E654" s="14"/>
      <c r="F654" s="14"/>
    </row>
    <row r="655">
      <c r="A655" s="14"/>
      <c r="B655" s="14"/>
      <c r="C655" s="14"/>
      <c r="D655" s="14"/>
      <c r="E655" s="14"/>
      <c r="F655" s="14"/>
    </row>
    <row r="656">
      <c r="A656" s="14"/>
      <c r="B656" s="14"/>
      <c r="C656" s="14"/>
      <c r="D656" s="14"/>
      <c r="E656" s="14"/>
      <c r="F656" s="14"/>
    </row>
    <row r="657">
      <c r="A657" s="14"/>
      <c r="B657" s="14"/>
      <c r="C657" s="14"/>
      <c r="D657" s="14"/>
      <c r="E657" s="14"/>
      <c r="F657" s="14"/>
    </row>
    <row r="658">
      <c r="A658" s="14"/>
      <c r="B658" s="14"/>
      <c r="C658" s="14"/>
      <c r="D658" s="14"/>
      <c r="E658" s="14"/>
      <c r="F658" s="14"/>
    </row>
    <row r="659">
      <c r="A659" s="14"/>
      <c r="B659" s="14"/>
      <c r="C659" s="14"/>
      <c r="D659" s="14"/>
      <c r="E659" s="14"/>
      <c r="F659" s="14"/>
    </row>
    <row r="660">
      <c r="A660" s="14"/>
      <c r="B660" s="14"/>
      <c r="C660" s="14"/>
      <c r="D660" s="14"/>
      <c r="E660" s="14"/>
      <c r="F660" s="14"/>
    </row>
    <row r="661">
      <c r="A661" s="14"/>
      <c r="B661" s="14"/>
      <c r="C661" s="14"/>
      <c r="D661" s="14"/>
      <c r="E661" s="14"/>
      <c r="F661" s="14"/>
    </row>
    <row r="662">
      <c r="A662" s="14"/>
      <c r="B662" s="14"/>
      <c r="C662" s="14"/>
      <c r="D662" s="14"/>
      <c r="E662" s="14"/>
      <c r="F662" s="14"/>
    </row>
    <row r="663">
      <c r="A663" s="14"/>
      <c r="B663" s="14"/>
      <c r="C663" s="14"/>
      <c r="D663" s="14"/>
      <c r="E663" s="14"/>
      <c r="F663" s="14"/>
    </row>
    <row r="664">
      <c r="A664" s="14"/>
      <c r="B664" s="14"/>
      <c r="C664" s="14"/>
      <c r="D664" s="14"/>
      <c r="E664" s="14"/>
      <c r="F664" s="14"/>
    </row>
    <row r="665">
      <c r="A665" s="14"/>
      <c r="B665" s="14"/>
      <c r="C665" s="14"/>
      <c r="D665" s="14"/>
      <c r="E665" s="14"/>
      <c r="F665" s="14"/>
    </row>
    <row r="666">
      <c r="A666" s="14"/>
      <c r="B666" s="14"/>
      <c r="C666" s="14"/>
      <c r="D666" s="14"/>
      <c r="E666" s="14"/>
      <c r="F666" s="14"/>
    </row>
    <row r="667">
      <c r="A667" s="14"/>
      <c r="B667" s="14"/>
      <c r="C667" s="14"/>
      <c r="D667" s="14"/>
      <c r="E667" s="14"/>
      <c r="F667" s="14"/>
    </row>
    <row r="668">
      <c r="A668" s="14"/>
      <c r="B668" s="14"/>
      <c r="C668" s="14"/>
      <c r="D668" s="14"/>
      <c r="E668" s="14"/>
      <c r="F668" s="14"/>
    </row>
    <row r="669">
      <c r="A669" s="14"/>
      <c r="B669" s="14"/>
      <c r="C669" s="14"/>
      <c r="D669" s="14"/>
      <c r="E669" s="14"/>
      <c r="F669" s="14"/>
    </row>
    <row r="670">
      <c r="A670" s="14"/>
      <c r="B670" s="14"/>
      <c r="C670" s="14"/>
      <c r="D670" s="14"/>
      <c r="E670" s="14"/>
      <c r="F670" s="14"/>
    </row>
    <row r="671">
      <c r="A671" s="14"/>
      <c r="B671" s="14"/>
      <c r="C671" s="14"/>
      <c r="D671" s="14"/>
      <c r="E671" s="14"/>
      <c r="F671" s="14"/>
    </row>
    <row r="672">
      <c r="A672" s="14"/>
      <c r="B672" s="14"/>
      <c r="C672" s="14"/>
      <c r="D672" s="14"/>
      <c r="E672" s="14"/>
      <c r="F672" s="14"/>
    </row>
    <row r="673">
      <c r="A673" s="14"/>
      <c r="B673" s="14"/>
      <c r="C673" s="14"/>
      <c r="D673" s="14"/>
      <c r="E673" s="14"/>
      <c r="F673" s="14"/>
    </row>
    <row r="674">
      <c r="A674" s="14"/>
      <c r="B674" s="14"/>
      <c r="C674" s="14"/>
      <c r="D674" s="14"/>
      <c r="E674" s="14"/>
      <c r="F674" s="14"/>
    </row>
    <row r="675">
      <c r="A675" s="14"/>
      <c r="B675" s="14"/>
      <c r="C675" s="14"/>
      <c r="D675" s="14"/>
      <c r="E675" s="14"/>
      <c r="F675" s="14"/>
    </row>
    <row r="676">
      <c r="A676" s="14"/>
      <c r="B676" s="14"/>
      <c r="C676" s="14"/>
      <c r="D676" s="14"/>
      <c r="E676" s="14"/>
      <c r="F676" s="14"/>
    </row>
    <row r="677">
      <c r="A677" s="14"/>
      <c r="B677" s="14"/>
      <c r="C677" s="14"/>
      <c r="D677" s="14"/>
      <c r="E677" s="14"/>
      <c r="F677" s="14"/>
    </row>
    <row r="678">
      <c r="A678" s="14"/>
      <c r="B678" s="14"/>
      <c r="C678" s="14"/>
      <c r="D678" s="14"/>
      <c r="E678" s="14"/>
      <c r="F678" s="14"/>
    </row>
    <row r="679">
      <c r="A679" s="14"/>
      <c r="B679" s="14"/>
      <c r="C679" s="14"/>
      <c r="D679" s="14"/>
      <c r="E679" s="14"/>
      <c r="F679" s="14"/>
    </row>
    <row r="680">
      <c r="A680" s="14"/>
      <c r="B680" s="14"/>
      <c r="C680" s="14"/>
      <c r="D680" s="14"/>
      <c r="E680" s="14"/>
      <c r="F680" s="14"/>
    </row>
    <row r="681">
      <c r="A681" s="14"/>
      <c r="B681" s="14"/>
      <c r="C681" s="14"/>
      <c r="D681" s="14"/>
      <c r="E681" s="14"/>
      <c r="F681" s="14"/>
    </row>
    <row r="682">
      <c r="A682" s="14"/>
      <c r="B682" s="14"/>
      <c r="C682" s="14"/>
      <c r="D682" s="14"/>
      <c r="E682" s="14"/>
      <c r="F682" s="14"/>
    </row>
    <row r="683">
      <c r="A683" s="14"/>
      <c r="B683" s="14"/>
      <c r="C683" s="14"/>
      <c r="D683" s="14"/>
      <c r="E683" s="14"/>
      <c r="F683" s="14"/>
    </row>
    <row r="684">
      <c r="A684" s="14"/>
      <c r="B684" s="14"/>
      <c r="C684" s="14"/>
      <c r="D684" s="14"/>
      <c r="E684" s="14"/>
      <c r="F684" s="14"/>
    </row>
    <row r="685">
      <c r="A685" s="14"/>
      <c r="B685" s="14"/>
      <c r="C685" s="14"/>
      <c r="D685" s="14"/>
      <c r="E685" s="14"/>
      <c r="F685" s="14"/>
    </row>
    <row r="686">
      <c r="A686" s="14"/>
      <c r="B686" s="14"/>
      <c r="C686" s="14"/>
      <c r="D686" s="14"/>
      <c r="E686" s="14"/>
      <c r="F686" s="14"/>
    </row>
    <row r="687">
      <c r="A687" s="14"/>
      <c r="B687" s="14"/>
      <c r="C687" s="14"/>
      <c r="D687" s="14"/>
      <c r="E687" s="14"/>
      <c r="F687" s="14"/>
    </row>
    <row r="688">
      <c r="A688" s="14"/>
      <c r="B688" s="14"/>
      <c r="C688" s="14"/>
      <c r="D688" s="14"/>
      <c r="E688" s="14"/>
      <c r="F688" s="14"/>
    </row>
    <row r="689">
      <c r="A689" s="14"/>
      <c r="B689" s="14"/>
      <c r="C689" s="14"/>
      <c r="D689" s="14"/>
      <c r="E689" s="14"/>
      <c r="F689" s="14"/>
    </row>
    <row r="690">
      <c r="A690" s="14"/>
      <c r="B690" s="14"/>
      <c r="C690" s="14"/>
      <c r="D690" s="14"/>
      <c r="E690" s="14"/>
      <c r="F690" s="14"/>
    </row>
    <row r="691">
      <c r="A691" s="14"/>
      <c r="B691" s="14"/>
      <c r="C691" s="14"/>
      <c r="D691" s="14"/>
      <c r="E691" s="14"/>
      <c r="F691" s="14"/>
    </row>
    <row r="692">
      <c r="A692" s="14"/>
      <c r="B692" s="14"/>
      <c r="C692" s="14"/>
      <c r="D692" s="14"/>
      <c r="E692" s="14"/>
      <c r="F692" s="14"/>
    </row>
    <row r="693">
      <c r="A693" s="14"/>
      <c r="B693" s="14"/>
      <c r="C693" s="14"/>
      <c r="D693" s="14"/>
      <c r="E693" s="14"/>
      <c r="F693" s="14"/>
    </row>
    <row r="694">
      <c r="A694" s="14"/>
      <c r="B694" s="14"/>
      <c r="C694" s="14"/>
      <c r="D694" s="14"/>
      <c r="E694" s="14"/>
      <c r="F694" s="14"/>
    </row>
    <row r="695">
      <c r="A695" s="14"/>
      <c r="B695" s="14"/>
      <c r="C695" s="14"/>
      <c r="D695" s="14"/>
      <c r="E695" s="14"/>
      <c r="F695" s="14"/>
    </row>
    <row r="696">
      <c r="A696" s="14"/>
      <c r="B696" s="14"/>
      <c r="C696" s="14"/>
      <c r="D696" s="14"/>
      <c r="E696" s="14"/>
      <c r="F696" s="14"/>
    </row>
    <row r="697">
      <c r="A697" s="14"/>
      <c r="B697" s="14"/>
      <c r="C697" s="14"/>
      <c r="D697" s="14"/>
      <c r="E697" s="14"/>
      <c r="F697" s="14"/>
    </row>
    <row r="698">
      <c r="A698" s="14"/>
      <c r="B698" s="14"/>
      <c r="C698" s="14"/>
      <c r="D698" s="14"/>
      <c r="E698" s="14"/>
      <c r="F698" s="14"/>
    </row>
    <row r="699">
      <c r="A699" s="14"/>
      <c r="B699" s="14"/>
      <c r="C699" s="14"/>
      <c r="D699" s="14"/>
      <c r="E699" s="14"/>
      <c r="F699" s="14"/>
    </row>
    <row r="700">
      <c r="A700" s="14"/>
      <c r="B700" s="14"/>
      <c r="C700" s="14"/>
      <c r="D700" s="14"/>
      <c r="E700" s="14"/>
      <c r="F700" s="14"/>
    </row>
    <row r="701">
      <c r="A701" s="14"/>
      <c r="B701" s="14"/>
      <c r="C701" s="14"/>
      <c r="D701" s="14"/>
      <c r="E701" s="14"/>
      <c r="F701" s="14"/>
    </row>
    <row r="702">
      <c r="A702" s="14"/>
      <c r="B702" s="14"/>
      <c r="C702" s="14"/>
      <c r="D702" s="14"/>
      <c r="E702" s="14"/>
      <c r="F702" s="14"/>
    </row>
    <row r="703">
      <c r="A703" s="14"/>
      <c r="B703" s="14"/>
      <c r="C703" s="14"/>
      <c r="D703" s="14"/>
      <c r="E703" s="14"/>
      <c r="F703" s="14"/>
    </row>
    <row r="704">
      <c r="A704" s="14"/>
      <c r="B704" s="14"/>
      <c r="C704" s="14"/>
      <c r="D704" s="14"/>
      <c r="E704" s="14"/>
      <c r="F704" s="14"/>
    </row>
    <row r="705">
      <c r="A705" s="14"/>
      <c r="B705" s="14"/>
      <c r="C705" s="14"/>
      <c r="D705" s="14"/>
      <c r="E705" s="14"/>
      <c r="F705" s="14"/>
    </row>
    <row r="706">
      <c r="A706" s="14"/>
      <c r="B706" s="14"/>
      <c r="C706" s="14"/>
      <c r="D706" s="14"/>
      <c r="E706" s="14"/>
      <c r="F706" s="14"/>
    </row>
    <row r="707">
      <c r="A707" s="14"/>
      <c r="B707" s="14"/>
      <c r="C707" s="14"/>
      <c r="D707" s="14"/>
      <c r="E707" s="14"/>
      <c r="F707" s="14"/>
    </row>
    <row r="708">
      <c r="A708" s="14"/>
      <c r="B708" s="14"/>
      <c r="C708" s="14"/>
      <c r="D708" s="14"/>
      <c r="E708" s="14"/>
      <c r="F708" s="14"/>
    </row>
    <row r="709">
      <c r="A709" s="14"/>
      <c r="B709" s="14"/>
      <c r="C709" s="14"/>
      <c r="D709" s="14"/>
      <c r="E709" s="14"/>
      <c r="F709" s="14"/>
    </row>
    <row r="710">
      <c r="A710" s="14"/>
      <c r="B710" s="14"/>
      <c r="C710" s="14"/>
      <c r="D710" s="14"/>
      <c r="E710" s="14"/>
      <c r="F710" s="14"/>
    </row>
    <row r="711">
      <c r="A711" s="14"/>
      <c r="B711" s="14"/>
      <c r="C711" s="14"/>
      <c r="D711" s="14"/>
      <c r="E711" s="14"/>
      <c r="F711" s="14"/>
    </row>
    <row r="712">
      <c r="A712" s="14"/>
      <c r="B712" s="14"/>
      <c r="C712" s="14"/>
      <c r="D712" s="14"/>
      <c r="E712" s="14"/>
      <c r="F712" s="14"/>
    </row>
    <row r="713">
      <c r="A713" s="14"/>
      <c r="B713" s="14"/>
      <c r="C713" s="14"/>
      <c r="D713" s="14"/>
      <c r="E713" s="14"/>
      <c r="F713" s="14"/>
    </row>
    <row r="714">
      <c r="A714" s="14"/>
      <c r="B714" s="14"/>
      <c r="C714" s="14"/>
      <c r="D714" s="14"/>
      <c r="E714" s="14"/>
      <c r="F714" s="14"/>
    </row>
    <row r="715">
      <c r="A715" s="14"/>
      <c r="B715" s="14"/>
      <c r="C715" s="14"/>
      <c r="D715" s="14"/>
      <c r="E715" s="14"/>
      <c r="F715" s="14"/>
    </row>
    <row r="716">
      <c r="A716" s="14"/>
      <c r="B716" s="14"/>
      <c r="C716" s="14"/>
      <c r="D716" s="14"/>
      <c r="E716" s="14"/>
      <c r="F716" s="14"/>
    </row>
    <row r="717">
      <c r="A717" s="14"/>
      <c r="B717" s="14"/>
      <c r="C717" s="14"/>
      <c r="D717" s="14"/>
      <c r="E717" s="14"/>
      <c r="F717" s="14"/>
    </row>
    <row r="718">
      <c r="A718" s="14"/>
      <c r="B718" s="14"/>
      <c r="C718" s="14"/>
      <c r="D718" s="14"/>
      <c r="E718" s="14"/>
      <c r="F718" s="14"/>
    </row>
    <row r="719">
      <c r="A719" s="14"/>
      <c r="B719" s="14"/>
      <c r="C719" s="14"/>
      <c r="D719" s="14"/>
      <c r="E719" s="14"/>
      <c r="F719" s="14"/>
    </row>
    <row r="720">
      <c r="A720" s="14"/>
      <c r="B720" s="14"/>
      <c r="C720" s="14"/>
      <c r="D720" s="14"/>
      <c r="E720" s="14"/>
      <c r="F720" s="14"/>
    </row>
    <row r="721">
      <c r="A721" s="14"/>
      <c r="B721" s="14"/>
      <c r="C721" s="14"/>
      <c r="D721" s="14"/>
      <c r="E721" s="14"/>
      <c r="F721" s="14"/>
    </row>
    <row r="722">
      <c r="A722" s="14"/>
      <c r="B722" s="14"/>
      <c r="C722" s="14"/>
      <c r="D722" s="14"/>
      <c r="E722" s="14"/>
      <c r="F722" s="14"/>
    </row>
    <row r="723">
      <c r="A723" s="14"/>
      <c r="B723" s="14"/>
      <c r="C723" s="14"/>
      <c r="D723" s="14"/>
      <c r="E723" s="14"/>
      <c r="F723" s="14"/>
    </row>
    <row r="724">
      <c r="A724" s="14"/>
      <c r="B724" s="14"/>
      <c r="C724" s="14"/>
      <c r="D724" s="14"/>
      <c r="E724" s="14"/>
      <c r="F724" s="14"/>
    </row>
    <row r="725">
      <c r="A725" s="14"/>
      <c r="B725" s="14"/>
      <c r="C725" s="14"/>
      <c r="D725" s="14"/>
      <c r="E725" s="14"/>
      <c r="F725" s="14"/>
    </row>
    <row r="726">
      <c r="A726" s="14"/>
      <c r="B726" s="14"/>
      <c r="C726" s="14"/>
      <c r="D726" s="14"/>
      <c r="E726" s="14"/>
      <c r="F726" s="14"/>
    </row>
    <row r="727">
      <c r="A727" s="14"/>
      <c r="B727" s="14"/>
      <c r="C727" s="14"/>
      <c r="D727" s="14"/>
      <c r="E727" s="14"/>
      <c r="F727" s="14"/>
    </row>
    <row r="728">
      <c r="A728" s="14"/>
      <c r="B728" s="14"/>
      <c r="C728" s="14"/>
      <c r="D728" s="14"/>
      <c r="E728" s="14"/>
      <c r="F728" s="14"/>
    </row>
    <row r="729">
      <c r="A729" s="14"/>
      <c r="B729" s="14"/>
      <c r="C729" s="14"/>
      <c r="D729" s="14"/>
      <c r="E729" s="14"/>
      <c r="F729" s="14"/>
    </row>
    <row r="730">
      <c r="A730" s="14"/>
      <c r="B730" s="14"/>
      <c r="C730" s="14"/>
      <c r="D730" s="14"/>
      <c r="E730" s="14"/>
      <c r="F730" s="14"/>
    </row>
    <row r="731">
      <c r="A731" s="14"/>
      <c r="B731" s="14"/>
      <c r="C731" s="14"/>
      <c r="D731" s="14"/>
      <c r="E731" s="14"/>
      <c r="F731" s="14"/>
    </row>
    <row r="732">
      <c r="A732" s="14"/>
      <c r="B732" s="14"/>
      <c r="C732" s="14"/>
      <c r="D732" s="14"/>
      <c r="E732" s="14"/>
      <c r="F732" s="14"/>
    </row>
    <row r="733">
      <c r="A733" s="14"/>
      <c r="B733" s="14"/>
      <c r="C733" s="14"/>
      <c r="D733" s="14"/>
      <c r="E733" s="14"/>
      <c r="F733" s="14"/>
    </row>
    <row r="734">
      <c r="A734" s="14"/>
      <c r="B734" s="14"/>
      <c r="C734" s="14"/>
      <c r="D734" s="14"/>
      <c r="E734" s="14"/>
      <c r="F734" s="14"/>
    </row>
    <row r="735">
      <c r="A735" s="14"/>
      <c r="B735" s="14"/>
      <c r="C735" s="14"/>
      <c r="D735" s="14"/>
      <c r="E735" s="14"/>
      <c r="F735" s="14"/>
    </row>
    <row r="736">
      <c r="A736" s="14"/>
      <c r="B736" s="14"/>
      <c r="C736" s="14"/>
      <c r="D736" s="14"/>
      <c r="E736" s="14"/>
      <c r="F736" s="14"/>
    </row>
    <row r="737">
      <c r="A737" s="14"/>
      <c r="B737" s="14"/>
      <c r="C737" s="14"/>
      <c r="D737" s="14"/>
      <c r="E737" s="14"/>
      <c r="F737" s="14"/>
    </row>
    <row r="738">
      <c r="A738" s="14"/>
      <c r="B738" s="14"/>
      <c r="C738" s="14"/>
      <c r="D738" s="14"/>
      <c r="E738" s="14"/>
      <c r="F738" s="14"/>
    </row>
    <row r="739">
      <c r="A739" s="14"/>
      <c r="B739" s="14"/>
      <c r="C739" s="14"/>
      <c r="D739" s="14"/>
      <c r="E739" s="14"/>
      <c r="F739" s="14"/>
    </row>
    <row r="740">
      <c r="A740" s="14"/>
      <c r="B740" s="14"/>
      <c r="C740" s="14"/>
      <c r="D740" s="14"/>
      <c r="E740" s="14"/>
      <c r="F740" s="14"/>
    </row>
    <row r="741">
      <c r="A741" s="14"/>
      <c r="B741" s="14"/>
      <c r="C741" s="14"/>
      <c r="D741" s="14"/>
      <c r="E741" s="14"/>
      <c r="F741" s="14"/>
    </row>
    <row r="742">
      <c r="A742" s="14"/>
      <c r="B742" s="14"/>
      <c r="C742" s="14"/>
      <c r="D742" s="14"/>
      <c r="E742" s="14"/>
      <c r="F742" s="14"/>
    </row>
    <row r="743">
      <c r="A743" s="14"/>
      <c r="B743" s="14"/>
      <c r="C743" s="14"/>
      <c r="D743" s="14"/>
      <c r="E743" s="14"/>
      <c r="F743" s="14"/>
    </row>
    <row r="744">
      <c r="A744" s="14"/>
      <c r="B744" s="14"/>
      <c r="C744" s="14"/>
      <c r="D744" s="14"/>
      <c r="E744" s="14"/>
      <c r="F744" s="14"/>
    </row>
    <row r="745">
      <c r="A745" s="14"/>
      <c r="B745" s="14"/>
      <c r="C745" s="14"/>
      <c r="D745" s="14"/>
      <c r="E745" s="14"/>
      <c r="F745" s="14"/>
    </row>
    <row r="746">
      <c r="A746" s="14"/>
      <c r="B746" s="14"/>
      <c r="C746" s="14"/>
      <c r="D746" s="14"/>
      <c r="E746" s="14"/>
      <c r="F746" s="14"/>
    </row>
    <row r="747">
      <c r="A747" s="14"/>
      <c r="B747" s="14"/>
      <c r="C747" s="14"/>
      <c r="D747" s="14"/>
      <c r="E747" s="14"/>
      <c r="F747" s="14"/>
    </row>
    <row r="748">
      <c r="A748" s="14"/>
      <c r="B748" s="14"/>
      <c r="C748" s="14"/>
      <c r="D748" s="14"/>
      <c r="E748" s="14"/>
      <c r="F748" s="14"/>
    </row>
    <row r="749">
      <c r="A749" s="14"/>
      <c r="B749" s="14"/>
      <c r="C749" s="14"/>
      <c r="D749" s="14"/>
      <c r="E749" s="14"/>
      <c r="F749" s="14"/>
    </row>
    <row r="750">
      <c r="A750" s="14"/>
      <c r="B750" s="14"/>
      <c r="C750" s="14"/>
      <c r="D750" s="14"/>
      <c r="E750" s="14"/>
      <c r="F750" s="14"/>
    </row>
    <row r="751">
      <c r="A751" s="14"/>
      <c r="B751" s="14"/>
      <c r="C751" s="14"/>
      <c r="D751" s="14"/>
      <c r="E751" s="14"/>
      <c r="F751" s="14"/>
    </row>
    <row r="752">
      <c r="A752" s="14"/>
      <c r="B752" s="14"/>
      <c r="C752" s="14"/>
      <c r="D752" s="14"/>
      <c r="E752" s="14"/>
      <c r="F752" s="14"/>
    </row>
    <row r="753">
      <c r="A753" s="14"/>
      <c r="B753" s="14"/>
      <c r="C753" s="14"/>
      <c r="D753" s="14"/>
      <c r="E753" s="14"/>
      <c r="F753" s="14"/>
    </row>
    <row r="754">
      <c r="A754" s="14"/>
      <c r="B754" s="14"/>
      <c r="C754" s="14"/>
      <c r="D754" s="14"/>
      <c r="E754" s="14"/>
      <c r="F754" s="14"/>
    </row>
    <row r="755">
      <c r="A755" s="14"/>
      <c r="B755" s="14"/>
      <c r="C755" s="14"/>
      <c r="D755" s="14"/>
      <c r="E755" s="14"/>
      <c r="F755" s="14"/>
    </row>
    <row r="756">
      <c r="A756" s="14"/>
      <c r="B756" s="14"/>
      <c r="C756" s="14"/>
      <c r="D756" s="14"/>
      <c r="E756" s="14"/>
      <c r="F756" s="14"/>
    </row>
    <row r="757">
      <c r="A757" s="14"/>
      <c r="B757" s="14"/>
      <c r="C757" s="14"/>
      <c r="D757" s="14"/>
      <c r="E757" s="14"/>
      <c r="F757" s="14"/>
    </row>
    <row r="758">
      <c r="A758" s="14"/>
      <c r="B758" s="14"/>
      <c r="C758" s="14"/>
      <c r="D758" s="14"/>
      <c r="E758" s="14"/>
      <c r="F758" s="14"/>
    </row>
    <row r="759">
      <c r="A759" s="14"/>
      <c r="B759" s="14"/>
      <c r="C759" s="14"/>
      <c r="D759" s="14"/>
      <c r="E759" s="14"/>
      <c r="F759" s="14"/>
    </row>
    <row r="760">
      <c r="A760" s="14"/>
      <c r="B760" s="14"/>
      <c r="C760" s="14"/>
      <c r="D760" s="14"/>
      <c r="E760" s="14"/>
      <c r="F760" s="14"/>
    </row>
    <row r="761">
      <c r="A761" s="14"/>
      <c r="B761" s="14"/>
      <c r="C761" s="14"/>
      <c r="D761" s="14"/>
      <c r="E761" s="14"/>
      <c r="F761" s="14"/>
    </row>
    <row r="762">
      <c r="A762" s="14"/>
      <c r="B762" s="14"/>
      <c r="C762" s="14"/>
      <c r="D762" s="14"/>
      <c r="E762" s="14"/>
      <c r="F762" s="14"/>
    </row>
    <row r="763">
      <c r="A763" s="14"/>
      <c r="B763" s="14"/>
      <c r="C763" s="14"/>
      <c r="D763" s="14"/>
      <c r="E763" s="14"/>
      <c r="F763" s="14"/>
    </row>
    <row r="764">
      <c r="A764" s="14"/>
      <c r="B764" s="14"/>
      <c r="C764" s="14"/>
      <c r="D764" s="14"/>
      <c r="E764" s="14"/>
      <c r="F764" s="14"/>
    </row>
    <row r="765">
      <c r="A765" s="14"/>
      <c r="B765" s="14"/>
      <c r="C765" s="14"/>
      <c r="D765" s="14"/>
      <c r="E765" s="14"/>
      <c r="F765" s="14"/>
    </row>
    <row r="766">
      <c r="A766" s="14"/>
      <c r="B766" s="14"/>
      <c r="C766" s="14"/>
      <c r="D766" s="14"/>
      <c r="E766" s="14"/>
      <c r="F766" s="14"/>
    </row>
    <row r="767">
      <c r="A767" s="14"/>
      <c r="B767" s="14"/>
      <c r="C767" s="14"/>
      <c r="D767" s="14"/>
      <c r="E767" s="14"/>
      <c r="F767" s="14"/>
    </row>
    <row r="768">
      <c r="A768" s="14"/>
      <c r="B768" s="14"/>
      <c r="C768" s="14"/>
      <c r="D768" s="14"/>
      <c r="E768" s="14"/>
      <c r="F768" s="14"/>
    </row>
    <row r="769">
      <c r="A769" s="14"/>
      <c r="B769" s="14"/>
      <c r="C769" s="14"/>
      <c r="D769" s="14"/>
      <c r="E769" s="14"/>
      <c r="F769" s="14"/>
    </row>
    <row r="770">
      <c r="A770" s="14"/>
      <c r="B770" s="14"/>
      <c r="C770" s="14"/>
      <c r="D770" s="14"/>
      <c r="E770" s="14"/>
      <c r="F770" s="14"/>
    </row>
    <row r="771">
      <c r="A771" s="14"/>
      <c r="B771" s="14"/>
      <c r="C771" s="14"/>
      <c r="D771" s="14"/>
      <c r="E771" s="14"/>
      <c r="F771" s="14"/>
    </row>
    <row r="772">
      <c r="A772" s="14"/>
      <c r="B772" s="14"/>
      <c r="C772" s="14"/>
      <c r="D772" s="14"/>
      <c r="E772" s="14"/>
      <c r="F772" s="14"/>
    </row>
    <row r="773">
      <c r="A773" s="14"/>
      <c r="B773" s="14"/>
      <c r="C773" s="14"/>
      <c r="D773" s="14"/>
      <c r="E773" s="14"/>
      <c r="F773" s="14"/>
    </row>
    <row r="774">
      <c r="A774" s="14"/>
      <c r="B774" s="14"/>
      <c r="C774" s="14"/>
      <c r="D774" s="14"/>
      <c r="E774" s="14"/>
      <c r="F774" s="14"/>
    </row>
    <row r="775">
      <c r="A775" s="14"/>
      <c r="B775" s="14"/>
      <c r="C775" s="14"/>
      <c r="D775" s="14"/>
      <c r="E775" s="14"/>
      <c r="F775" s="14"/>
    </row>
    <row r="776">
      <c r="A776" s="14"/>
      <c r="B776" s="14"/>
      <c r="C776" s="14"/>
      <c r="D776" s="14"/>
      <c r="E776" s="14"/>
      <c r="F776" s="14"/>
    </row>
    <row r="777">
      <c r="A777" s="14"/>
      <c r="B777" s="14"/>
      <c r="C777" s="14"/>
      <c r="D777" s="14"/>
      <c r="E777" s="14"/>
      <c r="F777" s="14"/>
    </row>
    <row r="778">
      <c r="A778" s="14"/>
      <c r="B778" s="14"/>
      <c r="C778" s="14"/>
      <c r="D778" s="14"/>
      <c r="E778" s="14"/>
      <c r="F778" s="14"/>
    </row>
    <row r="779">
      <c r="A779" s="14"/>
      <c r="B779" s="14"/>
      <c r="C779" s="14"/>
      <c r="D779" s="14"/>
      <c r="E779" s="14"/>
      <c r="F779" s="14"/>
    </row>
    <row r="780">
      <c r="A780" s="14"/>
      <c r="B780" s="14"/>
      <c r="C780" s="14"/>
      <c r="D780" s="14"/>
      <c r="E780" s="14"/>
      <c r="F780" s="14"/>
    </row>
    <row r="781">
      <c r="A781" s="14"/>
      <c r="B781" s="14"/>
      <c r="C781" s="14"/>
      <c r="D781" s="14"/>
      <c r="E781" s="14"/>
      <c r="F781" s="14"/>
    </row>
    <row r="782">
      <c r="A782" s="14"/>
      <c r="B782" s="14"/>
      <c r="C782" s="14"/>
      <c r="D782" s="14"/>
      <c r="E782" s="14"/>
      <c r="F782" s="14"/>
    </row>
    <row r="783">
      <c r="A783" s="14"/>
      <c r="B783" s="14"/>
      <c r="C783" s="14"/>
      <c r="D783" s="14"/>
      <c r="E783" s="14"/>
      <c r="F783" s="14"/>
    </row>
    <row r="784">
      <c r="A784" s="14"/>
      <c r="B784" s="14"/>
      <c r="C784" s="14"/>
      <c r="D784" s="14"/>
      <c r="E784" s="14"/>
      <c r="F784" s="14"/>
    </row>
    <row r="785">
      <c r="A785" s="14"/>
      <c r="B785" s="14"/>
      <c r="C785" s="14"/>
      <c r="D785" s="14"/>
      <c r="E785" s="14"/>
      <c r="F785" s="14"/>
    </row>
    <row r="786">
      <c r="A786" s="14"/>
      <c r="B786" s="14"/>
      <c r="C786" s="14"/>
      <c r="D786" s="14"/>
      <c r="E786" s="14"/>
      <c r="F786" s="14"/>
    </row>
    <row r="787">
      <c r="A787" s="14"/>
      <c r="B787" s="14"/>
      <c r="C787" s="14"/>
      <c r="D787" s="14"/>
      <c r="E787" s="14"/>
      <c r="F787" s="14"/>
    </row>
    <row r="788">
      <c r="A788" s="14"/>
      <c r="B788" s="14"/>
      <c r="C788" s="14"/>
      <c r="D788" s="14"/>
      <c r="E788" s="14"/>
      <c r="F788" s="14"/>
    </row>
    <row r="789">
      <c r="A789" s="14"/>
      <c r="B789" s="14"/>
      <c r="C789" s="14"/>
      <c r="D789" s="14"/>
      <c r="E789" s="14"/>
      <c r="F789" s="14"/>
    </row>
    <row r="790">
      <c r="A790" s="14"/>
      <c r="B790" s="14"/>
      <c r="C790" s="14"/>
      <c r="D790" s="14"/>
      <c r="E790" s="14"/>
      <c r="F790" s="14"/>
    </row>
    <row r="791">
      <c r="A791" s="14"/>
      <c r="B791" s="14"/>
      <c r="C791" s="14"/>
      <c r="D791" s="14"/>
      <c r="E791" s="14"/>
      <c r="F791" s="14"/>
    </row>
    <row r="792">
      <c r="A792" s="14"/>
      <c r="B792" s="14"/>
      <c r="C792" s="14"/>
      <c r="D792" s="14"/>
      <c r="E792" s="14"/>
      <c r="F792" s="14"/>
    </row>
    <row r="793">
      <c r="A793" s="14"/>
      <c r="B793" s="14"/>
      <c r="C793" s="14"/>
      <c r="D793" s="14"/>
      <c r="E793" s="14"/>
      <c r="F793" s="14"/>
    </row>
    <row r="794">
      <c r="A794" s="14"/>
      <c r="B794" s="14"/>
      <c r="C794" s="14"/>
      <c r="D794" s="14"/>
      <c r="E794" s="14"/>
      <c r="F794" s="14"/>
    </row>
    <row r="795">
      <c r="A795" s="14"/>
      <c r="B795" s="14"/>
      <c r="C795" s="14"/>
      <c r="D795" s="14"/>
      <c r="E795" s="14"/>
      <c r="F795" s="14"/>
    </row>
    <row r="796">
      <c r="A796" s="14"/>
      <c r="B796" s="14"/>
      <c r="C796" s="14"/>
      <c r="D796" s="14"/>
      <c r="E796" s="14"/>
      <c r="F796" s="14"/>
    </row>
    <row r="797">
      <c r="A797" s="14"/>
      <c r="B797" s="14"/>
      <c r="C797" s="14"/>
      <c r="D797" s="14"/>
      <c r="E797" s="14"/>
      <c r="F797" s="14"/>
    </row>
    <row r="798">
      <c r="A798" s="14"/>
      <c r="B798" s="14"/>
      <c r="C798" s="14"/>
      <c r="D798" s="14"/>
      <c r="E798" s="14"/>
      <c r="F798" s="14"/>
    </row>
    <row r="799">
      <c r="A799" s="14"/>
      <c r="B799" s="14"/>
      <c r="C799" s="14"/>
      <c r="D799" s="14"/>
      <c r="E799" s="14"/>
      <c r="F799" s="14"/>
    </row>
    <row r="800">
      <c r="A800" s="14"/>
      <c r="B800" s="14"/>
      <c r="C800" s="14"/>
      <c r="D800" s="14"/>
      <c r="E800" s="14"/>
      <c r="F800" s="14"/>
    </row>
    <row r="801">
      <c r="A801" s="14"/>
      <c r="B801" s="14"/>
      <c r="C801" s="14"/>
      <c r="D801" s="14"/>
      <c r="E801" s="14"/>
      <c r="F801" s="14"/>
    </row>
    <row r="802">
      <c r="A802" s="14"/>
      <c r="B802" s="14"/>
      <c r="C802" s="14"/>
      <c r="D802" s="14"/>
      <c r="E802" s="14"/>
      <c r="F802" s="14"/>
    </row>
    <row r="803">
      <c r="A803" s="14"/>
      <c r="B803" s="14"/>
      <c r="C803" s="14"/>
      <c r="D803" s="14"/>
      <c r="E803" s="14"/>
      <c r="F803" s="14"/>
    </row>
    <row r="804">
      <c r="A804" s="14"/>
      <c r="B804" s="14"/>
      <c r="C804" s="14"/>
      <c r="D804" s="14"/>
      <c r="E804" s="14"/>
      <c r="F804" s="14"/>
    </row>
    <row r="805">
      <c r="A805" s="14"/>
      <c r="B805" s="14"/>
      <c r="C805" s="14"/>
      <c r="D805" s="14"/>
      <c r="E805" s="14"/>
      <c r="F805" s="14"/>
    </row>
    <row r="806">
      <c r="A806" s="14"/>
      <c r="B806" s="14"/>
      <c r="C806" s="14"/>
      <c r="D806" s="14"/>
      <c r="E806" s="14"/>
      <c r="F806" s="14"/>
    </row>
    <row r="807">
      <c r="A807" s="14"/>
      <c r="B807" s="14"/>
      <c r="C807" s="14"/>
      <c r="D807" s="14"/>
      <c r="E807" s="14"/>
      <c r="F807" s="14"/>
    </row>
    <row r="808">
      <c r="A808" s="14"/>
      <c r="B808" s="14"/>
      <c r="C808" s="14"/>
      <c r="D808" s="14"/>
      <c r="E808" s="14"/>
      <c r="F808" s="14"/>
    </row>
    <row r="809">
      <c r="A809" s="14"/>
      <c r="B809" s="14"/>
      <c r="C809" s="14"/>
      <c r="D809" s="14"/>
      <c r="E809" s="14"/>
      <c r="F809" s="14"/>
    </row>
    <row r="810">
      <c r="A810" s="14"/>
      <c r="B810" s="14"/>
      <c r="C810" s="14"/>
      <c r="D810" s="14"/>
      <c r="E810" s="14"/>
      <c r="F810" s="14"/>
    </row>
    <row r="811">
      <c r="A811" s="14"/>
      <c r="B811" s="14"/>
      <c r="C811" s="14"/>
      <c r="D811" s="14"/>
      <c r="E811" s="14"/>
      <c r="F811" s="14"/>
    </row>
    <row r="812">
      <c r="A812" s="14"/>
      <c r="B812" s="14"/>
      <c r="C812" s="14"/>
      <c r="D812" s="14"/>
      <c r="E812" s="14"/>
      <c r="F812" s="14"/>
    </row>
    <row r="813">
      <c r="A813" s="14"/>
      <c r="B813" s="14"/>
      <c r="C813" s="14"/>
      <c r="D813" s="14"/>
      <c r="E813" s="14"/>
      <c r="F813" s="14"/>
    </row>
    <row r="814">
      <c r="A814" s="14"/>
      <c r="B814" s="14"/>
      <c r="C814" s="14"/>
      <c r="D814" s="14"/>
      <c r="E814" s="14"/>
      <c r="F814" s="14"/>
    </row>
    <row r="815">
      <c r="A815" s="14"/>
      <c r="B815" s="14"/>
      <c r="C815" s="14"/>
      <c r="D815" s="14"/>
      <c r="E815" s="14"/>
      <c r="F815" s="14"/>
    </row>
    <row r="816">
      <c r="A816" s="14"/>
      <c r="B816" s="14"/>
      <c r="C816" s="14"/>
      <c r="D816" s="14"/>
      <c r="E816" s="14"/>
      <c r="F816" s="14"/>
    </row>
    <row r="817">
      <c r="A817" s="14"/>
      <c r="B817" s="14"/>
      <c r="C817" s="14"/>
      <c r="D817" s="14"/>
      <c r="E817" s="14"/>
      <c r="F817" s="14"/>
    </row>
    <row r="818">
      <c r="A818" s="14"/>
      <c r="B818" s="14"/>
      <c r="C818" s="14"/>
      <c r="D818" s="14"/>
      <c r="E818" s="14"/>
      <c r="F818" s="14"/>
    </row>
    <row r="819">
      <c r="A819" s="14"/>
      <c r="B819" s="14"/>
      <c r="C819" s="14"/>
      <c r="D819" s="14"/>
      <c r="E819" s="14"/>
      <c r="F819" s="14"/>
    </row>
    <row r="820">
      <c r="A820" s="14"/>
      <c r="B820" s="14"/>
      <c r="C820" s="14"/>
      <c r="D820" s="14"/>
      <c r="E820" s="14"/>
      <c r="F820" s="14"/>
    </row>
    <row r="821">
      <c r="A821" s="14"/>
      <c r="B821" s="14"/>
      <c r="C821" s="14"/>
      <c r="D821" s="14"/>
      <c r="E821" s="14"/>
      <c r="F821" s="14"/>
    </row>
    <row r="822">
      <c r="A822" s="14"/>
      <c r="B822" s="14"/>
      <c r="C822" s="14"/>
      <c r="D822" s="14"/>
      <c r="E822" s="14"/>
      <c r="F822" s="14"/>
    </row>
    <row r="823">
      <c r="A823" s="14"/>
      <c r="B823" s="14"/>
      <c r="C823" s="14"/>
      <c r="D823" s="14"/>
      <c r="E823" s="14"/>
      <c r="F823" s="14"/>
    </row>
    <row r="824">
      <c r="A824" s="14"/>
      <c r="B824" s="14"/>
      <c r="C824" s="14"/>
      <c r="D824" s="14"/>
      <c r="E824" s="14"/>
      <c r="F824" s="14"/>
    </row>
    <row r="825">
      <c r="A825" s="14"/>
      <c r="B825" s="14"/>
      <c r="C825" s="14"/>
      <c r="D825" s="14"/>
      <c r="E825" s="14"/>
      <c r="F825" s="14"/>
    </row>
    <row r="826">
      <c r="A826" s="14"/>
      <c r="B826" s="14"/>
      <c r="C826" s="14"/>
      <c r="D826" s="14"/>
      <c r="E826" s="14"/>
      <c r="F826" s="14"/>
    </row>
    <row r="827">
      <c r="A827" s="14"/>
      <c r="B827" s="14"/>
      <c r="C827" s="14"/>
      <c r="D827" s="14"/>
      <c r="E827" s="14"/>
      <c r="F827" s="14"/>
    </row>
    <row r="828">
      <c r="A828" s="14"/>
      <c r="B828" s="14"/>
      <c r="C828" s="14"/>
      <c r="D828" s="14"/>
      <c r="E828" s="14"/>
      <c r="F828" s="14"/>
    </row>
    <row r="829">
      <c r="A829" s="14"/>
      <c r="B829" s="14"/>
      <c r="C829" s="14"/>
      <c r="D829" s="14"/>
      <c r="E829" s="14"/>
      <c r="F829" s="14"/>
    </row>
    <row r="830">
      <c r="A830" s="14"/>
      <c r="B830" s="14"/>
      <c r="C830" s="14"/>
      <c r="D830" s="14"/>
      <c r="E830" s="14"/>
      <c r="F830" s="14"/>
    </row>
    <row r="831">
      <c r="A831" s="14"/>
      <c r="B831" s="14"/>
      <c r="C831" s="14"/>
      <c r="D831" s="14"/>
      <c r="E831" s="14"/>
      <c r="F831" s="14"/>
    </row>
    <row r="832">
      <c r="A832" s="14"/>
      <c r="B832" s="14"/>
      <c r="C832" s="14"/>
      <c r="D832" s="14"/>
      <c r="E832" s="14"/>
      <c r="F832" s="14"/>
    </row>
    <row r="833">
      <c r="A833" s="14"/>
      <c r="B833" s="14"/>
      <c r="C833" s="14"/>
      <c r="D833" s="14"/>
      <c r="E833" s="14"/>
      <c r="F833" s="14"/>
    </row>
    <row r="834">
      <c r="A834" s="14"/>
      <c r="B834" s="14"/>
      <c r="C834" s="14"/>
      <c r="D834" s="14"/>
      <c r="E834" s="14"/>
      <c r="F834" s="14"/>
    </row>
    <row r="835">
      <c r="A835" s="14"/>
      <c r="B835" s="14"/>
      <c r="C835" s="14"/>
      <c r="D835" s="14"/>
      <c r="E835" s="14"/>
      <c r="F835" s="14"/>
    </row>
    <row r="836">
      <c r="A836" s="14"/>
      <c r="B836" s="14"/>
      <c r="C836" s="14"/>
      <c r="D836" s="14"/>
      <c r="E836" s="14"/>
      <c r="F836" s="14"/>
    </row>
    <row r="837">
      <c r="A837" s="14"/>
      <c r="B837" s="14"/>
      <c r="C837" s="14"/>
      <c r="D837" s="14"/>
      <c r="E837" s="14"/>
      <c r="F837" s="14"/>
    </row>
    <row r="838">
      <c r="A838" s="14"/>
      <c r="B838" s="14"/>
      <c r="C838" s="14"/>
      <c r="D838" s="14"/>
      <c r="E838" s="14"/>
      <c r="F838" s="14"/>
    </row>
    <row r="839">
      <c r="A839" s="14"/>
      <c r="B839" s="14"/>
      <c r="C839" s="14"/>
      <c r="D839" s="14"/>
      <c r="E839" s="14"/>
      <c r="F839" s="14"/>
    </row>
    <row r="840">
      <c r="A840" s="14"/>
      <c r="B840" s="14"/>
      <c r="C840" s="14"/>
      <c r="D840" s="14"/>
      <c r="E840" s="14"/>
      <c r="F840" s="14"/>
    </row>
    <row r="841">
      <c r="A841" s="14"/>
      <c r="B841" s="14"/>
      <c r="C841" s="14"/>
      <c r="D841" s="14"/>
      <c r="E841" s="14"/>
      <c r="F841" s="14"/>
    </row>
    <row r="842">
      <c r="A842" s="14"/>
      <c r="B842" s="14"/>
      <c r="C842" s="14"/>
      <c r="D842" s="14"/>
      <c r="E842" s="14"/>
      <c r="F842" s="14"/>
    </row>
    <row r="843">
      <c r="A843" s="14"/>
      <c r="B843" s="14"/>
      <c r="C843" s="14"/>
      <c r="D843" s="14"/>
      <c r="E843" s="14"/>
      <c r="F843" s="14"/>
    </row>
    <row r="844">
      <c r="A844" s="14"/>
      <c r="B844" s="14"/>
      <c r="C844" s="14"/>
      <c r="D844" s="14"/>
      <c r="E844" s="14"/>
      <c r="F844" s="14"/>
    </row>
    <row r="845">
      <c r="A845" s="14"/>
      <c r="B845" s="14"/>
      <c r="C845" s="14"/>
      <c r="D845" s="14"/>
      <c r="E845" s="14"/>
      <c r="F845" s="14"/>
    </row>
    <row r="846">
      <c r="A846" s="14"/>
      <c r="B846" s="14"/>
      <c r="C846" s="14"/>
      <c r="D846" s="14"/>
      <c r="E846" s="14"/>
      <c r="F846" s="14"/>
    </row>
    <row r="847">
      <c r="A847" s="14"/>
      <c r="B847" s="14"/>
      <c r="C847" s="14"/>
      <c r="D847" s="14"/>
      <c r="E847" s="14"/>
      <c r="F847" s="14"/>
    </row>
    <row r="848">
      <c r="A848" s="14"/>
      <c r="B848" s="14"/>
      <c r="C848" s="14"/>
      <c r="D848" s="14"/>
      <c r="E848" s="14"/>
      <c r="F848" s="14"/>
    </row>
    <row r="849">
      <c r="A849" s="14"/>
      <c r="B849" s="14"/>
      <c r="C849" s="14"/>
      <c r="D849" s="14"/>
      <c r="E849" s="14"/>
      <c r="F849" s="14"/>
    </row>
    <row r="850">
      <c r="A850" s="14"/>
      <c r="B850" s="14"/>
      <c r="C850" s="14"/>
      <c r="D850" s="14"/>
      <c r="E850" s="14"/>
      <c r="F850" s="14"/>
    </row>
    <row r="851">
      <c r="A851" s="14"/>
      <c r="B851" s="14"/>
      <c r="C851" s="14"/>
      <c r="D851" s="14"/>
      <c r="E851" s="14"/>
      <c r="F851" s="14"/>
    </row>
    <row r="852">
      <c r="A852" s="14"/>
      <c r="B852" s="14"/>
      <c r="C852" s="14"/>
      <c r="D852" s="14"/>
      <c r="E852" s="14"/>
      <c r="F852" s="14"/>
    </row>
    <row r="853">
      <c r="A853" s="14"/>
      <c r="B853" s="14"/>
      <c r="C853" s="14"/>
      <c r="D853" s="14"/>
      <c r="E853" s="14"/>
      <c r="F853" s="14"/>
    </row>
    <row r="854">
      <c r="A854" s="14"/>
      <c r="B854" s="14"/>
      <c r="C854" s="14"/>
      <c r="D854" s="14"/>
      <c r="E854" s="14"/>
      <c r="F854" s="14"/>
    </row>
    <row r="855">
      <c r="A855" s="14"/>
      <c r="B855" s="14"/>
      <c r="C855" s="14"/>
      <c r="D855" s="14"/>
      <c r="E855" s="14"/>
      <c r="F855" s="14"/>
    </row>
    <row r="856">
      <c r="A856" s="14"/>
      <c r="B856" s="14"/>
      <c r="C856" s="14"/>
      <c r="D856" s="14"/>
      <c r="E856" s="14"/>
      <c r="F856" s="14"/>
    </row>
    <row r="857">
      <c r="A857" s="14"/>
      <c r="B857" s="14"/>
      <c r="C857" s="14"/>
      <c r="D857" s="14"/>
      <c r="E857" s="14"/>
      <c r="F857" s="14"/>
    </row>
    <row r="858">
      <c r="A858" s="14"/>
      <c r="B858" s="14"/>
      <c r="C858" s="14"/>
      <c r="D858" s="14"/>
      <c r="E858" s="14"/>
      <c r="F858" s="14"/>
    </row>
    <row r="859">
      <c r="A859" s="14"/>
      <c r="B859" s="14"/>
      <c r="C859" s="14"/>
      <c r="D859" s="14"/>
      <c r="E859" s="14"/>
      <c r="F859" s="14"/>
    </row>
    <row r="860">
      <c r="A860" s="14"/>
      <c r="B860" s="14"/>
      <c r="C860" s="14"/>
      <c r="D860" s="14"/>
      <c r="E860" s="14"/>
      <c r="F860" s="14"/>
    </row>
    <row r="861">
      <c r="A861" s="14"/>
      <c r="B861" s="14"/>
      <c r="C861" s="14"/>
      <c r="D861" s="14"/>
      <c r="E861" s="14"/>
      <c r="F861" s="14"/>
    </row>
    <row r="862">
      <c r="A862" s="14"/>
      <c r="B862" s="14"/>
      <c r="C862" s="14"/>
      <c r="D862" s="14"/>
      <c r="E862" s="14"/>
      <c r="F862" s="14"/>
    </row>
    <row r="863">
      <c r="A863" s="14"/>
      <c r="B863" s="14"/>
      <c r="C863" s="14"/>
      <c r="D863" s="14"/>
      <c r="E863" s="14"/>
      <c r="F863" s="14"/>
    </row>
    <row r="864">
      <c r="A864" s="14"/>
      <c r="B864" s="14"/>
      <c r="C864" s="14"/>
      <c r="D864" s="14"/>
      <c r="E864" s="14"/>
      <c r="F864" s="14"/>
    </row>
    <row r="865">
      <c r="A865" s="14"/>
      <c r="B865" s="14"/>
      <c r="C865" s="14"/>
      <c r="D865" s="14"/>
      <c r="E865" s="14"/>
      <c r="F865" s="14"/>
    </row>
    <row r="866">
      <c r="A866" s="14"/>
      <c r="B866" s="14"/>
      <c r="C866" s="14"/>
      <c r="D866" s="14"/>
      <c r="E866" s="14"/>
      <c r="F866" s="14"/>
    </row>
    <row r="867">
      <c r="A867" s="14"/>
      <c r="B867" s="14"/>
      <c r="C867" s="14"/>
      <c r="D867" s="14"/>
      <c r="E867" s="14"/>
      <c r="F867" s="14"/>
    </row>
    <row r="868">
      <c r="A868" s="14"/>
      <c r="B868" s="14"/>
      <c r="C868" s="14"/>
      <c r="D868" s="14"/>
      <c r="E868" s="14"/>
      <c r="F868" s="14"/>
    </row>
    <row r="869">
      <c r="A869" s="14"/>
      <c r="B869" s="14"/>
      <c r="C869" s="14"/>
      <c r="D869" s="14"/>
      <c r="E869" s="14"/>
      <c r="F869" s="14"/>
    </row>
    <row r="870">
      <c r="A870" s="14"/>
      <c r="B870" s="14"/>
      <c r="C870" s="14"/>
      <c r="D870" s="14"/>
      <c r="E870" s="14"/>
      <c r="F870" s="14"/>
    </row>
    <row r="871">
      <c r="A871" s="14"/>
      <c r="B871" s="14"/>
      <c r="C871" s="14"/>
      <c r="D871" s="14"/>
      <c r="E871" s="14"/>
      <c r="F871" s="14"/>
    </row>
    <row r="872">
      <c r="A872" s="14"/>
      <c r="B872" s="14"/>
      <c r="C872" s="14"/>
      <c r="D872" s="14"/>
      <c r="E872" s="14"/>
      <c r="F872" s="14"/>
    </row>
    <row r="873">
      <c r="A873" s="14"/>
      <c r="B873" s="14"/>
      <c r="C873" s="14"/>
      <c r="D873" s="14"/>
      <c r="E873" s="14"/>
      <c r="F873" s="14"/>
    </row>
    <row r="874">
      <c r="A874" s="14"/>
      <c r="B874" s="14"/>
      <c r="C874" s="14"/>
      <c r="D874" s="14"/>
      <c r="E874" s="14"/>
      <c r="F874" s="14"/>
    </row>
    <row r="875">
      <c r="A875" s="14"/>
      <c r="B875" s="14"/>
      <c r="C875" s="14"/>
      <c r="D875" s="14"/>
      <c r="E875" s="14"/>
      <c r="F875" s="14"/>
    </row>
    <row r="876">
      <c r="A876" s="14"/>
      <c r="B876" s="14"/>
      <c r="C876" s="14"/>
      <c r="D876" s="14"/>
      <c r="E876" s="14"/>
      <c r="F876" s="14"/>
    </row>
    <row r="877">
      <c r="A877" s="14"/>
      <c r="B877" s="14"/>
      <c r="C877" s="14"/>
      <c r="D877" s="14"/>
      <c r="E877" s="14"/>
      <c r="F877" s="14"/>
    </row>
    <row r="878">
      <c r="A878" s="14"/>
      <c r="B878" s="14"/>
      <c r="C878" s="14"/>
      <c r="D878" s="14"/>
      <c r="E878" s="14"/>
      <c r="F878" s="14"/>
    </row>
    <row r="879">
      <c r="A879" s="14"/>
      <c r="B879" s="14"/>
      <c r="C879" s="14"/>
      <c r="D879" s="14"/>
      <c r="E879" s="14"/>
      <c r="F879" s="14"/>
    </row>
    <row r="880">
      <c r="A880" s="14"/>
      <c r="B880" s="14"/>
      <c r="C880" s="14"/>
      <c r="D880" s="14"/>
      <c r="E880" s="14"/>
      <c r="F880" s="14"/>
    </row>
    <row r="881">
      <c r="A881" s="14"/>
      <c r="B881" s="14"/>
      <c r="C881" s="14"/>
      <c r="D881" s="14"/>
      <c r="E881" s="14"/>
      <c r="F881" s="14"/>
    </row>
    <row r="882">
      <c r="A882" s="14"/>
      <c r="B882" s="14"/>
      <c r="C882" s="14"/>
      <c r="D882" s="14"/>
      <c r="E882" s="14"/>
      <c r="F882" s="14"/>
    </row>
    <row r="883">
      <c r="A883" s="14"/>
      <c r="B883" s="14"/>
      <c r="C883" s="14"/>
      <c r="D883" s="14"/>
      <c r="E883" s="14"/>
      <c r="F883" s="14"/>
    </row>
    <row r="884">
      <c r="A884" s="14"/>
      <c r="B884" s="14"/>
      <c r="C884" s="14"/>
      <c r="D884" s="14"/>
      <c r="E884" s="14"/>
      <c r="F884" s="14"/>
    </row>
    <row r="885">
      <c r="A885" s="14"/>
      <c r="B885" s="14"/>
      <c r="C885" s="14"/>
      <c r="D885" s="14"/>
      <c r="E885" s="14"/>
      <c r="F885" s="14"/>
    </row>
    <row r="886">
      <c r="A886" s="14"/>
      <c r="B886" s="14"/>
      <c r="C886" s="14"/>
      <c r="D886" s="14"/>
      <c r="E886" s="14"/>
      <c r="F886" s="14"/>
    </row>
    <row r="887">
      <c r="A887" s="14"/>
      <c r="B887" s="14"/>
      <c r="C887" s="14"/>
      <c r="D887" s="14"/>
      <c r="E887" s="14"/>
      <c r="F887" s="14"/>
    </row>
    <row r="888">
      <c r="A888" s="14"/>
      <c r="B888" s="14"/>
      <c r="C888" s="14"/>
      <c r="D888" s="14"/>
      <c r="E888" s="14"/>
      <c r="F888" s="14"/>
    </row>
    <row r="889">
      <c r="A889" s="14"/>
      <c r="B889" s="14"/>
      <c r="C889" s="14"/>
      <c r="D889" s="14"/>
      <c r="E889" s="14"/>
      <c r="F889" s="14"/>
    </row>
    <row r="890">
      <c r="A890" s="14"/>
      <c r="B890" s="14"/>
      <c r="C890" s="14"/>
      <c r="D890" s="14"/>
      <c r="E890" s="14"/>
      <c r="F890" s="14"/>
    </row>
    <row r="891">
      <c r="A891" s="14"/>
      <c r="B891" s="14"/>
      <c r="C891" s="14"/>
      <c r="D891" s="14"/>
      <c r="E891" s="14"/>
      <c r="F891" s="14"/>
    </row>
    <row r="892">
      <c r="A892" s="14"/>
      <c r="B892" s="14"/>
      <c r="C892" s="14"/>
      <c r="D892" s="14"/>
      <c r="E892" s="14"/>
      <c r="F892" s="14"/>
    </row>
    <row r="893">
      <c r="A893" s="14"/>
      <c r="B893" s="14"/>
      <c r="C893" s="14"/>
      <c r="D893" s="14"/>
      <c r="E893" s="14"/>
      <c r="F893" s="14"/>
    </row>
    <row r="894">
      <c r="A894" s="14"/>
      <c r="B894" s="14"/>
      <c r="C894" s="14"/>
      <c r="D894" s="14"/>
      <c r="E894" s="14"/>
      <c r="F894" s="14"/>
    </row>
    <row r="895">
      <c r="A895" s="14"/>
      <c r="B895" s="14"/>
      <c r="C895" s="14"/>
      <c r="D895" s="14"/>
      <c r="E895" s="14"/>
      <c r="F895" s="14"/>
    </row>
    <row r="896">
      <c r="A896" s="14"/>
      <c r="B896" s="14"/>
      <c r="C896" s="14"/>
      <c r="D896" s="14"/>
      <c r="E896" s="14"/>
      <c r="F896" s="14"/>
    </row>
    <row r="897">
      <c r="A897" s="14"/>
      <c r="B897" s="14"/>
      <c r="C897" s="14"/>
      <c r="D897" s="14"/>
      <c r="E897" s="14"/>
      <c r="F897" s="14"/>
    </row>
    <row r="898">
      <c r="A898" s="14"/>
      <c r="B898" s="14"/>
      <c r="C898" s="14"/>
      <c r="D898" s="14"/>
      <c r="E898" s="14"/>
      <c r="F898" s="14"/>
    </row>
    <row r="899">
      <c r="A899" s="14"/>
      <c r="B899" s="14"/>
      <c r="C899" s="14"/>
      <c r="D899" s="14"/>
      <c r="E899" s="14"/>
      <c r="F899" s="14"/>
    </row>
    <row r="900">
      <c r="A900" s="14"/>
      <c r="B900" s="14"/>
      <c r="C900" s="14"/>
      <c r="D900" s="14"/>
      <c r="E900" s="14"/>
      <c r="F900" s="14"/>
    </row>
    <row r="901">
      <c r="A901" s="14"/>
      <c r="B901" s="14"/>
      <c r="C901" s="14"/>
      <c r="D901" s="14"/>
      <c r="E901" s="14"/>
      <c r="F901" s="14"/>
    </row>
    <row r="902">
      <c r="A902" s="14"/>
      <c r="B902" s="14"/>
      <c r="C902" s="14"/>
      <c r="D902" s="14"/>
      <c r="E902" s="14"/>
      <c r="F902" s="14"/>
    </row>
    <row r="903">
      <c r="A903" s="14"/>
      <c r="B903" s="14"/>
      <c r="C903" s="14"/>
      <c r="D903" s="14"/>
      <c r="E903" s="14"/>
      <c r="F903" s="14"/>
    </row>
    <row r="904">
      <c r="A904" s="14"/>
      <c r="B904" s="14"/>
      <c r="C904" s="14"/>
      <c r="D904" s="14"/>
      <c r="E904" s="14"/>
      <c r="F904" s="14"/>
    </row>
    <row r="905">
      <c r="A905" s="14"/>
      <c r="B905" s="14"/>
      <c r="C905" s="14"/>
      <c r="D905" s="14"/>
      <c r="E905" s="14"/>
      <c r="F905" s="14"/>
    </row>
    <row r="906">
      <c r="A906" s="14"/>
      <c r="B906" s="14"/>
      <c r="C906" s="14"/>
      <c r="D906" s="14"/>
      <c r="E906" s="14"/>
      <c r="F906" s="14"/>
    </row>
    <row r="907">
      <c r="A907" s="14"/>
      <c r="B907" s="14"/>
      <c r="C907" s="14"/>
      <c r="D907" s="14"/>
      <c r="E907" s="14"/>
      <c r="F907" s="14"/>
    </row>
    <row r="908">
      <c r="A908" s="14"/>
      <c r="B908" s="14"/>
      <c r="C908" s="14"/>
      <c r="D908" s="14"/>
      <c r="E908" s="14"/>
      <c r="F908" s="14"/>
    </row>
    <row r="909">
      <c r="A909" s="14"/>
      <c r="B909" s="14"/>
      <c r="C909" s="14"/>
      <c r="D909" s="14"/>
      <c r="E909" s="14"/>
      <c r="F909" s="14"/>
    </row>
    <row r="910">
      <c r="A910" s="14"/>
      <c r="B910" s="14"/>
      <c r="C910" s="14"/>
      <c r="D910" s="14"/>
      <c r="E910" s="14"/>
      <c r="F910" s="14"/>
    </row>
    <row r="911">
      <c r="A911" s="14"/>
      <c r="B911" s="14"/>
      <c r="C911" s="14"/>
      <c r="D911" s="14"/>
      <c r="E911" s="14"/>
      <c r="F911" s="14"/>
    </row>
    <row r="912">
      <c r="A912" s="14"/>
      <c r="B912" s="14"/>
      <c r="C912" s="14"/>
      <c r="D912" s="14"/>
      <c r="E912" s="14"/>
      <c r="F912" s="14"/>
    </row>
    <row r="913">
      <c r="A913" s="14"/>
      <c r="B913" s="14"/>
      <c r="C913" s="14"/>
      <c r="D913" s="14"/>
      <c r="E913" s="14"/>
      <c r="F913" s="14"/>
    </row>
    <row r="914">
      <c r="A914" s="14"/>
      <c r="B914" s="14"/>
      <c r="C914" s="14"/>
      <c r="D914" s="14"/>
      <c r="E914" s="14"/>
      <c r="F914" s="14"/>
    </row>
    <row r="915">
      <c r="A915" s="14"/>
      <c r="B915" s="14"/>
      <c r="C915" s="14"/>
      <c r="D915" s="14"/>
      <c r="E915" s="14"/>
      <c r="F915" s="14"/>
    </row>
    <row r="916">
      <c r="A916" s="14"/>
      <c r="B916" s="14"/>
      <c r="C916" s="14"/>
      <c r="D916" s="14"/>
      <c r="E916" s="14"/>
      <c r="F916" s="14"/>
    </row>
    <row r="917">
      <c r="A917" s="14"/>
      <c r="B917" s="14"/>
      <c r="C917" s="14"/>
      <c r="D917" s="14"/>
      <c r="E917" s="14"/>
      <c r="F917" s="14"/>
    </row>
    <row r="918">
      <c r="A918" s="14"/>
      <c r="B918" s="14"/>
      <c r="C918" s="14"/>
      <c r="D918" s="14"/>
      <c r="E918" s="14"/>
      <c r="F918" s="14"/>
    </row>
    <row r="919">
      <c r="A919" s="14"/>
      <c r="B919" s="14"/>
      <c r="C919" s="14"/>
      <c r="D919" s="14"/>
      <c r="E919" s="14"/>
      <c r="F919" s="14"/>
    </row>
    <row r="920">
      <c r="A920" s="14"/>
      <c r="B920" s="14"/>
      <c r="C920" s="14"/>
      <c r="D920" s="14"/>
      <c r="E920" s="14"/>
      <c r="F920" s="14"/>
    </row>
    <row r="921">
      <c r="A921" s="14"/>
      <c r="B921" s="14"/>
      <c r="C921" s="14"/>
      <c r="D921" s="14"/>
      <c r="E921" s="14"/>
      <c r="F921" s="14"/>
    </row>
    <row r="922">
      <c r="A922" s="14"/>
      <c r="B922" s="14"/>
      <c r="C922" s="14"/>
      <c r="D922" s="14"/>
      <c r="E922" s="14"/>
      <c r="F922" s="14"/>
    </row>
    <row r="923">
      <c r="A923" s="14"/>
      <c r="B923" s="14"/>
      <c r="C923" s="14"/>
      <c r="D923" s="14"/>
      <c r="E923" s="14"/>
      <c r="F923" s="14"/>
    </row>
    <row r="924">
      <c r="A924" s="14"/>
      <c r="B924" s="14"/>
      <c r="C924" s="14"/>
      <c r="D924" s="14"/>
      <c r="E924" s="14"/>
      <c r="F924" s="14"/>
    </row>
    <row r="925">
      <c r="A925" s="14"/>
      <c r="B925" s="14"/>
      <c r="C925" s="14"/>
      <c r="D925" s="14"/>
      <c r="E925" s="14"/>
      <c r="F925" s="14"/>
    </row>
    <row r="926">
      <c r="A926" s="14"/>
      <c r="B926" s="14"/>
      <c r="C926" s="14"/>
      <c r="D926" s="14"/>
      <c r="E926" s="14"/>
      <c r="F926" s="14"/>
    </row>
    <row r="927">
      <c r="A927" s="14"/>
      <c r="B927" s="14"/>
      <c r="C927" s="14"/>
      <c r="D927" s="14"/>
      <c r="E927" s="14"/>
      <c r="F927" s="14"/>
    </row>
    <row r="928">
      <c r="A928" s="14"/>
      <c r="B928" s="14"/>
      <c r="C928" s="14"/>
      <c r="D928" s="14"/>
      <c r="E928" s="14"/>
      <c r="F928" s="14"/>
    </row>
    <row r="929">
      <c r="A929" s="14"/>
      <c r="B929" s="14"/>
      <c r="C929" s="14"/>
      <c r="D929" s="14"/>
      <c r="E929" s="14"/>
      <c r="F929" s="14"/>
    </row>
    <row r="930">
      <c r="A930" s="14"/>
      <c r="B930" s="14"/>
      <c r="C930" s="14"/>
      <c r="D930" s="14"/>
      <c r="E930" s="14"/>
      <c r="F930" s="14"/>
    </row>
    <row r="931">
      <c r="A931" s="14"/>
      <c r="B931" s="14"/>
      <c r="C931" s="14"/>
      <c r="D931" s="14"/>
      <c r="E931" s="14"/>
      <c r="F931" s="14"/>
    </row>
    <row r="932">
      <c r="A932" s="14"/>
      <c r="B932" s="14"/>
      <c r="C932" s="14"/>
      <c r="D932" s="14"/>
      <c r="E932" s="14"/>
      <c r="F932" s="14"/>
    </row>
    <row r="933">
      <c r="A933" s="14"/>
      <c r="B933" s="14"/>
      <c r="C933" s="14"/>
      <c r="D933" s="14"/>
      <c r="E933" s="14"/>
      <c r="F933" s="14"/>
    </row>
    <row r="934">
      <c r="A934" s="14"/>
      <c r="B934" s="14"/>
      <c r="C934" s="14"/>
      <c r="D934" s="14"/>
      <c r="E934" s="14"/>
      <c r="F934" s="14"/>
    </row>
    <row r="935">
      <c r="A935" s="14"/>
      <c r="B935" s="14"/>
      <c r="C935" s="14"/>
      <c r="D935" s="14"/>
      <c r="E935" s="14"/>
      <c r="F935" s="14"/>
    </row>
    <row r="936">
      <c r="A936" s="14"/>
      <c r="B936" s="14"/>
      <c r="C936" s="14"/>
      <c r="D936" s="14"/>
      <c r="E936" s="14"/>
      <c r="F936" s="14"/>
    </row>
    <row r="937">
      <c r="A937" s="14"/>
      <c r="B937" s="14"/>
      <c r="C937" s="14"/>
      <c r="D937" s="14"/>
      <c r="E937" s="14"/>
      <c r="F937" s="14"/>
    </row>
    <row r="938">
      <c r="A938" s="14"/>
      <c r="B938" s="14"/>
      <c r="C938" s="14"/>
      <c r="D938" s="14"/>
      <c r="E938" s="14"/>
      <c r="F938" s="14"/>
    </row>
    <row r="939">
      <c r="A939" s="14"/>
      <c r="B939" s="14"/>
      <c r="C939" s="14"/>
      <c r="D939" s="14"/>
      <c r="E939" s="14"/>
      <c r="F939" s="14"/>
    </row>
    <row r="940">
      <c r="A940" s="14"/>
      <c r="B940" s="14"/>
      <c r="C940" s="14"/>
      <c r="D940" s="14"/>
      <c r="E940" s="14"/>
      <c r="F940" s="14"/>
    </row>
    <row r="941">
      <c r="A941" s="14"/>
      <c r="B941" s="14"/>
      <c r="C941" s="14"/>
      <c r="D941" s="14"/>
      <c r="E941" s="14"/>
      <c r="F941" s="14"/>
    </row>
    <row r="942">
      <c r="A942" s="14"/>
      <c r="B942" s="14"/>
      <c r="C942" s="14"/>
      <c r="D942" s="14"/>
      <c r="E942" s="14"/>
      <c r="F942" s="14"/>
    </row>
    <row r="943">
      <c r="A943" s="14"/>
      <c r="B943" s="14"/>
      <c r="C943" s="14"/>
      <c r="D943" s="14"/>
      <c r="E943" s="14"/>
      <c r="F943" s="14"/>
    </row>
    <row r="944">
      <c r="A944" s="14"/>
      <c r="B944" s="14"/>
      <c r="C944" s="14"/>
      <c r="D944" s="14"/>
      <c r="E944" s="14"/>
      <c r="F944" s="14"/>
    </row>
    <row r="945">
      <c r="A945" s="14"/>
      <c r="B945" s="14"/>
      <c r="C945" s="14"/>
      <c r="D945" s="14"/>
      <c r="E945" s="14"/>
      <c r="F945" s="14"/>
    </row>
    <row r="946">
      <c r="A946" s="14"/>
      <c r="B946" s="14"/>
      <c r="C946" s="14"/>
      <c r="D946" s="14"/>
      <c r="E946" s="14"/>
      <c r="F946" s="14"/>
    </row>
    <row r="947">
      <c r="A947" s="14"/>
      <c r="B947" s="14"/>
      <c r="C947" s="14"/>
      <c r="D947" s="14"/>
      <c r="E947" s="14"/>
      <c r="F947" s="14"/>
    </row>
    <row r="948">
      <c r="A948" s="14"/>
      <c r="B948" s="14"/>
      <c r="C948" s="14"/>
      <c r="D948" s="14"/>
      <c r="E948" s="14"/>
      <c r="F948" s="14"/>
    </row>
    <row r="949">
      <c r="A949" s="14"/>
      <c r="B949" s="14"/>
      <c r="C949" s="14"/>
      <c r="D949" s="14"/>
      <c r="E949" s="14"/>
      <c r="F949" s="14"/>
    </row>
    <row r="950">
      <c r="A950" s="14"/>
      <c r="B950" s="14"/>
      <c r="C950" s="14"/>
      <c r="D950" s="14"/>
      <c r="E950" s="14"/>
      <c r="F950" s="14"/>
    </row>
    <row r="951">
      <c r="A951" s="14"/>
      <c r="B951" s="14"/>
      <c r="C951" s="14"/>
      <c r="D951" s="14"/>
      <c r="E951" s="14"/>
      <c r="F951" s="14"/>
    </row>
    <row r="952">
      <c r="A952" s="14"/>
      <c r="B952" s="14"/>
      <c r="C952" s="14"/>
      <c r="D952" s="14"/>
      <c r="E952" s="14"/>
      <c r="F952" s="14"/>
    </row>
    <row r="953">
      <c r="A953" s="14"/>
      <c r="B953" s="14"/>
      <c r="C953" s="14"/>
      <c r="D953" s="14"/>
      <c r="E953" s="14"/>
      <c r="F953" s="14"/>
    </row>
    <row r="954">
      <c r="A954" s="14"/>
      <c r="B954" s="14"/>
      <c r="C954" s="14"/>
      <c r="D954" s="14"/>
      <c r="E954" s="14"/>
      <c r="F954" s="14"/>
    </row>
    <row r="955">
      <c r="A955" s="14"/>
      <c r="B955" s="14"/>
      <c r="C955" s="14"/>
      <c r="D955" s="14"/>
      <c r="E955" s="14"/>
      <c r="F955" s="14"/>
    </row>
    <row r="956">
      <c r="A956" s="14"/>
      <c r="B956" s="14"/>
      <c r="C956" s="14"/>
      <c r="D956" s="14"/>
      <c r="E956" s="14"/>
      <c r="F956" s="14"/>
    </row>
    <row r="957">
      <c r="A957" s="14"/>
      <c r="B957" s="14"/>
      <c r="C957" s="14"/>
      <c r="D957" s="14"/>
      <c r="E957" s="14"/>
      <c r="F957" s="14"/>
    </row>
    <row r="958">
      <c r="A958" s="14"/>
      <c r="B958" s="14"/>
      <c r="C958" s="14"/>
      <c r="D958" s="14"/>
      <c r="E958" s="14"/>
      <c r="F958" s="14"/>
    </row>
    <row r="959">
      <c r="A959" s="14"/>
      <c r="B959" s="14"/>
      <c r="C959" s="14"/>
      <c r="D959" s="14"/>
      <c r="E959" s="14"/>
      <c r="F959" s="14"/>
    </row>
    <row r="960">
      <c r="A960" s="14"/>
      <c r="B960" s="14"/>
      <c r="C960" s="14"/>
      <c r="D960" s="14"/>
      <c r="E960" s="14"/>
      <c r="F960" s="14"/>
    </row>
    <row r="961">
      <c r="A961" s="14"/>
      <c r="B961" s="14"/>
      <c r="C961" s="14"/>
      <c r="D961" s="14"/>
      <c r="E961" s="14"/>
      <c r="F961" s="14"/>
    </row>
    <row r="962">
      <c r="A962" s="14"/>
      <c r="B962" s="14"/>
      <c r="C962" s="14"/>
      <c r="D962" s="14"/>
      <c r="E962" s="14"/>
      <c r="F962" s="14"/>
    </row>
    <row r="963">
      <c r="A963" s="14"/>
      <c r="B963" s="14"/>
      <c r="C963" s="14"/>
      <c r="D963" s="14"/>
      <c r="E963" s="14"/>
      <c r="F963" s="14"/>
    </row>
    <row r="964">
      <c r="A964" s="14"/>
      <c r="B964" s="14"/>
      <c r="C964" s="14"/>
      <c r="D964" s="14"/>
      <c r="E964" s="14"/>
      <c r="F964" s="14"/>
    </row>
    <row r="965">
      <c r="A965" s="14"/>
      <c r="B965" s="14"/>
      <c r="C965" s="14"/>
      <c r="D965" s="14"/>
      <c r="E965" s="14"/>
      <c r="F965" s="14"/>
    </row>
    <row r="966">
      <c r="A966" s="14"/>
      <c r="B966" s="14"/>
      <c r="C966" s="14"/>
      <c r="D966" s="14"/>
      <c r="E966" s="14"/>
      <c r="F966" s="14"/>
    </row>
    <row r="967">
      <c r="A967" s="14"/>
      <c r="B967" s="14"/>
      <c r="C967" s="14"/>
      <c r="D967" s="14"/>
      <c r="E967" s="14"/>
      <c r="F967" s="14"/>
    </row>
    <row r="968">
      <c r="A968" s="14"/>
      <c r="B968" s="14"/>
      <c r="C968" s="14"/>
      <c r="D968" s="14"/>
      <c r="E968" s="14"/>
      <c r="F968" s="14"/>
    </row>
    <row r="969">
      <c r="A969" s="14"/>
      <c r="B969" s="14"/>
      <c r="C969" s="14"/>
      <c r="D969" s="14"/>
      <c r="E969" s="14"/>
      <c r="F969" s="14"/>
    </row>
    <row r="970">
      <c r="A970" s="14"/>
      <c r="B970" s="14"/>
      <c r="C970" s="14"/>
      <c r="D970" s="14"/>
      <c r="E970" s="14"/>
      <c r="F970" s="14"/>
    </row>
    <row r="971">
      <c r="A971" s="14"/>
      <c r="B971" s="14"/>
      <c r="C971" s="14"/>
      <c r="D971" s="14"/>
      <c r="E971" s="14"/>
      <c r="F971" s="14"/>
    </row>
    <row r="972">
      <c r="A972" s="14"/>
      <c r="B972" s="14"/>
      <c r="C972" s="14"/>
      <c r="D972" s="14"/>
      <c r="E972" s="14"/>
      <c r="F972" s="14"/>
    </row>
    <row r="973">
      <c r="A973" s="14"/>
      <c r="B973" s="14"/>
      <c r="C973" s="14"/>
      <c r="D973" s="14"/>
      <c r="E973" s="14"/>
      <c r="F973" s="14"/>
    </row>
    <row r="974">
      <c r="A974" s="14"/>
      <c r="B974" s="14"/>
      <c r="C974" s="14"/>
      <c r="D974" s="14"/>
      <c r="E974" s="14"/>
      <c r="F974" s="14"/>
    </row>
    <row r="975">
      <c r="A975" s="14"/>
      <c r="B975" s="14"/>
      <c r="C975" s="14"/>
      <c r="D975" s="14"/>
      <c r="E975" s="14"/>
      <c r="F975" s="14"/>
    </row>
    <row r="976">
      <c r="A976" s="14"/>
      <c r="B976" s="14"/>
      <c r="C976" s="14"/>
      <c r="D976" s="14"/>
      <c r="E976" s="14"/>
      <c r="F976" s="14"/>
    </row>
    <row r="977">
      <c r="A977" s="14"/>
      <c r="B977" s="14"/>
      <c r="C977" s="14"/>
      <c r="D977" s="14"/>
      <c r="E977" s="14"/>
      <c r="F977" s="14"/>
    </row>
    <row r="978">
      <c r="A978" s="14"/>
      <c r="B978" s="14"/>
      <c r="C978" s="14"/>
      <c r="D978" s="14"/>
      <c r="E978" s="14"/>
      <c r="F978" s="14"/>
    </row>
    <row r="979">
      <c r="A979" s="14"/>
      <c r="B979" s="14"/>
      <c r="C979" s="14"/>
      <c r="D979" s="14"/>
      <c r="E979" s="14"/>
      <c r="F979" s="14"/>
    </row>
    <row r="980">
      <c r="A980" s="14"/>
      <c r="B980" s="14"/>
      <c r="C980" s="14"/>
      <c r="D980" s="14"/>
      <c r="E980" s="14"/>
      <c r="F980" s="14"/>
    </row>
    <row r="981">
      <c r="A981" s="14"/>
      <c r="B981" s="14"/>
      <c r="C981" s="14"/>
      <c r="D981" s="14"/>
      <c r="E981" s="14"/>
      <c r="F981" s="14"/>
    </row>
    <row r="982">
      <c r="A982" s="14"/>
      <c r="B982" s="14"/>
      <c r="C982" s="14"/>
      <c r="D982" s="14"/>
      <c r="E982" s="14"/>
      <c r="F982" s="14"/>
    </row>
    <row r="983">
      <c r="A983" s="14"/>
      <c r="B983" s="14"/>
      <c r="C983" s="14"/>
      <c r="D983" s="14"/>
      <c r="E983" s="14"/>
      <c r="F983" s="14"/>
    </row>
    <row r="984">
      <c r="A984" s="14"/>
      <c r="B984" s="14"/>
      <c r="C984" s="14"/>
      <c r="D984" s="14"/>
      <c r="E984" s="14"/>
      <c r="F984" s="14"/>
    </row>
    <row r="985">
      <c r="A985" s="14"/>
      <c r="B985" s="14"/>
      <c r="C985" s="14"/>
      <c r="D985" s="14"/>
      <c r="E985" s="14"/>
      <c r="F985" s="14"/>
    </row>
    <row r="986">
      <c r="A986" s="14"/>
      <c r="B986" s="14"/>
      <c r="C986" s="14"/>
      <c r="D986" s="14"/>
      <c r="E986" s="14"/>
      <c r="F986" s="14"/>
    </row>
    <row r="987">
      <c r="A987" s="14"/>
      <c r="B987" s="14"/>
      <c r="C987" s="14"/>
      <c r="D987" s="14"/>
      <c r="E987" s="14"/>
      <c r="F987" s="14"/>
    </row>
    <row r="988">
      <c r="A988" s="14"/>
      <c r="B988" s="14"/>
      <c r="C988" s="14"/>
      <c r="D988" s="14"/>
      <c r="E988" s="14"/>
      <c r="F988" s="14"/>
    </row>
    <row r="989">
      <c r="A989" s="14"/>
      <c r="B989" s="14"/>
      <c r="C989" s="14"/>
      <c r="D989" s="14"/>
      <c r="E989" s="14"/>
      <c r="F989" s="14"/>
    </row>
    <row r="990">
      <c r="A990" s="14"/>
      <c r="B990" s="14"/>
      <c r="C990" s="14"/>
      <c r="D990" s="14"/>
      <c r="E990" s="14"/>
      <c r="F990" s="14"/>
    </row>
    <row r="991">
      <c r="A991" s="14"/>
      <c r="B991" s="14"/>
      <c r="C991" s="14"/>
      <c r="D991" s="14"/>
      <c r="E991" s="14"/>
      <c r="F991" s="14"/>
    </row>
    <row r="992">
      <c r="A992" s="14"/>
      <c r="B992" s="14"/>
      <c r="C992" s="14"/>
      <c r="D992" s="14"/>
      <c r="E992" s="14"/>
      <c r="F992" s="14"/>
    </row>
    <row r="993">
      <c r="A993" s="14"/>
      <c r="B993" s="14"/>
      <c r="C993" s="14"/>
      <c r="D993" s="14"/>
      <c r="E993" s="14"/>
      <c r="F993" s="14"/>
    </row>
    <row r="994">
      <c r="A994" s="14"/>
      <c r="B994" s="14"/>
      <c r="C994" s="14"/>
      <c r="D994" s="14"/>
      <c r="E994" s="14"/>
      <c r="F994" s="14"/>
    </row>
    <row r="995">
      <c r="A995" s="14"/>
      <c r="B995" s="14"/>
      <c r="C995" s="14"/>
      <c r="D995" s="14"/>
      <c r="E995" s="14"/>
      <c r="F995" s="14"/>
    </row>
    <row r="996">
      <c r="A996" s="14"/>
      <c r="B996" s="14"/>
      <c r="C996" s="14"/>
      <c r="D996" s="14"/>
      <c r="E996" s="14"/>
      <c r="F996" s="14"/>
    </row>
    <row r="997">
      <c r="A997" s="14"/>
      <c r="B997" s="14"/>
      <c r="C997" s="14"/>
      <c r="D997" s="14"/>
      <c r="E997" s="14"/>
      <c r="F997" s="14"/>
    </row>
    <row r="998">
      <c r="A998" s="14"/>
      <c r="B998" s="14"/>
      <c r="C998" s="14"/>
      <c r="D998" s="14"/>
      <c r="E998" s="14"/>
      <c r="F998" s="14"/>
    </row>
    <row r="999">
      <c r="A999" s="14"/>
      <c r="B999" s="14"/>
      <c r="C999" s="14"/>
      <c r="D999" s="14"/>
      <c r="E999" s="14"/>
      <c r="F999" s="14"/>
    </row>
    <row r="1000">
      <c r="A1000" s="14"/>
      <c r="B1000" s="14"/>
      <c r="C1000" s="14"/>
      <c r="D1000" s="14"/>
      <c r="E1000" s="14"/>
      <c r="F1000" s="14"/>
    </row>
    <row r="1001">
      <c r="A1001" s="14"/>
      <c r="B1001" s="14"/>
      <c r="C1001" s="14"/>
      <c r="D1001" s="14"/>
      <c r="E1001" s="14"/>
      <c r="F1001" s="14"/>
    </row>
    <row r="1002">
      <c r="A1002" s="14"/>
      <c r="B1002" s="14"/>
      <c r="C1002" s="14"/>
      <c r="D1002" s="14"/>
      <c r="E1002" s="14"/>
      <c r="F1002" s="14"/>
    </row>
    <row r="1003">
      <c r="A1003" s="14"/>
      <c r="B1003" s="14"/>
      <c r="C1003" s="14"/>
      <c r="D1003" s="14"/>
      <c r="E1003" s="14"/>
      <c r="F1003" s="14"/>
    </row>
    <row r="1004">
      <c r="A1004" s="14"/>
      <c r="B1004" s="14"/>
      <c r="C1004" s="14"/>
      <c r="D1004" s="14"/>
      <c r="E1004" s="14"/>
      <c r="F1004" s="14"/>
    </row>
    <row r="1005">
      <c r="A1005" s="14"/>
      <c r="B1005" s="14"/>
      <c r="C1005" s="14"/>
      <c r="D1005" s="14"/>
      <c r="E1005" s="14"/>
      <c r="F1005" s="14"/>
    </row>
    <row r="1006">
      <c r="A1006" s="14"/>
      <c r="B1006" s="14"/>
      <c r="C1006" s="14"/>
      <c r="D1006" s="14"/>
      <c r="E1006" s="14"/>
      <c r="F1006" s="14"/>
    </row>
    <row r="1007">
      <c r="A1007" s="14"/>
      <c r="B1007" s="14"/>
      <c r="C1007" s="14"/>
      <c r="D1007" s="14"/>
      <c r="E1007" s="14"/>
      <c r="F1007" s="14"/>
    </row>
    <row r="1008">
      <c r="A1008" s="14"/>
      <c r="B1008" s="14"/>
      <c r="C1008" s="14"/>
      <c r="D1008" s="14"/>
      <c r="E1008" s="14"/>
      <c r="F1008" s="14"/>
    </row>
    <row r="1009">
      <c r="A1009" s="14"/>
      <c r="B1009" s="14"/>
      <c r="C1009" s="14"/>
      <c r="D1009" s="14"/>
      <c r="E1009" s="14"/>
      <c r="F1009" s="14"/>
    </row>
    <row r="1010">
      <c r="A1010" s="14"/>
      <c r="B1010" s="14"/>
      <c r="C1010" s="14"/>
      <c r="D1010" s="14"/>
      <c r="E1010" s="14"/>
      <c r="F1010" s="14"/>
    </row>
    <row r="1011">
      <c r="A1011" s="14"/>
      <c r="B1011" s="14"/>
      <c r="C1011" s="14"/>
      <c r="D1011" s="14"/>
      <c r="E1011" s="14"/>
      <c r="F1011" s="14"/>
    </row>
    <row r="1012">
      <c r="A1012" s="14"/>
      <c r="B1012" s="14"/>
      <c r="C1012" s="14"/>
      <c r="D1012" s="14"/>
      <c r="E1012" s="14"/>
      <c r="F1012" s="14"/>
    </row>
    <row r="1013">
      <c r="A1013" s="14"/>
      <c r="B1013" s="14"/>
      <c r="C1013" s="14"/>
      <c r="D1013" s="14"/>
      <c r="E1013" s="14"/>
      <c r="F1013" s="14"/>
    </row>
  </sheetData>
  <autoFilter ref="$A$1:$AH$1013">
    <sortState ref="A1:AH1013">
      <sortCondition descending="1" ref="I1:I1013"/>
      <sortCondition descending="1" ref="H1:H1013"/>
      <sortCondition ref="C1:C1013"/>
      <sortCondition ref="K1:K1013"/>
      <sortCondition ref="J1:J101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142</v>
      </c>
      <c r="B1" s="17" t="s">
        <v>143</v>
      </c>
      <c r="C1" s="17" t="s">
        <v>144</v>
      </c>
      <c r="D1" s="17" t="s">
        <v>145</v>
      </c>
      <c r="E1" s="17" t="s">
        <v>146</v>
      </c>
      <c r="F1" s="17" t="s">
        <v>147</v>
      </c>
      <c r="G1" s="17" t="s">
        <v>2</v>
      </c>
      <c r="H1" s="17" t="s">
        <v>53</v>
      </c>
      <c r="I1" s="17" t="s">
        <v>148</v>
      </c>
      <c r="J1" s="17" t="s">
        <v>29</v>
      </c>
      <c r="K1" s="17" t="s">
        <v>149</v>
      </c>
      <c r="L1" s="17" t="s">
        <v>150</v>
      </c>
      <c r="M1" s="17" t="s">
        <v>151</v>
      </c>
      <c r="N1" s="17" t="s">
        <v>152</v>
      </c>
      <c r="O1" s="17" t="s">
        <v>153</v>
      </c>
      <c r="P1" s="17" t="s">
        <v>154</v>
      </c>
      <c r="Q1" s="17" t="s">
        <v>155</v>
      </c>
      <c r="R1" s="17" t="s">
        <v>156</v>
      </c>
      <c r="S1" s="17" t="s">
        <v>157</v>
      </c>
      <c r="T1" s="17" t="s">
        <v>158</v>
      </c>
      <c r="U1" s="17" t="s">
        <v>159</v>
      </c>
      <c r="V1" s="18" t="s">
        <v>56</v>
      </c>
      <c r="W1" s="18" t="s">
        <v>160</v>
      </c>
      <c r="X1" s="18" t="s">
        <v>161</v>
      </c>
      <c r="Y1" s="18" t="s">
        <v>162</v>
      </c>
      <c r="Z1" s="18" t="s">
        <v>163</v>
      </c>
    </row>
    <row r="2">
      <c r="A2" s="19">
        <v>376.0</v>
      </c>
      <c r="B2" s="20" t="s">
        <v>164</v>
      </c>
      <c r="C2" s="20" t="s">
        <v>165</v>
      </c>
      <c r="D2" s="20" t="s">
        <v>165</v>
      </c>
      <c r="E2" s="20" t="s">
        <v>166</v>
      </c>
      <c r="F2" s="20" t="s">
        <v>167</v>
      </c>
      <c r="G2" s="19">
        <v>0.0</v>
      </c>
      <c r="H2" s="21"/>
      <c r="I2" s="21"/>
      <c r="J2" s="21"/>
      <c r="K2" s="21"/>
      <c r="L2" s="20" t="s">
        <v>168</v>
      </c>
      <c r="M2" s="20" t="s">
        <v>169</v>
      </c>
      <c r="N2" s="20" t="s">
        <v>170</v>
      </c>
      <c r="O2" s="19">
        <v>-5.5512796</v>
      </c>
      <c r="P2" s="19">
        <v>50.0884966</v>
      </c>
      <c r="Q2" s="20" t="s">
        <v>171</v>
      </c>
      <c r="R2" s="20" t="s">
        <v>172</v>
      </c>
      <c r="S2" s="20" t="s">
        <v>173</v>
      </c>
      <c r="T2" s="19">
        <v>16.0</v>
      </c>
      <c r="U2" s="20" t="s">
        <v>174</v>
      </c>
      <c r="V2" s="22">
        <v>87.0</v>
      </c>
      <c r="W2" s="23"/>
      <c r="X2" s="23"/>
      <c r="Y2" s="22">
        <v>210.0</v>
      </c>
      <c r="Z2" s="23"/>
    </row>
    <row r="3">
      <c r="A3" s="19">
        <v>377.0</v>
      </c>
      <c r="B3" s="20" t="s">
        <v>175</v>
      </c>
      <c r="C3" s="20" t="s">
        <v>176</v>
      </c>
      <c r="D3" s="20" t="s">
        <v>176</v>
      </c>
      <c r="E3" s="20" t="s">
        <v>177</v>
      </c>
      <c r="F3" s="20" t="s">
        <v>178</v>
      </c>
      <c r="G3" s="19">
        <v>0.0</v>
      </c>
      <c r="H3" s="21"/>
      <c r="I3" s="21"/>
      <c r="J3" s="21"/>
      <c r="K3" s="21"/>
      <c r="L3" s="20" t="s">
        <v>179</v>
      </c>
      <c r="M3" s="20" t="s">
        <v>169</v>
      </c>
      <c r="N3" s="20" t="s">
        <v>170</v>
      </c>
      <c r="O3" s="19">
        <v>-4.644431</v>
      </c>
      <c r="P3" s="19">
        <v>50.366732</v>
      </c>
      <c r="Q3" s="20" t="s">
        <v>180</v>
      </c>
      <c r="R3" s="20" t="s">
        <v>181</v>
      </c>
      <c r="S3" s="20" t="s">
        <v>182</v>
      </c>
      <c r="T3" s="21"/>
      <c r="U3" s="20" t="s">
        <v>183</v>
      </c>
      <c r="V3" s="22">
        <v>96.0</v>
      </c>
      <c r="W3" s="23"/>
      <c r="X3" s="23"/>
      <c r="Y3" s="22">
        <v>186.0</v>
      </c>
      <c r="Z3" s="23"/>
    </row>
    <row r="4">
      <c r="A4" s="19">
        <v>385.0</v>
      </c>
      <c r="B4" s="20" t="s">
        <v>184</v>
      </c>
      <c r="C4" s="20" t="s">
        <v>165</v>
      </c>
      <c r="D4" s="20" t="s">
        <v>165</v>
      </c>
      <c r="E4" s="20" t="s">
        <v>185</v>
      </c>
      <c r="F4" s="20" t="s">
        <v>167</v>
      </c>
      <c r="G4" s="19">
        <v>0.0</v>
      </c>
      <c r="H4" s="21"/>
      <c r="I4" s="21"/>
      <c r="J4" s="21"/>
      <c r="K4" s="21"/>
      <c r="L4" s="20" t="s">
        <v>186</v>
      </c>
      <c r="M4" s="20" t="s">
        <v>187</v>
      </c>
      <c r="N4" s="20" t="s">
        <v>170</v>
      </c>
      <c r="O4" s="19">
        <v>-4.1303361</v>
      </c>
      <c r="P4" s="19">
        <v>50.668126</v>
      </c>
      <c r="Q4" s="20" t="s">
        <v>171</v>
      </c>
      <c r="R4" s="20" t="s">
        <v>188</v>
      </c>
      <c r="S4" s="20" t="s">
        <v>189</v>
      </c>
      <c r="T4" s="19">
        <v>4.0</v>
      </c>
      <c r="U4" s="20" t="s">
        <v>190</v>
      </c>
      <c r="V4" s="22">
        <v>110.0</v>
      </c>
      <c r="W4" s="22">
        <v>59.0</v>
      </c>
      <c r="X4" s="22">
        <v>32.0</v>
      </c>
      <c r="Y4" s="22">
        <v>320.0</v>
      </c>
      <c r="Z4" s="22">
        <v>0.536</v>
      </c>
    </row>
    <row r="5">
      <c r="A5" s="19">
        <v>396.0</v>
      </c>
      <c r="B5" s="20" t="s">
        <v>191</v>
      </c>
      <c r="C5" s="20" t="s">
        <v>165</v>
      </c>
      <c r="D5" s="20" t="s">
        <v>165</v>
      </c>
      <c r="E5" s="20" t="s">
        <v>166</v>
      </c>
      <c r="F5" s="20" t="s">
        <v>167</v>
      </c>
      <c r="G5" s="19">
        <v>0.0</v>
      </c>
      <c r="H5" s="21"/>
      <c r="I5" s="21"/>
      <c r="J5" s="21"/>
      <c r="K5" s="21"/>
      <c r="L5" s="20" t="s">
        <v>192</v>
      </c>
      <c r="M5" s="20" t="s">
        <v>187</v>
      </c>
      <c r="N5" s="20" t="s">
        <v>170</v>
      </c>
      <c r="O5" s="19">
        <v>-3.4352617</v>
      </c>
      <c r="P5" s="19">
        <v>50.8918996</v>
      </c>
      <c r="Q5" s="20" t="s">
        <v>171</v>
      </c>
      <c r="R5" s="20" t="s">
        <v>193</v>
      </c>
      <c r="S5" s="20" t="s">
        <v>194</v>
      </c>
      <c r="T5" s="19">
        <v>15.0</v>
      </c>
      <c r="U5" s="20" t="s">
        <v>174</v>
      </c>
      <c r="V5" s="22">
        <v>130.0</v>
      </c>
      <c r="W5" s="23"/>
      <c r="X5" s="23"/>
      <c r="Y5" s="22">
        <v>498.0</v>
      </c>
      <c r="Z5" s="23"/>
    </row>
    <row r="6">
      <c r="A6" s="19">
        <v>398.0</v>
      </c>
      <c r="B6" s="20" t="s">
        <v>195</v>
      </c>
      <c r="C6" s="20" t="s">
        <v>165</v>
      </c>
      <c r="D6" s="20" t="s">
        <v>165</v>
      </c>
      <c r="E6" s="20" t="s">
        <v>185</v>
      </c>
      <c r="F6" s="20" t="s">
        <v>167</v>
      </c>
      <c r="G6" s="19">
        <v>0.0</v>
      </c>
      <c r="H6" s="21"/>
      <c r="I6" s="21"/>
      <c r="J6" s="21"/>
      <c r="K6" s="21"/>
      <c r="L6" s="20" t="s">
        <v>196</v>
      </c>
      <c r="M6" s="20" t="s">
        <v>197</v>
      </c>
      <c r="N6" s="20" t="s">
        <v>170</v>
      </c>
      <c r="O6" s="19">
        <v>-3.3853014</v>
      </c>
      <c r="P6" s="19">
        <v>51.1245168</v>
      </c>
      <c r="Q6" s="20" t="s">
        <v>171</v>
      </c>
      <c r="R6" s="20" t="s">
        <v>198</v>
      </c>
      <c r="S6" s="24" t="s">
        <v>199</v>
      </c>
      <c r="T6" s="21"/>
      <c r="U6" s="20" t="s">
        <v>200</v>
      </c>
      <c r="V6" s="22">
        <v>123.6</v>
      </c>
      <c r="W6" s="22">
        <v>84.3</v>
      </c>
      <c r="X6" s="22">
        <v>42.1</v>
      </c>
      <c r="Y6" s="22">
        <v>523.0</v>
      </c>
      <c r="Z6" s="22">
        <v>0.682</v>
      </c>
    </row>
    <row r="7">
      <c r="A7" s="19">
        <v>407.0</v>
      </c>
      <c r="B7" s="20" t="s">
        <v>201</v>
      </c>
      <c r="C7" s="20" t="s">
        <v>165</v>
      </c>
      <c r="D7" s="20" t="s">
        <v>165</v>
      </c>
      <c r="E7" s="20" t="s">
        <v>202</v>
      </c>
      <c r="F7" s="20" t="s">
        <v>203</v>
      </c>
      <c r="G7" s="19">
        <v>0.0</v>
      </c>
      <c r="H7" s="21"/>
      <c r="I7" s="21"/>
      <c r="J7" s="21"/>
      <c r="K7" s="21"/>
      <c r="L7" s="20" t="s">
        <v>204</v>
      </c>
      <c r="M7" s="20" t="s">
        <v>197</v>
      </c>
      <c r="N7" s="20" t="s">
        <v>170</v>
      </c>
      <c r="O7" s="19">
        <v>-3.2327716</v>
      </c>
      <c r="P7" s="19">
        <v>50.9504191</v>
      </c>
      <c r="Q7" s="20" t="s">
        <v>205</v>
      </c>
      <c r="R7" s="20" t="s">
        <v>206</v>
      </c>
      <c r="S7" s="20" t="s">
        <v>207</v>
      </c>
      <c r="T7" s="21"/>
      <c r="U7" s="20" t="s">
        <v>208</v>
      </c>
      <c r="V7" s="22">
        <v>141.0</v>
      </c>
      <c r="W7" s="22">
        <v>85.0</v>
      </c>
      <c r="X7" s="22">
        <v>29.0</v>
      </c>
      <c r="Y7" s="22">
        <v>371.0</v>
      </c>
      <c r="Z7" s="22">
        <v>0.603</v>
      </c>
    </row>
    <row r="8">
      <c r="A8" s="19">
        <v>410.0</v>
      </c>
      <c r="B8" s="20" t="s">
        <v>209</v>
      </c>
      <c r="C8" s="20" t="s">
        <v>176</v>
      </c>
      <c r="D8" s="20" t="s">
        <v>176</v>
      </c>
      <c r="E8" s="20" t="s">
        <v>210</v>
      </c>
      <c r="F8" s="20" t="s">
        <v>178</v>
      </c>
      <c r="G8" s="19">
        <v>0.0</v>
      </c>
      <c r="H8" s="21"/>
      <c r="I8" s="21"/>
      <c r="J8" s="21"/>
      <c r="K8" s="21"/>
      <c r="L8" s="20" t="s">
        <v>211</v>
      </c>
      <c r="M8" s="20" t="s">
        <v>187</v>
      </c>
      <c r="N8" s="20" t="s">
        <v>170</v>
      </c>
      <c r="O8" s="19">
        <v>-3.1522892</v>
      </c>
      <c r="P8" s="19">
        <v>50.7178764</v>
      </c>
      <c r="Q8" s="20" t="s">
        <v>180</v>
      </c>
      <c r="R8" s="20" t="s">
        <v>212</v>
      </c>
      <c r="S8" s="20" t="s">
        <v>213</v>
      </c>
      <c r="T8" s="21"/>
      <c r="U8" s="20" t="s">
        <v>214</v>
      </c>
      <c r="V8" s="22">
        <v>116.0</v>
      </c>
      <c r="W8" s="23"/>
      <c r="X8" s="23"/>
      <c r="Y8" s="22">
        <v>205.0</v>
      </c>
      <c r="Z8" s="23"/>
    </row>
    <row r="9">
      <c r="A9" s="19">
        <v>412.0</v>
      </c>
      <c r="B9" s="20" t="s">
        <v>215</v>
      </c>
      <c r="C9" s="20" t="s">
        <v>165</v>
      </c>
      <c r="D9" s="20" t="s">
        <v>165</v>
      </c>
      <c r="E9" s="23"/>
      <c r="F9" s="20" t="s">
        <v>203</v>
      </c>
      <c r="G9" s="19">
        <v>0.0</v>
      </c>
      <c r="H9" s="21"/>
      <c r="I9" s="21"/>
      <c r="J9" s="21"/>
      <c r="K9" s="21"/>
      <c r="L9" s="20" t="s">
        <v>216</v>
      </c>
      <c r="M9" s="20" t="s">
        <v>197</v>
      </c>
      <c r="N9" s="20" t="s">
        <v>170</v>
      </c>
      <c r="O9" s="19">
        <v>-3.0331093</v>
      </c>
      <c r="P9" s="19">
        <v>50.9343713</v>
      </c>
      <c r="Q9" s="23"/>
      <c r="R9" s="20" t="s">
        <v>217</v>
      </c>
      <c r="S9" s="20" t="s">
        <v>218</v>
      </c>
      <c r="T9" s="21"/>
      <c r="U9" s="20" t="s">
        <v>219</v>
      </c>
      <c r="V9" s="22">
        <v>112.0</v>
      </c>
      <c r="W9" s="22">
        <v>63.0</v>
      </c>
      <c r="X9" s="22">
        <v>25.0</v>
      </c>
      <c r="Y9" s="22">
        <v>238.0</v>
      </c>
      <c r="Z9" s="22">
        <v>0.562</v>
      </c>
    </row>
    <row r="10">
      <c r="A10" s="19">
        <v>424.0</v>
      </c>
      <c r="B10" s="20" t="s">
        <v>220</v>
      </c>
      <c r="C10" s="20" t="s">
        <v>176</v>
      </c>
      <c r="D10" s="20" t="s">
        <v>176</v>
      </c>
      <c r="E10" s="20" t="s">
        <v>210</v>
      </c>
      <c r="F10" s="20" t="s">
        <v>178</v>
      </c>
      <c r="G10" s="19">
        <v>0.0</v>
      </c>
      <c r="H10" s="21"/>
      <c r="I10" s="21"/>
      <c r="J10" s="21"/>
      <c r="K10" s="21"/>
      <c r="L10" s="20" t="s">
        <v>221</v>
      </c>
      <c r="M10" s="20" t="s">
        <v>222</v>
      </c>
      <c r="N10" s="20" t="s">
        <v>170</v>
      </c>
      <c r="O10" s="19">
        <v>-2.5323967</v>
      </c>
      <c r="P10" s="19">
        <v>50.7039213</v>
      </c>
      <c r="Q10" s="20" t="s">
        <v>180</v>
      </c>
      <c r="R10" s="20" t="s">
        <v>223</v>
      </c>
      <c r="S10" s="20" t="s">
        <v>224</v>
      </c>
      <c r="T10" s="19">
        <v>61.0</v>
      </c>
      <c r="U10" s="20" t="s">
        <v>225</v>
      </c>
      <c r="V10" s="22">
        <v>167.0</v>
      </c>
      <c r="W10" s="22">
        <v>102.0</v>
      </c>
      <c r="X10" s="22">
        <v>35.0</v>
      </c>
      <c r="Y10" s="22">
        <v>425.0</v>
      </c>
      <c r="Z10" s="22">
        <v>0.611</v>
      </c>
    </row>
    <row r="11">
      <c r="A11" s="19">
        <v>426.0</v>
      </c>
      <c r="B11" s="20" t="s">
        <v>226</v>
      </c>
      <c r="C11" s="20" t="s">
        <v>165</v>
      </c>
      <c r="D11" s="20" t="s">
        <v>165</v>
      </c>
      <c r="E11" s="20" t="s">
        <v>227</v>
      </c>
      <c r="F11" s="20" t="s">
        <v>178</v>
      </c>
      <c r="G11" s="19">
        <v>0.0</v>
      </c>
      <c r="H11" s="21"/>
      <c r="I11" s="21"/>
      <c r="J11" s="21"/>
      <c r="K11" s="21"/>
      <c r="L11" s="20" t="s">
        <v>228</v>
      </c>
      <c r="M11" s="20" t="s">
        <v>222</v>
      </c>
      <c r="N11" s="20" t="s">
        <v>170</v>
      </c>
      <c r="O11" s="19">
        <v>-2.48632</v>
      </c>
      <c r="P11" s="19">
        <v>50.678179</v>
      </c>
      <c r="Q11" s="20" t="s">
        <v>180</v>
      </c>
      <c r="R11" s="20" t="s">
        <v>229</v>
      </c>
      <c r="S11" s="20" t="s">
        <v>230</v>
      </c>
      <c r="T11" s="21"/>
      <c r="U11" s="20" t="s">
        <v>231</v>
      </c>
      <c r="V11" s="22">
        <v>175.0</v>
      </c>
      <c r="W11" s="22">
        <v>78.0</v>
      </c>
      <c r="X11" s="22">
        <v>24.0</v>
      </c>
      <c r="Y11" s="22">
        <v>599.0</v>
      </c>
      <c r="Z11" s="22">
        <v>0.446</v>
      </c>
    </row>
    <row r="12">
      <c r="A12" s="19">
        <v>427.0</v>
      </c>
      <c r="B12" s="20" t="s">
        <v>232</v>
      </c>
      <c r="C12" s="20" t="s">
        <v>165</v>
      </c>
      <c r="D12" s="20" t="s">
        <v>233</v>
      </c>
      <c r="E12" s="20" t="s">
        <v>166</v>
      </c>
      <c r="F12" s="20" t="s">
        <v>167</v>
      </c>
      <c r="G12" s="19">
        <v>0.0</v>
      </c>
      <c r="H12" s="21"/>
      <c r="I12" s="21"/>
      <c r="J12" s="21"/>
      <c r="K12" s="21"/>
      <c r="L12" s="20" t="s">
        <v>234</v>
      </c>
      <c r="M12" s="20" t="s">
        <v>222</v>
      </c>
      <c r="N12" s="20" t="s">
        <v>170</v>
      </c>
      <c r="O12" s="19">
        <v>-2.4263267</v>
      </c>
      <c r="P12" s="19">
        <v>50.6409585</v>
      </c>
      <c r="Q12" s="20" t="s">
        <v>171</v>
      </c>
      <c r="R12" s="20" t="s">
        <v>235</v>
      </c>
      <c r="S12" s="20" t="s">
        <v>236</v>
      </c>
      <c r="T12" s="19">
        <v>19.0</v>
      </c>
      <c r="U12" s="20" t="s">
        <v>174</v>
      </c>
      <c r="V12" s="22">
        <v>58.0</v>
      </c>
      <c r="W12" s="22">
        <v>35.0</v>
      </c>
      <c r="X12" s="22">
        <v>19.0</v>
      </c>
      <c r="Y12" s="22">
        <v>96.0</v>
      </c>
      <c r="Z12" s="22">
        <v>0.603</v>
      </c>
    </row>
    <row r="13">
      <c r="A13" s="19">
        <v>430.0</v>
      </c>
      <c r="B13" s="20" t="s">
        <v>237</v>
      </c>
      <c r="C13" s="20" t="s">
        <v>165</v>
      </c>
      <c r="D13" s="20" t="s">
        <v>165</v>
      </c>
      <c r="E13" s="20" t="s">
        <v>238</v>
      </c>
      <c r="F13" s="20" t="s">
        <v>203</v>
      </c>
      <c r="G13" s="19">
        <v>0.0</v>
      </c>
      <c r="H13" s="21"/>
      <c r="I13" s="21"/>
      <c r="J13" s="21"/>
      <c r="K13" s="21"/>
      <c r="L13" s="20" t="s">
        <v>124</v>
      </c>
      <c r="M13" s="20" t="s">
        <v>239</v>
      </c>
      <c r="N13" s="20" t="s">
        <v>170</v>
      </c>
      <c r="O13" s="19">
        <v>-2.3968225</v>
      </c>
      <c r="P13" s="19">
        <v>51.4148449</v>
      </c>
      <c r="Q13" s="20" t="s">
        <v>205</v>
      </c>
      <c r="R13" s="20" t="s">
        <v>240</v>
      </c>
      <c r="S13" s="20" t="s">
        <v>241</v>
      </c>
      <c r="T13" s="19">
        <v>24.0</v>
      </c>
      <c r="U13" s="20" t="s">
        <v>242</v>
      </c>
      <c r="V13" s="22">
        <v>136.0</v>
      </c>
      <c r="W13" s="22">
        <v>81.0</v>
      </c>
      <c r="X13" s="22">
        <v>34.0</v>
      </c>
      <c r="Y13" s="22">
        <v>436.2</v>
      </c>
      <c r="Z13" s="22">
        <v>0.596</v>
      </c>
    </row>
    <row r="14">
      <c r="A14" s="19">
        <v>435.0</v>
      </c>
      <c r="B14" s="20" t="s">
        <v>243</v>
      </c>
      <c r="C14" s="20" t="s">
        <v>165</v>
      </c>
      <c r="D14" s="20" t="s">
        <v>165</v>
      </c>
      <c r="E14" s="20" t="s">
        <v>244</v>
      </c>
      <c r="F14" s="20" t="s">
        <v>178</v>
      </c>
      <c r="G14" s="19">
        <v>0.0</v>
      </c>
      <c r="H14" s="21"/>
      <c r="I14" s="21"/>
      <c r="J14" s="21"/>
      <c r="K14" s="21"/>
      <c r="L14" s="20" t="s">
        <v>245</v>
      </c>
      <c r="M14" s="20" t="s">
        <v>222</v>
      </c>
      <c r="N14" s="20" t="s">
        <v>170</v>
      </c>
      <c r="O14" s="19">
        <v>-2.2105293</v>
      </c>
      <c r="P14" s="19">
        <v>50.769245</v>
      </c>
      <c r="Q14" s="20" t="s">
        <v>180</v>
      </c>
      <c r="R14" s="20" t="s">
        <v>246</v>
      </c>
      <c r="S14" s="20" t="s">
        <v>247</v>
      </c>
      <c r="T14" s="21"/>
      <c r="U14" s="20" t="s">
        <v>248</v>
      </c>
      <c r="V14" s="22">
        <v>109.0</v>
      </c>
      <c r="W14" s="22">
        <v>43.0</v>
      </c>
      <c r="X14" s="22">
        <v>24.0</v>
      </c>
      <c r="Y14" s="22">
        <v>183.0</v>
      </c>
      <c r="Z14" s="22">
        <v>0.394</v>
      </c>
    </row>
    <row r="15">
      <c r="A15" s="19">
        <v>450.0</v>
      </c>
      <c r="B15" s="20" t="s">
        <v>249</v>
      </c>
      <c r="C15" s="20" t="s">
        <v>165</v>
      </c>
      <c r="D15" s="20" t="s">
        <v>165</v>
      </c>
      <c r="E15" s="20" t="s">
        <v>250</v>
      </c>
      <c r="F15" s="20" t="s">
        <v>203</v>
      </c>
      <c r="G15" s="19">
        <v>0.0</v>
      </c>
      <c r="H15" s="21"/>
      <c r="I15" s="21"/>
      <c r="J15" s="21"/>
      <c r="K15" s="21"/>
      <c r="L15" s="20" t="s">
        <v>251</v>
      </c>
      <c r="M15" s="20" t="s">
        <v>252</v>
      </c>
      <c r="N15" s="20" t="s">
        <v>253</v>
      </c>
      <c r="O15" s="19">
        <v>-1.8729</v>
      </c>
      <c r="P15" s="19">
        <v>53.2203</v>
      </c>
      <c r="Q15" s="20" t="s">
        <v>171</v>
      </c>
      <c r="R15" s="20" t="s">
        <v>254</v>
      </c>
      <c r="S15" s="20" t="s">
        <v>255</v>
      </c>
      <c r="T15" s="21"/>
      <c r="U15" s="20" t="s">
        <v>256</v>
      </c>
      <c r="V15" s="22">
        <v>132.0</v>
      </c>
      <c r="W15" s="22">
        <v>72.5</v>
      </c>
      <c r="X15" s="22">
        <v>40.0</v>
      </c>
      <c r="Y15" s="22">
        <v>413.4</v>
      </c>
      <c r="Z15" s="22">
        <v>0.549</v>
      </c>
    </row>
    <row r="16">
      <c r="A16" s="19">
        <v>454.0</v>
      </c>
      <c r="B16" s="20" t="s">
        <v>257</v>
      </c>
      <c r="C16" s="20" t="s">
        <v>165</v>
      </c>
      <c r="D16" s="20" t="s">
        <v>165</v>
      </c>
      <c r="E16" s="20" t="s">
        <v>258</v>
      </c>
      <c r="F16" s="20" t="s">
        <v>203</v>
      </c>
      <c r="G16" s="19">
        <v>0.0</v>
      </c>
      <c r="H16" s="21"/>
      <c r="I16" s="21"/>
      <c r="J16" s="21"/>
      <c r="K16" s="21"/>
      <c r="L16" s="20" t="s">
        <v>259</v>
      </c>
      <c r="M16" s="20" t="s">
        <v>252</v>
      </c>
      <c r="N16" s="20" t="s">
        <v>253</v>
      </c>
      <c r="O16" s="19">
        <v>-1.7205</v>
      </c>
      <c r="P16" s="19">
        <v>53.0873</v>
      </c>
      <c r="Q16" s="20" t="s">
        <v>205</v>
      </c>
      <c r="R16" s="20" t="s">
        <v>260</v>
      </c>
      <c r="S16" s="20" t="s">
        <v>261</v>
      </c>
      <c r="T16" s="21"/>
      <c r="U16" s="20" t="s">
        <v>262</v>
      </c>
      <c r="V16" s="22">
        <v>176.0</v>
      </c>
      <c r="W16" s="22">
        <v>94.0</v>
      </c>
      <c r="X16" s="22">
        <v>55.0</v>
      </c>
      <c r="Y16" s="22">
        <v>599.2</v>
      </c>
      <c r="Z16" s="22">
        <v>0.534</v>
      </c>
    </row>
    <row r="17">
      <c r="A17" s="19">
        <v>459.0</v>
      </c>
      <c r="B17" s="20" t="s">
        <v>263</v>
      </c>
      <c r="C17" s="20" t="s">
        <v>176</v>
      </c>
      <c r="D17" s="20" t="s">
        <v>176</v>
      </c>
      <c r="E17" s="20" t="s">
        <v>264</v>
      </c>
      <c r="F17" s="20" t="s">
        <v>203</v>
      </c>
      <c r="G17" s="19">
        <v>0.0</v>
      </c>
      <c r="H17" s="21"/>
      <c r="I17" s="21"/>
      <c r="J17" s="21"/>
      <c r="K17" s="21"/>
      <c r="L17" s="20" t="s">
        <v>265</v>
      </c>
      <c r="M17" s="20" t="s">
        <v>252</v>
      </c>
      <c r="N17" s="20" t="s">
        <v>253</v>
      </c>
      <c r="O17" s="19">
        <v>-1.669718</v>
      </c>
      <c r="P17" s="19">
        <v>53.318272</v>
      </c>
      <c r="Q17" s="20" t="s">
        <v>180</v>
      </c>
      <c r="R17" s="20" t="s">
        <v>266</v>
      </c>
      <c r="S17" s="20" t="s">
        <v>267</v>
      </c>
      <c r="T17" s="21"/>
      <c r="U17" s="20" t="s">
        <v>268</v>
      </c>
      <c r="V17" s="22">
        <v>172.0</v>
      </c>
      <c r="W17" s="23"/>
      <c r="X17" s="23"/>
      <c r="Y17" s="23"/>
      <c r="Z17" s="23"/>
    </row>
    <row r="18">
      <c r="A18" s="19">
        <v>463.0</v>
      </c>
      <c r="B18" s="20" t="s">
        <v>269</v>
      </c>
      <c r="C18" s="20" t="s">
        <v>176</v>
      </c>
      <c r="D18" s="20" t="s">
        <v>176</v>
      </c>
      <c r="E18" s="20" t="s">
        <v>264</v>
      </c>
      <c r="F18" s="20" t="s">
        <v>203</v>
      </c>
      <c r="G18" s="19">
        <v>0.0</v>
      </c>
      <c r="H18" s="21"/>
      <c r="I18" s="21"/>
      <c r="J18" s="21"/>
      <c r="K18" s="21"/>
      <c r="L18" s="20" t="s">
        <v>270</v>
      </c>
      <c r="M18" s="20" t="s">
        <v>252</v>
      </c>
      <c r="N18" s="20" t="s">
        <v>253</v>
      </c>
      <c r="O18" s="19">
        <v>-1.5980336</v>
      </c>
      <c r="P18" s="19">
        <v>53.1989503</v>
      </c>
      <c r="Q18" s="20" t="s">
        <v>180</v>
      </c>
      <c r="R18" s="20" t="s">
        <v>271</v>
      </c>
      <c r="S18" s="20" t="s">
        <v>272</v>
      </c>
      <c r="T18" s="21"/>
      <c r="U18" s="20" t="s">
        <v>273</v>
      </c>
      <c r="V18" s="22">
        <v>133.0</v>
      </c>
      <c r="W18" s="22">
        <v>74.0</v>
      </c>
      <c r="X18" s="22">
        <v>23.0</v>
      </c>
      <c r="Y18" s="22">
        <v>198.0</v>
      </c>
      <c r="Z18" s="22">
        <v>0.556</v>
      </c>
    </row>
    <row r="19">
      <c r="A19" s="19">
        <v>471.0</v>
      </c>
      <c r="B19" s="20" t="s">
        <v>274</v>
      </c>
      <c r="C19" s="20" t="s">
        <v>165</v>
      </c>
      <c r="D19" s="20" t="s">
        <v>165</v>
      </c>
      <c r="E19" s="20" t="s">
        <v>275</v>
      </c>
      <c r="F19" s="20" t="s">
        <v>203</v>
      </c>
      <c r="G19" s="19">
        <v>0.0</v>
      </c>
      <c r="H19" s="21"/>
      <c r="I19" s="21"/>
      <c r="J19" s="21"/>
      <c r="K19" s="21"/>
      <c r="L19" s="20" t="s">
        <v>276</v>
      </c>
      <c r="M19" s="20" t="s">
        <v>277</v>
      </c>
      <c r="N19" s="20" t="s">
        <v>170</v>
      </c>
      <c r="O19" s="19">
        <v>-1.6758087</v>
      </c>
      <c r="P19" s="19">
        <v>51.915927</v>
      </c>
      <c r="Q19" s="20" t="s">
        <v>205</v>
      </c>
      <c r="R19" s="20" t="s">
        <v>278</v>
      </c>
      <c r="S19" s="20" t="s">
        <v>279</v>
      </c>
      <c r="T19" s="19">
        <v>37.0</v>
      </c>
      <c r="U19" s="20" t="s">
        <v>280</v>
      </c>
      <c r="V19" s="22">
        <v>152.5</v>
      </c>
      <c r="W19" s="22">
        <v>94.4</v>
      </c>
      <c r="X19" s="22">
        <v>29.5</v>
      </c>
      <c r="Y19" s="22">
        <v>482.7</v>
      </c>
      <c r="Z19" s="22">
        <v>0.619</v>
      </c>
    </row>
    <row r="20">
      <c r="A20" s="19">
        <v>473.0</v>
      </c>
      <c r="B20" s="20" t="s">
        <v>281</v>
      </c>
      <c r="C20" s="20" t="s">
        <v>165</v>
      </c>
      <c r="D20" s="20" t="s">
        <v>165</v>
      </c>
      <c r="E20" s="20" t="s">
        <v>282</v>
      </c>
      <c r="F20" s="20" t="s">
        <v>203</v>
      </c>
      <c r="G20" s="19">
        <v>0.0</v>
      </c>
      <c r="H20" s="21"/>
      <c r="I20" s="21"/>
      <c r="J20" s="21"/>
      <c r="K20" s="21"/>
      <c r="L20" s="20" t="s">
        <v>283</v>
      </c>
      <c r="M20" s="20" t="s">
        <v>284</v>
      </c>
      <c r="N20" s="20" t="s">
        <v>253</v>
      </c>
      <c r="O20" s="19">
        <v>-1.158614</v>
      </c>
      <c r="P20" s="19">
        <v>51.578846</v>
      </c>
      <c r="Q20" s="20" t="s">
        <v>205</v>
      </c>
      <c r="R20" s="20" t="s">
        <v>285</v>
      </c>
      <c r="S20" s="20" t="s">
        <v>286</v>
      </c>
      <c r="T20" s="21"/>
      <c r="U20" s="20" t="s">
        <v>280</v>
      </c>
      <c r="V20" s="22">
        <v>128.0</v>
      </c>
      <c r="W20" s="23"/>
      <c r="X20" s="23"/>
      <c r="Y20" s="22">
        <v>347.3</v>
      </c>
      <c r="Z20" s="23"/>
    </row>
    <row r="21">
      <c r="A21" s="19">
        <v>482.0</v>
      </c>
      <c r="B21" s="20" t="s">
        <v>287</v>
      </c>
      <c r="C21" s="20" t="s">
        <v>165</v>
      </c>
      <c r="D21" s="20" t="s">
        <v>165</v>
      </c>
      <c r="E21" s="20" t="s">
        <v>288</v>
      </c>
      <c r="F21" s="20" t="s">
        <v>178</v>
      </c>
      <c r="G21" s="19">
        <v>0.0</v>
      </c>
      <c r="H21" s="21"/>
      <c r="I21" s="21"/>
      <c r="J21" s="21"/>
      <c r="K21" s="21"/>
      <c r="L21" s="20" t="s">
        <v>289</v>
      </c>
      <c r="M21" s="20" t="s">
        <v>290</v>
      </c>
      <c r="N21" s="20" t="s">
        <v>253</v>
      </c>
      <c r="O21" s="19">
        <v>-0.72292</v>
      </c>
      <c r="P21" s="19">
        <v>52.39312</v>
      </c>
      <c r="Q21" s="20" t="s">
        <v>205</v>
      </c>
      <c r="R21" s="20" t="s">
        <v>291</v>
      </c>
      <c r="S21" s="20" t="s">
        <v>292</v>
      </c>
      <c r="T21" s="19">
        <v>48.0</v>
      </c>
      <c r="U21" s="20" t="s">
        <v>293</v>
      </c>
      <c r="V21" s="22">
        <v>152.0</v>
      </c>
      <c r="W21" s="22">
        <v>97.0</v>
      </c>
      <c r="X21" s="22">
        <v>38.0</v>
      </c>
      <c r="Y21" s="22">
        <v>609.0</v>
      </c>
      <c r="Z21" s="22">
        <v>0.638</v>
      </c>
    </row>
    <row r="22">
      <c r="A22" s="19">
        <v>483.0</v>
      </c>
      <c r="B22" s="20" t="s">
        <v>294</v>
      </c>
      <c r="C22" s="20" t="s">
        <v>165</v>
      </c>
      <c r="D22" s="20" t="s">
        <v>165</v>
      </c>
      <c r="E22" s="20" t="s">
        <v>295</v>
      </c>
      <c r="F22" s="20" t="s">
        <v>203</v>
      </c>
      <c r="G22" s="19">
        <v>0.0</v>
      </c>
      <c r="H22" s="21"/>
      <c r="I22" s="21"/>
      <c r="J22" s="21"/>
      <c r="K22" s="21"/>
      <c r="L22" s="20" t="s">
        <v>296</v>
      </c>
      <c r="M22" s="20" t="s">
        <v>297</v>
      </c>
      <c r="N22" s="20" t="s">
        <v>253</v>
      </c>
      <c r="O22" s="19">
        <v>-0.6994232</v>
      </c>
      <c r="P22" s="19">
        <v>51.5096898</v>
      </c>
      <c r="Q22" s="20" t="s">
        <v>205</v>
      </c>
      <c r="R22" s="20" t="s">
        <v>298</v>
      </c>
      <c r="S22" s="20" t="s">
        <v>299</v>
      </c>
      <c r="T22" s="19">
        <v>27.0</v>
      </c>
      <c r="U22" s="20" t="s">
        <v>300</v>
      </c>
      <c r="V22" s="22">
        <v>136.5</v>
      </c>
      <c r="W22" s="23"/>
      <c r="X22" s="23"/>
      <c r="Y22" s="23"/>
      <c r="Z22" s="23"/>
    </row>
    <row r="23">
      <c r="A23" s="19">
        <v>484.0</v>
      </c>
      <c r="B23" s="20" t="s">
        <v>301</v>
      </c>
      <c r="C23" s="20" t="s">
        <v>165</v>
      </c>
      <c r="D23" s="20" t="s">
        <v>165</v>
      </c>
      <c r="E23" s="20" t="s">
        <v>258</v>
      </c>
      <c r="F23" s="20" t="s">
        <v>203</v>
      </c>
      <c r="G23" s="19">
        <v>0.0</v>
      </c>
      <c r="H23" s="21"/>
      <c r="I23" s="21"/>
      <c r="J23" s="21"/>
      <c r="K23" s="21"/>
      <c r="L23" s="20" t="s">
        <v>302</v>
      </c>
      <c r="M23" s="20" t="s">
        <v>303</v>
      </c>
      <c r="N23" s="20" t="s">
        <v>304</v>
      </c>
      <c r="O23" s="19">
        <v>-1.144956</v>
      </c>
      <c r="P23" s="19">
        <v>53.960308</v>
      </c>
      <c r="Q23" s="20" t="s">
        <v>205</v>
      </c>
      <c r="R23" s="20" t="s">
        <v>305</v>
      </c>
      <c r="S23" s="20" t="s">
        <v>306</v>
      </c>
      <c r="T23" s="19">
        <v>46.0</v>
      </c>
      <c r="U23" s="20" t="s">
        <v>307</v>
      </c>
      <c r="V23" s="22">
        <v>131.0</v>
      </c>
      <c r="W23" s="22">
        <v>70.0</v>
      </c>
      <c r="X23" s="22">
        <v>28.0</v>
      </c>
      <c r="Y23" s="22">
        <v>303.5</v>
      </c>
      <c r="Z23" s="22">
        <v>0.534</v>
      </c>
    </row>
    <row r="24">
      <c r="A24" s="19">
        <v>496.0</v>
      </c>
      <c r="B24" s="20" t="s">
        <v>308</v>
      </c>
      <c r="C24" s="20" t="s">
        <v>165</v>
      </c>
      <c r="D24" s="20" t="s">
        <v>165</v>
      </c>
      <c r="E24" s="20" t="s">
        <v>309</v>
      </c>
      <c r="F24" s="20" t="s">
        <v>203</v>
      </c>
      <c r="G24" s="19">
        <v>0.0</v>
      </c>
      <c r="H24" s="21"/>
      <c r="I24" s="21"/>
      <c r="J24" s="21"/>
      <c r="K24" s="21"/>
      <c r="L24" s="20" t="s">
        <v>310</v>
      </c>
      <c r="M24" s="20" t="s">
        <v>311</v>
      </c>
      <c r="N24" s="20" t="s">
        <v>253</v>
      </c>
      <c r="O24" s="19">
        <v>-0.28078</v>
      </c>
      <c r="P24" s="19">
        <v>53.059205</v>
      </c>
      <c r="Q24" s="20" t="s">
        <v>205</v>
      </c>
      <c r="R24" s="20" t="s">
        <v>312</v>
      </c>
      <c r="S24" s="20" t="s">
        <v>313</v>
      </c>
      <c r="T24" s="21"/>
      <c r="U24" s="20" t="s">
        <v>314</v>
      </c>
      <c r="V24" s="22">
        <v>144.0</v>
      </c>
      <c r="W24" s="23"/>
      <c r="X24" s="23"/>
      <c r="Y24" s="23"/>
      <c r="Z24" s="23"/>
    </row>
    <row r="25">
      <c r="A25" s="19">
        <v>498.0</v>
      </c>
      <c r="B25" s="20" t="s">
        <v>315</v>
      </c>
      <c r="C25" s="20" t="s">
        <v>176</v>
      </c>
      <c r="D25" s="20" t="s">
        <v>176</v>
      </c>
      <c r="E25" s="20" t="s">
        <v>316</v>
      </c>
      <c r="F25" s="20" t="s">
        <v>178</v>
      </c>
      <c r="G25" s="19">
        <v>0.0</v>
      </c>
      <c r="H25" s="21"/>
      <c r="I25" s="21"/>
      <c r="J25" s="21"/>
      <c r="K25" s="21"/>
      <c r="L25" s="20" t="s">
        <v>317</v>
      </c>
      <c r="M25" s="20" t="s">
        <v>318</v>
      </c>
      <c r="N25" s="20" t="s">
        <v>253</v>
      </c>
      <c r="O25" s="19">
        <v>-0.243897</v>
      </c>
      <c r="P25" s="19">
        <v>51.2826</v>
      </c>
      <c r="Q25" s="20" t="s">
        <v>205</v>
      </c>
      <c r="R25" s="20" t="s">
        <v>319</v>
      </c>
      <c r="S25" s="20" t="s">
        <v>320</v>
      </c>
      <c r="T25" s="21"/>
      <c r="U25" s="20" t="s">
        <v>293</v>
      </c>
      <c r="V25" s="22">
        <v>163.0</v>
      </c>
      <c r="W25" s="23"/>
      <c r="X25" s="23"/>
      <c r="Y25" s="23"/>
      <c r="Z25" s="23"/>
    </row>
    <row r="26">
      <c r="A26" s="19">
        <v>501.0</v>
      </c>
      <c r="B26" s="20" t="s">
        <v>321</v>
      </c>
      <c r="C26" s="20" t="s">
        <v>165</v>
      </c>
      <c r="D26" s="20" t="s">
        <v>165</v>
      </c>
      <c r="E26" s="20" t="s">
        <v>282</v>
      </c>
      <c r="F26" s="20" t="s">
        <v>203</v>
      </c>
      <c r="G26" s="19">
        <v>0.0</v>
      </c>
      <c r="H26" s="21"/>
      <c r="I26" s="21"/>
      <c r="J26" s="21"/>
      <c r="K26" s="21"/>
      <c r="L26" s="20" t="s">
        <v>322</v>
      </c>
      <c r="M26" s="20" t="s">
        <v>323</v>
      </c>
      <c r="N26" s="20" t="s">
        <v>253</v>
      </c>
      <c r="O26" s="19">
        <v>-0.181436</v>
      </c>
      <c r="P26" s="19">
        <v>51.466908</v>
      </c>
      <c r="Q26" s="20" t="s">
        <v>205</v>
      </c>
      <c r="R26" s="20" t="s">
        <v>324</v>
      </c>
      <c r="S26" s="20" t="s">
        <v>325</v>
      </c>
      <c r="T26" s="19">
        <v>38.0</v>
      </c>
      <c r="U26" s="20" t="s">
        <v>280</v>
      </c>
      <c r="V26" s="22">
        <v>184.0</v>
      </c>
      <c r="W26" s="22">
        <v>107.0</v>
      </c>
      <c r="X26" s="22">
        <v>36.0</v>
      </c>
      <c r="Y26" s="22">
        <v>848.8</v>
      </c>
      <c r="Z26" s="22">
        <v>0.582</v>
      </c>
    </row>
    <row r="27">
      <c r="A27" s="19">
        <v>502.0</v>
      </c>
      <c r="B27" s="20" t="s">
        <v>326</v>
      </c>
      <c r="C27" s="20" t="s">
        <v>176</v>
      </c>
      <c r="D27" s="20" t="s">
        <v>176</v>
      </c>
      <c r="E27" s="20" t="s">
        <v>177</v>
      </c>
      <c r="F27" s="20" t="s">
        <v>178</v>
      </c>
      <c r="G27" s="19">
        <v>1.0</v>
      </c>
      <c r="H27" s="21"/>
      <c r="I27" s="21"/>
      <c r="J27" s="21"/>
      <c r="K27" s="21"/>
      <c r="L27" s="20" t="s">
        <v>327</v>
      </c>
      <c r="M27" s="20" t="s">
        <v>323</v>
      </c>
      <c r="N27" s="20" t="s">
        <v>253</v>
      </c>
      <c r="O27" s="19">
        <v>-0.30871</v>
      </c>
      <c r="P27" s="19">
        <v>51.4103</v>
      </c>
      <c r="Q27" s="20" t="s">
        <v>180</v>
      </c>
      <c r="R27" s="20" t="s">
        <v>328</v>
      </c>
      <c r="S27" s="20" t="s">
        <v>329</v>
      </c>
      <c r="T27" s="21"/>
      <c r="U27" s="20" t="s">
        <v>330</v>
      </c>
      <c r="V27" s="22">
        <v>135.0</v>
      </c>
      <c r="W27" s="23"/>
      <c r="X27" s="23"/>
      <c r="Y27" s="22">
        <v>436.0</v>
      </c>
      <c r="Z27" s="23"/>
    </row>
    <row r="28">
      <c r="A28" s="19">
        <v>504.0</v>
      </c>
      <c r="B28" s="20" t="s">
        <v>331</v>
      </c>
      <c r="C28" s="20" t="s">
        <v>165</v>
      </c>
      <c r="D28" s="20" t="s">
        <v>165</v>
      </c>
      <c r="E28" s="20" t="s">
        <v>275</v>
      </c>
      <c r="F28" s="20" t="s">
        <v>203</v>
      </c>
      <c r="G28" s="19">
        <v>0.0</v>
      </c>
      <c r="H28" s="21"/>
      <c r="I28" s="21"/>
      <c r="J28" s="21"/>
      <c r="K28" s="21"/>
      <c r="L28" s="20" t="s">
        <v>332</v>
      </c>
      <c r="M28" s="20" t="s">
        <v>333</v>
      </c>
      <c r="N28" s="20" t="s">
        <v>253</v>
      </c>
      <c r="O28" s="19">
        <v>-0.0043334</v>
      </c>
      <c r="P28" s="19">
        <v>50.8769249</v>
      </c>
      <c r="Q28" s="20" t="s">
        <v>205</v>
      </c>
      <c r="R28" s="20" t="s">
        <v>334</v>
      </c>
      <c r="S28" s="20" t="s">
        <v>335</v>
      </c>
      <c r="T28" s="21"/>
      <c r="U28" s="20" t="s">
        <v>336</v>
      </c>
      <c r="V28" s="22">
        <v>129.5</v>
      </c>
      <c r="W28" s="22">
        <v>97.0</v>
      </c>
      <c r="X28" s="22">
        <v>39.0</v>
      </c>
      <c r="Y28" s="22">
        <v>437.3</v>
      </c>
      <c r="Z28" s="22">
        <v>0.749</v>
      </c>
    </row>
    <row r="29">
      <c r="A29" s="19">
        <v>510.0</v>
      </c>
      <c r="B29" s="20" t="s">
        <v>337</v>
      </c>
      <c r="C29" s="20" t="s">
        <v>165</v>
      </c>
      <c r="D29" s="20" t="s">
        <v>165</v>
      </c>
      <c r="E29" s="20" t="s">
        <v>338</v>
      </c>
      <c r="F29" s="20" t="s">
        <v>203</v>
      </c>
      <c r="G29" s="19">
        <v>0.0</v>
      </c>
      <c r="H29" s="21"/>
      <c r="I29" s="21"/>
      <c r="J29" s="21"/>
      <c r="K29" s="21"/>
      <c r="L29" s="20" t="s">
        <v>339</v>
      </c>
      <c r="M29" s="20" t="s">
        <v>340</v>
      </c>
      <c r="N29" s="20" t="s">
        <v>341</v>
      </c>
      <c r="O29" s="19">
        <v>0.308814</v>
      </c>
      <c r="P29" s="19">
        <v>52.449402</v>
      </c>
      <c r="Q29" s="20" t="s">
        <v>205</v>
      </c>
      <c r="R29" s="20" t="s">
        <v>342</v>
      </c>
      <c r="S29" s="20" t="s">
        <v>343</v>
      </c>
      <c r="T29" s="21"/>
      <c r="U29" s="20" t="s">
        <v>344</v>
      </c>
      <c r="V29" s="22">
        <v>105.0</v>
      </c>
      <c r="W29" s="23"/>
      <c r="X29" s="23"/>
      <c r="Y29" s="22">
        <v>220.3</v>
      </c>
      <c r="Z29" s="23"/>
    </row>
    <row r="30">
      <c r="A30" s="19">
        <v>511.0</v>
      </c>
      <c r="B30" s="20" t="s">
        <v>345</v>
      </c>
      <c r="C30" s="20" t="s">
        <v>165</v>
      </c>
      <c r="D30" s="20" t="s">
        <v>165</v>
      </c>
      <c r="E30" s="20" t="s">
        <v>275</v>
      </c>
      <c r="F30" s="20" t="s">
        <v>203</v>
      </c>
      <c r="G30" s="19">
        <v>0.0</v>
      </c>
      <c r="H30" s="21"/>
      <c r="I30" s="21"/>
      <c r="J30" s="21"/>
      <c r="K30" s="21"/>
      <c r="L30" s="20" t="s">
        <v>346</v>
      </c>
      <c r="M30" s="20" t="s">
        <v>340</v>
      </c>
      <c r="N30" s="20" t="s">
        <v>341</v>
      </c>
      <c r="O30" s="19">
        <v>0.291696</v>
      </c>
      <c r="P30" s="19">
        <v>52.297142</v>
      </c>
      <c r="Q30" s="20" t="s">
        <v>205</v>
      </c>
      <c r="R30" s="20" t="s">
        <v>347</v>
      </c>
      <c r="S30" s="20" t="s">
        <v>348</v>
      </c>
      <c r="T30" s="21"/>
      <c r="U30" s="20" t="s">
        <v>336</v>
      </c>
      <c r="V30" s="22">
        <v>145.0</v>
      </c>
      <c r="W30" s="23"/>
      <c r="X30" s="23"/>
      <c r="Y30" s="23"/>
      <c r="Z30" s="23"/>
    </row>
    <row r="31">
      <c r="A31" s="19">
        <v>512.0</v>
      </c>
      <c r="B31" s="20" t="s">
        <v>349</v>
      </c>
      <c r="C31" s="20" t="s">
        <v>165</v>
      </c>
      <c r="D31" s="20" t="s">
        <v>165</v>
      </c>
      <c r="E31" s="20" t="s">
        <v>282</v>
      </c>
      <c r="F31" s="20" t="s">
        <v>203</v>
      </c>
      <c r="G31" s="19">
        <v>0.0</v>
      </c>
      <c r="H31" s="21"/>
      <c r="I31" s="21"/>
      <c r="J31" s="21"/>
      <c r="K31" s="21"/>
      <c r="L31" s="20" t="s">
        <v>346</v>
      </c>
      <c r="M31" s="20" t="s">
        <v>340</v>
      </c>
      <c r="N31" s="20" t="s">
        <v>341</v>
      </c>
      <c r="O31" s="19">
        <v>0.291696</v>
      </c>
      <c r="P31" s="19">
        <v>52.297142</v>
      </c>
      <c r="Q31" s="20" t="s">
        <v>205</v>
      </c>
      <c r="R31" s="20" t="s">
        <v>350</v>
      </c>
      <c r="S31" s="20" t="s">
        <v>351</v>
      </c>
      <c r="T31" s="21"/>
      <c r="U31" s="20" t="s">
        <v>262</v>
      </c>
      <c r="V31" s="22">
        <v>114.0</v>
      </c>
      <c r="W31" s="23"/>
      <c r="X31" s="23"/>
      <c r="Y31" s="22">
        <v>228.0</v>
      </c>
      <c r="Z31" s="23"/>
    </row>
    <row r="32">
      <c r="A32" s="19">
        <v>514.0</v>
      </c>
      <c r="B32" s="20" t="s">
        <v>352</v>
      </c>
      <c r="C32" s="20" t="s">
        <v>165</v>
      </c>
      <c r="D32" s="20" t="s">
        <v>165</v>
      </c>
      <c r="E32" s="20" t="s">
        <v>238</v>
      </c>
      <c r="F32" s="20" t="s">
        <v>203</v>
      </c>
      <c r="G32" s="19">
        <v>0.0</v>
      </c>
      <c r="H32" s="21"/>
      <c r="I32" s="21"/>
      <c r="J32" s="21"/>
      <c r="K32" s="21"/>
      <c r="L32" s="20" t="s">
        <v>353</v>
      </c>
      <c r="M32" s="20" t="s">
        <v>354</v>
      </c>
      <c r="N32" s="20" t="s">
        <v>341</v>
      </c>
      <c r="O32" s="19">
        <v>0.3501</v>
      </c>
      <c r="P32" s="19">
        <v>52.2667</v>
      </c>
      <c r="Q32" s="20" t="s">
        <v>205</v>
      </c>
      <c r="R32" s="20" t="s">
        <v>355</v>
      </c>
      <c r="S32" s="20" t="s">
        <v>356</v>
      </c>
      <c r="T32" s="21"/>
      <c r="U32" s="20" t="s">
        <v>357</v>
      </c>
      <c r="V32" s="22">
        <v>121.0</v>
      </c>
      <c r="W32" s="22">
        <v>70.0</v>
      </c>
      <c r="X32" s="22">
        <v>32.0</v>
      </c>
      <c r="Y32" s="22">
        <v>371.0</v>
      </c>
      <c r="Z32" s="22">
        <v>0.579</v>
      </c>
    </row>
    <row r="33">
      <c r="A33" s="19">
        <v>518.0</v>
      </c>
      <c r="B33" s="20" t="s">
        <v>358</v>
      </c>
      <c r="C33" s="20" t="s">
        <v>165</v>
      </c>
      <c r="D33" s="20" t="s">
        <v>165</v>
      </c>
      <c r="E33" s="20" t="s">
        <v>359</v>
      </c>
      <c r="F33" s="20" t="s">
        <v>178</v>
      </c>
      <c r="G33" s="19">
        <v>0.0</v>
      </c>
      <c r="H33" s="21"/>
      <c r="I33" s="21"/>
      <c r="J33" s="21"/>
      <c r="K33" s="21"/>
      <c r="L33" s="20" t="s">
        <v>360</v>
      </c>
      <c r="M33" s="20" t="s">
        <v>340</v>
      </c>
      <c r="N33" s="20" t="s">
        <v>341</v>
      </c>
      <c r="O33" s="19">
        <v>0.39681803</v>
      </c>
      <c r="P33" s="19">
        <v>52.3082731</v>
      </c>
      <c r="Q33" s="23"/>
      <c r="R33" s="20" t="s">
        <v>361</v>
      </c>
      <c r="S33" s="20" t="s">
        <v>362</v>
      </c>
      <c r="T33" s="21"/>
      <c r="U33" s="20" t="s">
        <v>363</v>
      </c>
      <c r="V33" s="22">
        <v>142.0</v>
      </c>
      <c r="W33" s="23"/>
      <c r="X33" s="23"/>
      <c r="Y33" s="22">
        <v>355.0</v>
      </c>
      <c r="Z33" s="23"/>
    </row>
    <row r="34">
      <c r="A34" s="19">
        <v>521.0</v>
      </c>
      <c r="B34" s="20" t="s">
        <v>364</v>
      </c>
      <c r="C34" s="20" t="s">
        <v>165</v>
      </c>
      <c r="D34" s="20" t="s">
        <v>165</v>
      </c>
      <c r="E34" s="20" t="s">
        <v>166</v>
      </c>
      <c r="F34" s="20" t="s">
        <v>167</v>
      </c>
      <c r="G34" s="19">
        <v>0.0</v>
      </c>
      <c r="H34" s="21"/>
      <c r="I34" s="21"/>
      <c r="J34" s="21"/>
      <c r="K34" s="21"/>
      <c r="L34" s="20" t="s">
        <v>365</v>
      </c>
      <c r="M34" s="20" t="s">
        <v>366</v>
      </c>
      <c r="N34" s="20" t="s">
        <v>253</v>
      </c>
      <c r="O34" s="19">
        <v>0.38554252</v>
      </c>
      <c r="P34" s="19">
        <v>50.9955208</v>
      </c>
      <c r="Q34" s="20" t="s">
        <v>171</v>
      </c>
      <c r="R34" s="20" t="s">
        <v>367</v>
      </c>
      <c r="S34" s="20" t="s">
        <v>368</v>
      </c>
      <c r="T34" s="21"/>
      <c r="U34" s="20" t="s">
        <v>174</v>
      </c>
      <c r="V34" s="22">
        <v>82.0</v>
      </c>
      <c r="W34" s="23"/>
      <c r="X34" s="23"/>
      <c r="Y34" s="22">
        <v>177.0</v>
      </c>
      <c r="Z34" s="23"/>
    </row>
    <row r="35">
      <c r="A35" s="19">
        <v>524.0</v>
      </c>
      <c r="B35" s="20" t="s">
        <v>369</v>
      </c>
      <c r="C35" s="20" t="s">
        <v>165</v>
      </c>
      <c r="D35" s="20" t="s">
        <v>165</v>
      </c>
      <c r="E35" s="20" t="s">
        <v>210</v>
      </c>
      <c r="F35" s="20" t="s">
        <v>178</v>
      </c>
      <c r="G35" s="19">
        <v>0.0</v>
      </c>
      <c r="H35" s="21"/>
      <c r="I35" s="21"/>
      <c r="J35" s="21"/>
      <c r="K35" s="21"/>
      <c r="L35" s="20" t="s">
        <v>370</v>
      </c>
      <c r="M35" s="20" t="s">
        <v>95</v>
      </c>
      <c r="N35" s="20" t="s">
        <v>341</v>
      </c>
      <c r="O35" s="19">
        <v>0.49416467</v>
      </c>
      <c r="P35" s="19">
        <v>52.8983351</v>
      </c>
      <c r="Q35" s="20" t="s">
        <v>180</v>
      </c>
      <c r="R35" s="20" t="s">
        <v>371</v>
      </c>
      <c r="S35" s="20" t="s">
        <v>372</v>
      </c>
      <c r="T35" s="21"/>
      <c r="U35" s="20" t="s">
        <v>214</v>
      </c>
      <c r="V35" s="22">
        <v>99.0</v>
      </c>
      <c r="W35" s="23"/>
      <c r="X35" s="23"/>
      <c r="Y35" s="23"/>
      <c r="Z35" s="23"/>
    </row>
    <row r="36">
      <c r="A36" s="19">
        <v>528.0</v>
      </c>
      <c r="B36" s="20" t="s">
        <v>373</v>
      </c>
      <c r="C36" s="20" t="s">
        <v>165</v>
      </c>
      <c r="D36" s="20" t="s">
        <v>165</v>
      </c>
      <c r="E36" s="20" t="s">
        <v>282</v>
      </c>
      <c r="F36" s="20" t="s">
        <v>203</v>
      </c>
      <c r="G36" s="19">
        <v>0.0</v>
      </c>
      <c r="H36" s="21"/>
      <c r="I36" s="21"/>
      <c r="J36" s="21"/>
      <c r="K36" s="21"/>
      <c r="L36" s="20" t="s">
        <v>374</v>
      </c>
      <c r="M36" s="20" t="s">
        <v>354</v>
      </c>
      <c r="N36" s="20" t="s">
        <v>341</v>
      </c>
      <c r="O36" s="19">
        <v>0.5089</v>
      </c>
      <c r="P36" s="19">
        <v>52.34461</v>
      </c>
      <c r="Q36" s="20" t="s">
        <v>205</v>
      </c>
      <c r="R36" s="20" t="s">
        <v>375</v>
      </c>
      <c r="S36" s="20" t="s">
        <v>376</v>
      </c>
      <c r="T36" s="21"/>
      <c r="U36" s="20" t="s">
        <v>377</v>
      </c>
      <c r="V36" s="22">
        <v>154.0</v>
      </c>
      <c r="W36" s="23"/>
      <c r="X36" s="23"/>
      <c r="Y36" s="22">
        <v>530.0</v>
      </c>
      <c r="Z36" s="23"/>
    </row>
    <row r="37">
      <c r="A37" s="19">
        <v>529.0</v>
      </c>
      <c r="B37" s="20" t="s">
        <v>378</v>
      </c>
      <c r="C37" s="20" t="s">
        <v>165</v>
      </c>
      <c r="D37" s="20" t="s">
        <v>165</v>
      </c>
      <c r="E37" s="20" t="s">
        <v>379</v>
      </c>
      <c r="F37" s="20" t="s">
        <v>167</v>
      </c>
      <c r="G37" s="19">
        <v>0.0</v>
      </c>
      <c r="H37" s="21"/>
      <c r="I37" s="21"/>
      <c r="J37" s="21"/>
      <c r="K37" s="21"/>
      <c r="L37" s="20" t="s">
        <v>380</v>
      </c>
      <c r="M37" s="20" t="s">
        <v>354</v>
      </c>
      <c r="N37" s="20" t="s">
        <v>341</v>
      </c>
      <c r="O37" s="19">
        <v>0.539038</v>
      </c>
      <c r="P37" s="19">
        <v>52.366848</v>
      </c>
      <c r="Q37" s="20" t="s">
        <v>171</v>
      </c>
      <c r="R37" s="20" t="s">
        <v>381</v>
      </c>
      <c r="S37" s="20" t="s">
        <v>382</v>
      </c>
      <c r="T37" s="21"/>
      <c r="U37" s="20" t="s">
        <v>200</v>
      </c>
      <c r="V37" s="22">
        <v>143.0</v>
      </c>
      <c r="W37" s="22">
        <v>82.0</v>
      </c>
      <c r="X37" s="23"/>
      <c r="Y37" s="22">
        <v>727.0</v>
      </c>
      <c r="Z37" s="22">
        <v>0.573</v>
      </c>
    </row>
    <row r="38">
      <c r="A38" s="19">
        <v>530.0</v>
      </c>
      <c r="B38" s="20" t="s">
        <v>383</v>
      </c>
      <c r="C38" s="20" t="s">
        <v>176</v>
      </c>
      <c r="D38" s="20" t="s">
        <v>384</v>
      </c>
      <c r="E38" s="20" t="s">
        <v>385</v>
      </c>
      <c r="F38" s="20" t="s">
        <v>178</v>
      </c>
      <c r="G38" s="19">
        <v>0.0</v>
      </c>
      <c r="H38" s="21"/>
      <c r="I38" s="21"/>
      <c r="J38" s="21"/>
      <c r="K38" s="21"/>
      <c r="L38" s="20" t="s">
        <v>386</v>
      </c>
      <c r="M38" s="20" t="s">
        <v>95</v>
      </c>
      <c r="N38" s="20" t="s">
        <v>341</v>
      </c>
      <c r="O38" s="19">
        <v>0.60420411</v>
      </c>
      <c r="P38" s="19">
        <v>52.5916373</v>
      </c>
      <c r="Q38" s="20" t="s">
        <v>180</v>
      </c>
      <c r="R38" s="20" t="s">
        <v>387</v>
      </c>
      <c r="S38" s="20" t="s">
        <v>388</v>
      </c>
      <c r="T38" s="19">
        <v>103.0</v>
      </c>
      <c r="U38" s="20" t="s">
        <v>389</v>
      </c>
      <c r="V38" s="22">
        <v>72.5</v>
      </c>
      <c r="W38" s="22">
        <v>28.0</v>
      </c>
      <c r="X38" s="23"/>
      <c r="Y38" s="23"/>
      <c r="Z38" s="22">
        <v>0.386</v>
      </c>
    </row>
    <row r="39">
      <c r="A39" s="19">
        <v>535.0</v>
      </c>
      <c r="B39" s="20" t="s">
        <v>390</v>
      </c>
      <c r="C39" s="20" t="s">
        <v>165</v>
      </c>
      <c r="D39" s="20" t="s">
        <v>165</v>
      </c>
      <c r="E39" s="20" t="s">
        <v>238</v>
      </c>
      <c r="F39" s="20" t="s">
        <v>203</v>
      </c>
      <c r="G39" s="19">
        <v>0.0</v>
      </c>
      <c r="H39" s="21"/>
      <c r="I39" s="21"/>
      <c r="J39" s="21"/>
      <c r="K39" s="21"/>
      <c r="L39" s="20" t="s">
        <v>391</v>
      </c>
      <c r="M39" s="20" t="s">
        <v>95</v>
      </c>
      <c r="N39" s="20" t="s">
        <v>341</v>
      </c>
      <c r="O39" s="19">
        <v>0.87370449</v>
      </c>
      <c r="P39" s="19">
        <v>52.6483498</v>
      </c>
      <c r="Q39" s="20" t="s">
        <v>205</v>
      </c>
      <c r="R39" s="20" t="s">
        <v>392</v>
      </c>
      <c r="S39" s="20" t="s">
        <v>393</v>
      </c>
      <c r="T39" s="21"/>
      <c r="U39" s="20" t="s">
        <v>394</v>
      </c>
      <c r="V39" s="22">
        <v>114.0</v>
      </c>
      <c r="W39" s="23"/>
      <c r="X39" s="23"/>
      <c r="Y39" s="22">
        <v>293.5</v>
      </c>
      <c r="Z39" s="23"/>
    </row>
    <row r="40">
      <c r="A40" s="19">
        <v>536.0</v>
      </c>
      <c r="B40" s="20" t="s">
        <v>395</v>
      </c>
      <c r="C40" s="20" t="s">
        <v>165</v>
      </c>
      <c r="D40" s="20" t="s">
        <v>165</v>
      </c>
      <c r="E40" s="20" t="s">
        <v>185</v>
      </c>
      <c r="F40" s="20" t="s">
        <v>167</v>
      </c>
      <c r="G40" s="19">
        <v>0.0</v>
      </c>
      <c r="H40" s="21"/>
      <c r="I40" s="21"/>
      <c r="J40" s="21"/>
      <c r="K40" s="21"/>
      <c r="L40" s="20" t="s">
        <v>396</v>
      </c>
      <c r="M40" s="20" t="s">
        <v>95</v>
      </c>
      <c r="N40" s="20" t="s">
        <v>341</v>
      </c>
      <c r="O40" s="19">
        <v>1.0044099</v>
      </c>
      <c r="P40" s="19">
        <v>52.6041425</v>
      </c>
      <c r="Q40" s="20" t="s">
        <v>171</v>
      </c>
      <c r="R40" s="20" t="s">
        <v>397</v>
      </c>
      <c r="S40" s="20" t="s">
        <v>398</v>
      </c>
      <c r="T40" s="21"/>
      <c r="U40" s="20" t="s">
        <v>200</v>
      </c>
      <c r="V40" s="22">
        <v>97.0</v>
      </c>
      <c r="W40" s="23"/>
      <c r="X40" s="23"/>
      <c r="Y40" s="23"/>
      <c r="Z40" s="23"/>
    </row>
    <row r="41">
      <c r="A41" s="19">
        <v>539.0</v>
      </c>
      <c r="B41" s="20" t="s">
        <v>399</v>
      </c>
      <c r="C41" s="20" t="s">
        <v>165</v>
      </c>
      <c r="D41" s="20" t="s">
        <v>165</v>
      </c>
      <c r="E41" s="20" t="s">
        <v>275</v>
      </c>
      <c r="F41" s="20" t="s">
        <v>203</v>
      </c>
      <c r="G41" s="19">
        <v>0.0</v>
      </c>
      <c r="H41" s="21"/>
      <c r="I41" s="21"/>
      <c r="J41" s="21"/>
      <c r="K41" s="21"/>
      <c r="L41" s="20" t="s">
        <v>400</v>
      </c>
      <c r="M41" s="20" t="s">
        <v>95</v>
      </c>
      <c r="N41" s="20" t="s">
        <v>341</v>
      </c>
      <c r="O41" s="19">
        <v>1.17865736</v>
      </c>
      <c r="P41" s="19">
        <v>52.7754549</v>
      </c>
      <c r="Q41" s="20" t="s">
        <v>205</v>
      </c>
      <c r="R41" s="20" t="s">
        <v>401</v>
      </c>
      <c r="S41" s="20" t="s">
        <v>402</v>
      </c>
      <c r="T41" s="21"/>
      <c r="U41" s="20" t="s">
        <v>336</v>
      </c>
      <c r="V41" s="22">
        <v>94.0</v>
      </c>
      <c r="W41" s="22">
        <v>70.0</v>
      </c>
      <c r="X41" s="22">
        <v>27.0</v>
      </c>
      <c r="Y41" s="22">
        <v>257.0</v>
      </c>
      <c r="Z41" s="22">
        <v>0.745</v>
      </c>
    </row>
    <row r="42">
      <c r="A42" s="19">
        <v>540.0</v>
      </c>
      <c r="B42" s="20" t="s">
        <v>403</v>
      </c>
      <c r="C42" s="20" t="s">
        <v>165</v>
      </c>
      <c r="D42" s="20" t="s">
        <v>165</v>
      </c>
      <c r="E42" s="20" t="s">
        <v>309</v>
      </c>
      <c r="F42" s="20" t="s">
        <v>203</v>
      </c>
      <c r="G42" s="19">
        <v>0.0</v>
      </c>
      <c r="H42" s="21"/>
      <c r="I42" s="21"/>
      <c r="J42" s="21"/>
      <c r="K42" s="21"/>
      <c r="L42" s="20" t="s">
        <v>404</v>
      </c>
      <c r="M42" s="20" t="s">
        <v>95</v>
      </c>
      <c r="N42" s="20" t="s">
        <v>341</v>
      </c>
      <c r="O42" s="19">
        <v>1.23737324</v>
      </c>
      <c r="P42" s="19">
        <v>52.6123887</v>
      </c>
      <c r="Q42" s="20" t="s">
        <v>205</v>
      </c>
      <c r="R42" s="20" t="s">
        <v>405</v>
      </c>
      <c r="S42" s="20" t="s">
        <v>406</v>
      </c>
      <c r="T42" s="21"/>
      <c r="U42" s="20" t="s">
        <v>314</v>
      </c>
      <c r="V42" s="22">
        <v>137.0</v>
      </c>
      <c r="W42" s="22">
        <v>85.0</v>
      </c>
      <c r="X42" s="22">
        <v>30.0</v>
      </c>
      <c r="Y42" s="22">
        <v>411.0</v>
      </c>
      <c r="Z42" s="22">
        <v>0.62</v>
      </c>
    </row>
    <row r="43">
      <c r="A43" s="19">
        <v>541.0</v>
      </c>
      <c r="B43" s="20" t="s">
        <v>407</v>
      </c>
      <c r="C43" s="20" t="s">
        <v>165</v>
      </c>
      <c r="D43" s="20" t="s">
        <v>165</v>
      </c>
      <c r="E43" s="20" t="s">
        <v>408</v>
      </c>
      <c r="F43" s="20" t="s">
        <v>167</v>
      </c>
      <c r="G43" s="19">
        <v>0.0</v>
      </c>
      <c r="H43" s="21"/>
      <c r="I43" s="21"/>
      <c r="J43" s="21"/>
      <c r="K43" s="21"/>
      <c r="L43" s="20" t="s">
        <v>409</v>
      </c>
      <c r="M43" s="20" t="s">
        <v>95</v>
      </c>
      <c r="N43" s="20" t="s">
        <v>341</v>
      </c>
      <c r="O43" s="19">
        <v>1.24991372</v>
      </c>
      <c r="P43" s="19">
        <v>52.9354021</v>
      </c>
      <c r="Q43" s="20" t="s">
        <v>171</v>
      </c>
      <c r="R43" s="20" t="s">
        <v>410</v>
      </c>
      <c r="S43" s="20" t="s">
        <v>411</v>
      </c>
      <c r="T43" s="21"/>
      <c r="U43" s="20" t="s">
        <v>412</v>
      </c>
      <c r="V43" s="22">
        <v>125.0</v>
      </c>
      <c r="W43" s="22">
        <v>78.0</v>
      </c>
      <c r="X43" s="22">
        <v>41.0</v>
      </c>
      <c r="Y43" s="22">
        <v>446.5</v>
      </c>
      <c r="Z43" s="22">
        <v>0.624</v>
      </c>
    </row>
    <row r="44">
      <c r="A44" s="19">
        <v>543.0</v>
      </c>
      <c r="B44" s="20" t="s">
        <v>413</v>
      </c>
      <c r="C44" s="20" t="s">
        <v>176</v>
      </c>
      <c r="D44" s="20" t="s">
        <v>176</v>
      </c>
      <c r="E44" s="20" t="s">
        <v>414</v>
      </c>
      <c r="F44" s="20" t="s">
        <v>178</v>
      </c>
      <c r="G44" s="19">
        <v>0.0</v>
      </c>
      <c r="H44" s="21"/>
      <c r="I44" s="21"/>
      <c r="J44" s="21"/>
      <c r="K44" s="21"/>
      <c r="L44" s="20" t="s">
        <v>415</v>
      </c>
      <c r="M44" s="20" t="s">
        <v>95</v>
      </c>
      <c r="N44" s="20" t="s">
        <v>341</v>
      </c>
      <c r="O44" s="19">
        <v>1.22621491</v>
      </c>
      <c r="P44" s="19">
        <v>52.7477746</v>
      </c>
      <c r="Q44" s="20" t="s">
        <v>180</v>
      </c>
      <c r="R44" s="20" t="s">
        <v>416</v>
      </c>
      <c r="S44" s="20" t="s">
        <v>417</v>
      </c>
      <c r="T44" s="21"/>
      <c r="U44" s="20" t="s">
        <v>418</v>
      </c>
      <c r="V44" s="22">
        <v>183.0</v>
      </c>
      <c r="W44" s="23"/>
      <c r="X44" s="23"/>
      <c r="Y44" s="23"/>
      <c r="Z44" s="23"/>
    </row>
    <row r="45">
      <c r="A45" s="19">
        <v>546.0</v>
      </c>
      <c r="B45" s="20" t="s">
        <v>419</v>
      </c>
      <c r="C45" s="20" t="s">
        <v>165</v>
      </c>
      <c r="D45" s="20" t="s">
        <v>165</v>
      </c>
      <c r="E45" s="20" t="s">
        <v>282</v>
      </c>
      <c r="F45" s="20" t="s">
        <v>203</v>
      </c>
      <c r="G45" s="19">
        <v>0.0</v>
      </c>
      <c r="H45" s="21"/>
      <c r="I45" s="21"/>
      <c r="J45" s="21"/>
      <c r="K45" s="21"/>
      <c r="L45" s="20" t="s">
        <v>420</v>
      </c>
      <c r="M45" s="20" t="s">
        <v>421</v>
      </c>
      <c r="N45" s="20" t="s">
        <v>422</v>
      </c>
      <c r="O45" s="19">
        <v>-3.2478704</v>
      </c>
      <c r="P45" s="19">
        <v>51.6961619</v>
      </c>
      <c r="Q45" s="20" t="s">
        <v>205</v>
      </c>
      <c r="R45" s="20" t="s">
        <v>423</v>
      </c>
      <c r="S45" s="20" t="s">
        <v>424</v>
      </c>
      <c r="T45" s="19">
        <v>36.0</v>
      </c>
      <c r="U45" s="20" t="s">
        <v>425</v>
      </c>
      <c r="V45" s="22">
        <v>167.0</v>
      </c>
      <c r="W45" s="22">
        <v>97.0</v>
      </c>
      <c r="X45" s="22">
        <v>32.0</v>
      </c>
      <c r="Y45" s="22">
        <v>576.5</v>
      </c>
      <c r="Z45" s="22">
        <v>0.581</v>
      </c>
    </row>
    <row r="46">
      <c r="A46" s="19">
        <v>547.0</v>
      </c>
      <c r="B46" s="20" t="s">
        <v>426</v>
      </c>
      <c r="C46" s="20" t="s">
        <v>165</v>
      </c>
      <c r="D46" s="20" t="s">
        <v>165</v>
      </c>
      <c r="E46" s="20" t="s">
        <v>316</v>
      </c>
      <c r="F46" s="20" t="s">
        <v>178</v>
      </c>
      <c r="G46" s="19">
        <v>0.0</v>
      </c>
      <c r="H46" s="21"/>
      <c r="I46" s="21"/>
      <c r="J46" s="21"/>
      <c r="K46" s="21"/>
      <c r="L46" s="20" t="s">
        <v>420</v>
      </c>
      <c r="M46" s="20" t="s">
        <v>421</v>
      </c>
      <c r="N46" s="20" t="s">
        <v>422</v>
      </c>
      <c r="O46" s="19">
        <v>-3.2478704</v>
      </c>
      <c r="P46" s="19">
        <v>51.6961619</v>
      </c>
      <c r="Q46" s="20" t="s">
        <v>205</v>
      </c>
      <c r="R46" s="20" t="s">
        <v>427</v>
      </c>
      <c r="S46" s="20" t="s">
        <v>428</v>
      </c>
      <c r="T46" s="19">
        <v>49.0</v>
      </c>
      <c r="U46" s="20" t="s">
        <v>429</v>
      </c>
      <c r="V46" s="22">
        <v>131.0</v>
      </c>
      <c r="W46" s="22">
        <v>83.0</v>
      </c>
      <c r="X46" s="22">
        <v>29.0</v>
      </c>
      <c r="Y46" s="22">
        <v>374.8</v>
      </c>
      <c r="Z46" s="22">
        <v>0.634</v>
      </c>
    </row>
    <row r="47">
      <c r="A47" s="19">
        <v>676.0</v>
      </c>
      <c r="B47" s="20" t="s">
        <v>430</v>
      </c>
      <c r="C47" s="20" t="s">
        <v>176</v>
      </c>
      <c r="D47" s="20" t="s">
        <v>176</v>
      </c>
      <c r="E47" s="20" t="s">
        <v>244</v>
      </c>
      <c r="F47" s="20" t="s">
        <v>178</v>
      </c>
      <c r="G47" s="19">
        <v>0.0</v>
      </c>
      <c r="H47" s="21"/>
      <c r="I47" s="21"/>
      <c r="J47" s="21"/>
      <c r="K47" s="21"/>
      <c r="L47" s="20" t="s">
        <v>431</v>
      </c>
      <c r="M47" s="20" t="s">
        <v>432</v>
      </c>
      <c r="N47" s="20" t="s">
        <v>304</v>
      </c>
      <c r="O47" s="19">
        <v>-0.4465349</v>
      </c>
      <c r="P47" s="19">
        <v>54.1742607</v>
      </c>
      <c r="Q47" s="20" t="s">
        <v>180</v>
      </c>
      <c r="R47" s="20" t="s">
        <v>433</v>
      </c>
      <c r="S47" s="20" t="s">
        <v>434</v>
      </c>
      <c r="T47" s="19">
        <v>59.0</v>
      </c>
      <c r="U47" s="20" t="s">
        <v>435</v>
      </c>
      <c r="V47" s="22">
        <v>148.0</v>
      </c>
      <c r="W47" s="22">
        <v>70.0</v>
      </c>
      <c r="X47" s="22">
        <v>25.0</v>
      </c>
      <c r="Y47" s="22">
        <v>392.9</v>
      </c>
      <c r="Z47" s="22">
        <v>0.473</v>
      </c>
    </row>
    <row r="48">
      <c r="A48" s="19">
        <v>681.0</v>
      </c>
      <c r="B48" s="21"/>
      <c r="C48" s="21"/>
      <c r="D48" s="25" t="s">
        <v>436</v>
      </c>
      <c r="E48" s="20" t="s">
        <v>437</v>
      </c>
      <c r="F48" s="20" t="s">
        <v>178</v>
      </c>
      <c r="G48" s="19">
        <v>1.0</v>
      </c>
      <c r="H48" s="21"/>
      <c r="I48" s="21"/>
      <c r="J48" s="21"/>
      <c r="K48" s="21"/>
      <c r="L48" s="21"/>
      <c r="M48" s="21"/>
      <c r="N48" s="21"/>
      <c r="O48" s="26"/>
      <c r="P48" s="26"/>
      <c r="Q48" s="21"/>
      <c r="R48" s="21"/>
      <c r="S48" s="21"/>
      <c r="T48" s="19">
        <v>65.0</v>
      </c>
      <c r="U48" s="21"/>
      <c r="V48" s="27">
        <v>218.0</v>
      </c>
      <c r="W48" s="27">
        <v>116.0</v>
      </c>
      <c r="X48" s="27">
        <v>32.0</v>
      </c>
      <c r="Y48" s="28"/>
      <c r="Z48" s="27">
        <v>0.532</v>
      </c>
    </row>
    <row r="49">
      <c r="A49" s="19">
        <v>729.0</v>
      </c>
      <c r="B49" s="20" t="s">
        <v>438</v>
      </c>
      <c r="C49" s="20" t="s">
        <v>439</v>
      </c>
      <c r="D49" s="20" t="s">
        <v>439</v>
      </c>
      <c r="E49" s="20" t="s">
        <v>440</v>
      </c>
      <c r="F49" s="20" t="s">
        <v>441</v>
      </c>
      <c r="G49" s="21"/>
      <c r="H49" s="19">
        <v>1.0</v>
      </c>
      <c r="I49" s="21"/>
      <c r="J49" s="21"/>
      <c r="K49" s="21"/>
      <c r="L49" s="20" t="s">
        <v>442</v>
      </c>
      <c r="M49" s="20" t="s">
        <v>340</v>
      </c>
      <c r="N49" s="20" t="s">
        <v>341</v>
      </c>
      <c r="O49" s="19">
        <v>0.19474736</v>
      </c>
      <c r="P49" s="19">
        <v>52.3751448</v>
      </c>
      <c r="Q49" s="20" t="s">
        <v>443</v>
      </c>
      <c r="R49" s="20" t="s">
        <v>444</v>
      </c>
      <c r="S49" s="20" t="s">
        <v>445</v>
      </c>
      <c r="T49" s="19">
        <v>91.0</v>
      </c>
      <c r="U49" s="20" t="s">
        <v>446</v>
      </c>
      <c r="V49" s="22">
        <v>133.0</v>
      </c>
      <c r="W49" s="22">
        <v>80.0</v>
      </c>
      <c r="X49" s="22">
        <v>22.0</v>
      </c>
      <c r="Y49" s="22">
        <v>402.1</v>
      </c>
      <c r="Z49" s="22">
        <v>0.602</v>
      </c>
    </row>
    <row r="50">
      <c r="A50" s="19">
        <v>730.0</v>
      </c>
      <c r="B50" s="20" t="s">
        <v>447</v>
      </c>
      <c r="C50" s="20" t="s">
        <v>176</v>
      </c>
      <c r="D50" s="20" t="s">
        <v>176</v>
      </c>
      <c r="E50" s="20" t="s">
        <v>385</v>
      </c>
      <c r="F50" s="20" t="s">
        <v>178</v>
      </c>
      <c r="G50" s="19">
        <v>0.0</v>
      </c>
      <c r="H50" s="21"/>
      <c r="I50" s="21"/>
      <c r="J50" s="21"/>
      <c r="K50" s="21"/>
      <c r="L50" s="20" t="s">
        <v>448</v>
      </c>
      <c r="M50" s="20" t="s">
        <v>222</v>
      </c>
      <c r="N50" s="20" t="s">
        <v>170</v>
      </c>
      <c r="O50" s="19">
        <v>-2.4268384</v>
      </c>
      <c r="P50" s="19">
        <v>51.5496126</v>
      </c>
      <c r="Q50" s="20" t="s">
        <v>180</v>
      </c>
      <c r="R50" s="20" t="s">
        <v>449</v>
      </c>
      <c r="S50" s="20" t="s">
        <v>450</v>
      </c>
      <c r="T50" s="21"/>
      <c r="U50" s="20" t="s">
        <v>451</v>
      </c>
      <c r="V50" s="22">
        <v>158.0</v>
      </c>
      <c r="W50" s="23"/>
      <c r="X50" s="23"/>
      <c r="Y50" s="22">
        <v>311.0</v>
      </c>
      <c r="Z50" s="23"/>
    </row>
    <row r="51">
      <c r="A51" s="19">
        <v>731.0</v>
      </c>
      <c r="B51" s="20" t="s">
        <v>452</v>
      </c>
      <c r="C51" s="20" t="s">
        <v>165</v>
      </c>
      <c r="D51" s="20" t="s">
        <v>165</v>
      </c>
      <c r="E51" s="20" t="s">
        <v>264</v>
      </c>
      <c r="F51" s="20" t="s">
        <v>203</v>
      </c>
      <c r="G51" s="19">
        <v>0.0</v>
      </c>
      <c r="H51" s="21"/>
      <c r="I51" s="21"/>
      <c r="J51" s="21"/>
      <c r="K51" s="21"/>
      <c r="L51" s="20" t="s">
        <v>453</v>
      </c>
      <c r="M51" s="20" t="s">
        <v>354</v>
      </c>
      <c r="N51" s="20" t="s">
        <v>341</v>
      </c>
      <c r="O51" s="19">
        <v>0.60407</v>
      </c>
      <c r="P51" s="19">
        <v>52.32408</v>
      </c>
      <c r="Q51" s="20" t="s">
        <v>180</v>
      </c>
      <c r="R51" s="20" t="s">
        <v>454</v>
      </c>
      <c r="S51" s="20" t="s">
        <v>455</v>
      </c>
      <c r="T51" s="21"/>
      <c r="U51" s="20" t="s">
        <v>456</v>
      </c>
      <c r="V51" s="22">
        <v>193.0</v>
      </c>
      <c r="W51" s="22">
        <v>102.0</v>
      </c>
      <c r="X51" s="22">
        <v>31.0</v>
      </c>
      <c r="Y51" s="22">
        <v>671.2</v>
      </c>
      <c r="Z51" s="22">
        <v>0.528</v>
      </c>
    </row>
    <row r="52">
      <c r="A52" s="19">
        <v>734.0</v>
      </c>
      <c r="B52" s="20" t="s">
        <v>457</v>
      </c>
      <c r="C52" s="20" t="s">
        <v>439</v>
      </c>
      <c r="D52" s="20" t="s">
        <v>439</v>
      </c>
      <c r="E52" s="20" t="s">
        <v>458</v>
      </c>
      <c r="F52" s="20" t="s">
        <v>441</v>
      </c>
      <c r="G52" s="21"/>
      <c r="H52" s="21"/>
      <c r="I52" s="21"/>
      <c r="J52" s="21"/>
      <c r="K52" s="21"/>
      <c r="L52" s="20" t="s">
        <v>459</v>
      </c>
      <c r="M52" s="20" t="s">
        <v>222</v>
      </c>
      <c r="N52" s="20" t="s">
        <v>170</v>
      </c>
      <c r="O52" s="19">
        <v>-2.4607138</v>
      </c>
      <c r="P52" s="19">
        <v>50.6142985</v>
      </c>
      <c r="Q52" s="20" t="s">
        <v>443</v>
      </c>
      <c r="R52" s="20" t="s">
        <v>460</v>
      </c>
      <c r="S52" s="20" t="s">
        <v>461</v>
      </c>
      <c r="T52" s="21"/>
      <c r="U52" s="20" t="s">
        <v>462</v>
      </c>
      <c r="V52" s="22">
        <v>88.0</v>
      </c>
      <c r="W52" s="23"/>
      <c r="X52" s="22">
        <v>19.0</v>
      </c>
      <c r="Y52" s="22">
        <v>75.0</v>
      </c>
      <c r="Z52" s="23"/>
    </row>
    <row r="53">
      <c r="A53" s="19">
        <v>736.0</v>
      </c>
      <c r="B53" s="20" t="s">
        <v>463</v>
      </c>
      <c r="C53" s="20" t="s">
        <v>176</v>
      </c>
      <c r="D53" s="20" t="s">
        <v>384</v>
      </c>
      <c r="E53" s="20" t="s">
        <v>464</v>
      </c>
      <c r="F53" s="20" t="s">
        <v>178</v>
      </c>
      <c r="G53" s="19">
        <v>1.0</v>
      </c>
      <c r="H53" s="21"/>
      <c r="I53" s="21"/>
      <c r="J53" s="21"/>
      <c r="K53" s="21"/>
      <c r="L53" s="20" t="s">
        <v>465</v>
      </c>
      <c r="M53" s="20" t="s">
        <v>354</v>
      </c>
      <c r="N53" s="20" t="s">
        <v>341</v>
      </c>
      <c r="O53" s="19">
        <v>0.50936468</v>
      </c>
      <c r="P53" s="19">
        <v>52.3657339</v>
      </c>
      <c r="Q53" s="20" t="s">
        <v>180</v>
      </c>
      <c r="R53" s="20" t="s">
        <v>466</v>
      </c>
      <c r="S53" s="20" t="s">
        <v>467</v>
      </c>
      <c r="T53" s="21"/>
      <c r="U53" s="20" t="s">
        <v>468</v>
      </c>
      <c r="V53" s="22">
        <v>65.0</v>
      </c>
      <c r="W53" s="22">
        <v>32.0</v>
      </c>
      <c r="X53" s="22">
        <v>14.0</v>
      </c>
      <c r="Y53" s="22">
        <v>33.3</v>
      </c>
      <c r="Z53" s="22">
        <v>0.492</v>
      </c>
    </row>
    <row r="54">
      <c r="A54" s="19">
        <v>739.0</v>
      </c>
      <c r="B54" s="20" t="s">
        <v>469</v>
      </c>
      <c r="C54" s="20" t="s">
        <v>176</v>
      </c>
      <c r="D54" s="20" t="s">
        <v>176</v>
      </c>
      <c r="E54" s="20" t="s">
        <v>258</v>
      </c>
      <c r="F54" s="20" t="s">
        <v>203</v>
      </c>
      <c r="G54" s="19">
        <v>0.0</v>
      </c>
      <c r="H54" s="21"/>
      <c r="I54" s="21"/>
      <c r="J54" s="21"/>
      <c r="K54" s="21"/>
      <c r="L54" s="20" t="s">
        <v>470</v>
      </c>
      <c r="M54" s="20" t="s">
        <v>471</v>
      </c>
      <c r="N54" s="20" t="s">
        <v>422</v>
      </c>
      <c r="O54" s="19">
        <v>-2.9995737</v>
      </c>
      <c r="P54" s="19">
        <v>51.5906389</v>
      </c>
      <c r="Q54" s="20" t="s">
        <v>205</v>
      </c>
      <c r="R54" s="20" t="s">
        <v>472</v>
      </c>
      <c r="S54" s="20" t="s">
        <v>473</v>
      </c>
      <c r="T54" s="19">
        <v>44.0</v>
      </c>
      <c r="U54" s="20" t="s">
        <v>474</v>
      </c>
      <c r="V54" s="22">
        <v>143.0</v>
      </c>
      <c r="W54" s="22">
        <v>78.0</v>
      </c>
      <c r="X54" s="22">
        <v>30.0</v>
      </c>
      <c r="Y54" s="22">
        <v>381.0</v>
      </c>
      <c r="Z54" s="22">
        <v>0.545</v>
      </c>
    </row>
    <row r="55">
      <c r="A55" s="19">
        <v>740.0</v>
      </c>
      <c r="B55" s="20" t="s">
        <v>475</v>
      </c>
      <c r="C55" s="20" t="s">
        <v>165</v>
      </c>
      <c r="D55" s="20" t="s">
        <v>165</v>
      </c>
      <c r="E55" s="20" t="s">
        <v>275</v>
      </c>
      <c r="F55" s="20" t="s">
        <v>203</v>
      </c>
      <c r="G55" s="19">
        <v>0.0</v>
      </c>
      <c r="H55" s="21"/>
      <c r="I55" s="21"/>
      <c r="J55" s="21"/>
      <c r="K55" s="21"/>
      <c r="L55" s="20" t="s">
        <v>470</v>
      </c>
      <c r="M55" s="20" t="s">
        <v>471</v>
      </c>
      <c r="N55" s="20" t="s">
        <v>422</v>
      </c>
      <c r="O55" s="19">
        <v>-2.9995737</v>
      </c>
      <c r="P55" s="19">
        <v>51.5906389</v>
      </c>
      <c r="Q55" s="20" t="s">
        <v>205</v>
      </c>
      <c r="R55" s="20" t="s">
        <v>476</v>
      </c>
      <c r="S55" s="20" t="s">
        <v>477</v>
      </c>
      <c r="T55" s="19">
        <v>51.0</v>
      </c>
      <c r="U55" s="20" t="s">
        <v>478</v>
      </c>
      <c r="V55" s="22">
        <v>157.0</v>
      </c>
      <c r="W55" s="22">
        <v>93.0</v>
      </c>
      <c r="X55" s="22">
        <v>28.0</v>
      </c>
      <c r="Y55" s="22">
        <v>478.0</v>
      </c>
      <c r="Z55" s="22">
        <v>0.592</v>
      </c>
    </row>
    <row r="56">
      <c r="A56" s="19">
        <v>741.0</v>
      </c>
      <c r="B56" s="20" t="s">
        <v>479</v>
      </c>
      <c r="C56" s="20" t="s">
        <v>165</v>
      </c>
      <c r="D56" s="20" t="s">
        <v>165</v>
      </c>
      <c r="E56" s="20" t="s">
        <v>282</v>
      </c>
      <c r="F56" s="20" t="s">
        <v>203</v>
      </c>
      <c r="G56" s="19">
        <v>0.0</v>
      </c>
      <c r="H56" s="21"/>
      <c r="I56" s="21"/>
      <c r="J56" s="21"/>
      <c r="K56" s="21"/>
      <c r="L56" s="20" t="s">
        <v>420</v>
      </c>
      <c r="M56" s="20" t="s">
        <v>421</v>
      </c>
      <c r="N56" s="20" t="s">
        <v>422</v>
      </c>
      <c r="O56" s="19">
        <v>-3.2478704</v>
      </c>
      <c r="P56" s="19">
        <v>51.6961619</v>
      </c>
      <c r="Q56" s="20" t="s">
        <v>205</v>
      </c>
      <c r="R56" s="20" t="s">
        <v>480</v>
      </c>
      <c r="S56" s="20" t="s">
        <v>481</v>
      </c>
      <c r="T56" s="19">
        <v>35.0</v>
      </c>
      <c r="U56" s="20" t="s">
        <v>482</v>
      </c>
      <c r="V56" s="22">
        <v>157.0</v>
      </c>
      <c r="W56" s="22">
        <v>99.0</v>
      </c>
      <c r="X56" s="22">
        <v>35.0</v>
      </c>
      <c r="Y56" s="22">
        <v>549.8</v>
      </c>
      <c r="Z56" s="22">
        <v>0.631</v>
      </c>
    </row>
    <row r="57">
      <c r="A57" s="19">
        <v>743.0</v>
      </c>
      <c r="B57" s="20" t="s">
        <v>483</v>
      </c>
      <c r="C57" s="20" t="s">
        <v>439</v>
      </c>
      <c r="D57" s="20" t="s">
        <v>439</v>
      </c>
      <c r="E57" s="20" t="s">
        <v>440</v>
      </c>
      <c r="F57" s="20" t="s">
        <v>441</v>
      </c>
      <c r="G57" s="21"/>
      <c r="H57" s="19">
        <v>1.0</v>
      </c>
      <c r="I57" s="21"/>
      <c r="J57" s="19">
        <v>1.0</v>
      </c>
      <c r="K57" s="21"/>
      <c r="L57" s="20" t="s">
        <v>484</v>
      </c>
      <c r="M57" s="20" t="s">
        <v>277</v>
      </c>
      <c r="N57" s="20" t="s">
        <v>170</v>
      </c>
      <c r="O57" s="19">
        <v>-2.6613633</v>
      </c>
      <c r="P57" s="19">
        <v>51.809273</v>
      </c>
      <c r="Q57" s="20" t="s">
        <v>443</v>
      </c>
      <c r="R57" s="20" t="s">
        <v>485</v>
      </c>
      <c r="S57" s="20" t="s">
        <v>486</v>
      </c>
      <c r="T57" s="19">
        <v>90.0</v>
      </c>
      <c r="U57" s="20" t="s">
        <v>487</v>
      </c>
      <c r="V57" s="22">
        <v>125.0</v>
      </c>
      <c r="W57" s="22">
        <v>74.0</v>
      </c>
      <c r="X57" s="22">
        <v>23.0</v>
      </c>
      <c r="Y57" s="22">
        <v>356.7</v>
      </c>
      <c r="Z57" s="22">
        <v>0.592</v>
      </c>
    </row>
    <row r="58">
      <c r="A58" s="19">
        <v>744.0</v>
      </c>
      <c r="B58" s="20" t="s">
        <v>488</v>
      </c>
      <c r="C58" s="20" t="s">
        <v>176</v>
      </c>
      <c r="D58" s="20" t="s">
        <v>176</v>
      </c>
      <c r="E58" s="20" t="s">
        <v>264</v>
      </c>
      <c r="F58" s="20" t="s">
        <v>203</v>
      </c>
      <c r="G58" s="19">
        <v>0.0</v>
      </c>
      <c r="H58" s="21"/>
      <c r="I58" s="21"/>
      <c r="J58" s="21"/>
      <c r="K58" s="21"/>
      <c r="L58" s="20" t="s">
        <v>489</v>
      </c>
      <c r="M58" s="20" t="s">
        <v>490</v>
      </c>
      <c r="N58" s="20" t="s">
        <v>253</v>
      </c>
      <c r="O58" s="19">
        <v>-1.8000139</v>
      </c>
      <c r="P58" s="19">
        <v>53.0605802</v>
      </c>
      <c r="Q58" s="20" t="s">
        <v>180</v>
      </c>
      <c r="R58" s="20" t="s">
        <v>491</v>
      </c>
      <c r="S58" s="20" t="s">
        <v>492</v>
      </c>
      <c r="T58" s="19">
        <v>43.0</v>
      </c>
      <c r="U58" s="20" t="s">
        <v>273</v>
      </c>
      <c r="V58" s="22">
        <v>221.0</v>
      </c>
      <c r="W58" s="23"/>
      <c r="X58" s="23"/>
      <c r="Y58" s="22">
        <v>908.15</v>
      </c>
      <c r="Z58" s="23"/>
    </row>
    <row r="59">
      <c r="A59" s="19">
        <v>745.0</v>
      </c>
      <c r="B59" s="20" t="s">
        <v>493</v>
      </c>
      <c r="C59" s="20" t="s">
        <v>165</v>
      </c>
      <c r="D59" s="20" t="s">
        <v>165</v>
      </c>
      <c r="E59" s="20" t="s">
        <v>385</v>
      </c>
      <c r="F59" s="20" t="s">
        <v>178</v>
      </c>
      <c r="G59" s="19">
        <v>0.0</v>
      </c>
      <c r="H59" s="21"/>
      <c r="I59" s="21"/>
      <c r="J59" s="21"/>
      <c r="K59" s="21"/>
      <c r="L59" s="20" t="s">
        <v>494</v>
      </c>
      <c r="M59" s="20" t="s">
        <v>284</v>
      </c>
      <c r="N59" s="20" t="s">
        <v>253</v>
      </c>
      <c r="O59" s="19">
        <v>-1.213881</v>
      </c>
      <c r="P59" s="19">
        <v>51.6376735</v>
      </c>
      <c r="Q59" s="20" t="s">
        <v>180</v>
      </c>
      <c r="R59" s="20" t="s">
        <v>495</v>
      </c>
      <c r="S59" s="20" t="s">
        <v>496</v>
      </c>
      <c r="T59" s="19">
        <v>55.0</v>
      </c>
      <c r="U59" s="20" t="s">
        <v>497</v>
      </c>
      <c r="V59" s="22">
        <v>159.5</v>
      </c>
      <c r="W59" s="23"/>
      <c r="X59" s="23"/>
      <c r="Y59" s="22">
        <v>390.8</v>
      </c>
      <c r="Z59" s="23"/>
    </row>
    <row r="60">
      <c r="A60" s="19">
        <v>751.0</v>
      </c>
      <c r="B60" s="20" t="s">
        <v>498</v>
      </c>
      <c r="C60" s="20" t="s">
        <v>439</v>
      </c>
      <c r="D60" s="20" t="s">
        <v>439</v>
      </c>
      <c r="E60" s="20" t="s">
        <v>499</v>
      </c>
      <c r="F60" s="20" t="s">
        <v>441</v>
      </c>
      <c r="G60" s="21"/>
      <c r="H60" s="19">
        <v>1.0</v>
      </c>
      <c r="I60" s="21"/>
      <c r="J60" s="21"/>
      <c r="K60" s="19">
        <v>1.0</v>
      </c>
      <c r="L60" s="20" t="s">
        <v>500</v>
      </c>
      <c r="M60" s="20" t="s">
        <v>354</v>
      </c>
      <c r="N60" s="20" t="s">
        <v>341</v>
      </c>
      <c r="O60" s="19">
        <v>0.59042957</v>
      </c>
      <c r="P60" s="19">
        <v>52.1063453</v>
      </c>
      <c r="Q60" s="20" t="s">
        <v>443</v>
      </c>
      <c r="R60" s="20" t="s">
        <v>501</v>
      </c>
      <c r="S60" s="20" t="s">
        <v>502</v>
      </c>
      <c r="T60" s="19">
        <v>88.0</v>
      </c>
      <c r="U60" s="20" t="s">
        <v>503</v>
      </c>
      <c r="V60" s="22">
        <v>101.5</v>
      </c>
      <c r="W60" s="23"/>
      <c r="X60" s="23"/>
      <c r="Y60" s="22">
        <v>209.5</v>
      </c>
      <c r="Z60" s="23"/>
    </row>
    <row r="61">
      <c r="A61" s="19">
        <v>752.0</v>
      </c>
      <c r="B61" s="20" t="s">
        <v>504</v>
      </c>
      <c r="C61" s="20" t="s">
        <v>176</v>
      </c>
      <c r="D61" s="20" t="s">
        <v>176</v>
      </c>
      <c r="E61" s="20" t="s">
        <v>258</v>
      </c>
      <c r="F61" s="20" t="s">
        <v>203</v>
      </c>
      <c r="G61" s="19">
        <v>0.0</v>
      </c>
      <c r="H61" s="21"/>
      <c r="I61" s="21"/>
      <c r="J61" s="21"/>
      <c r="K61" s="21"/>
      <c r="L61" s="20" t="s">
        <v>505</v>
      </c>
      <c r="M61" s="20" t="s">
        <v>95</v>
      </c>
      <c r="N61" s="20" t="s">
        <v>341</v>
      </c>
      <c r="O61" s="19">
        <v>0.46785004</v>
      </c>
      <c r="P61" s="19">
        <v>52.7923789</v>
      </c>
      <c r="Q61" s="20" t="s">
        <v>205</v>
      </c>
      <c r="R61" s="20" t="s">
        <v>506</v>
      </c>
      <c r="S61" s="20" t="s">
        <v>507</v>
      </c>
      <c r="T61" s="19">
        <v>39.0</v>
      </c>
      <c r="U61" s="20" t="s">
        <v>508</v>
      </c>
      <c r="V61" s="22">
        <v>119.6</v>
      </c>
      <c r="W61" s="22">
        <v>72.5</v>
      </c>
      <c r="X61" s="23"/>
      <c r="Y61" s="22">
        <v>287.2</v>
      </c>
      <c r="Z61" s="22">
        <v>0.606</v>
      </c>
    </row>
    <row r="62">
      <c r="A62" s="19">
        <v>753.0</v>
      </c>
      <c r="B62" s="20" t="s">
        <v>509</v>
      </c>
      <c r="C62" s="20" t="s">
        <v>439</v>
      </c>
      <c r="D62" s="20" t="s">
        <v>439</v>
      </c>
      <c r="E62" s="20" t="s">
        <v>510</v>
      </c>
      <c r="F62" s="20" t="s">
        <v>441</v>
      </c>
      <c r="G62" s="21"/>
      <c r="H62" s="19">
        <v>1.0</v>
      </c>
      <c r="I62" s="21"/>
      <c r="J62" s="19">
        <v>1.0</v>
      </c>
      <c r="K62" s="21"/>
      <c r="L62" s="20" t="s">
        <v>511</v>
      </c>
      <c r="M62" s="20" t="s">
        <v>187</v>
      </c>
      <c r="N62" s="20" t="s">
        <v>170</v>
      </c>
      <c r="O62" s="19">
        <v>-4.0751543</v>
      </c>
      <c r="P62" s="19">
        <v>50.3628726</v>
      </c>
      <c r="Q62" s="20" t="s">
        <v>443</v>
      </c>
      <c r="R62" s="20" t="s">
        <v>512</v>
      </c>
      <c r="S62" s="20" t="s">
        <v>513</v>
      </c>
      <c r="T62" s="19">
        <v>95.0</v>
      </c>
      <c r="U62" s="20" t="s">
        <v>514</v>
      </c>
      <c r="V62" s="22">
        <v>105.0</v>
      </c>
      <c r="W62" s="22">
        <v>54.8</v>
      </c>
      <c r="X62" s="22">
        <v>25.2</v>
      </c>
      <c r="Y62" s="22">
        <v>292.6</v>
      </c>
      <c r="Z62" s="22">
        <v>0.522</v>
      </c>
    </row>
    <row r="63">
      <c r="A63" s="19">
        <v>754.0</v>
      </c>
      <c r="B63" s="20" t="s">
        <v>515</v>
      </c>
      <c r="C63" s="20" t="s">
        <v>439</v>
      </c>
      <c r="D63" s="20" t="s">
        <v>439</v>
      </c>
      <c r="E63" s="20" t="s">
        <v>516</v>
      </c>
      <c r="F63" s="20" t="s">
        <v>441</v>
      </c>
      <c r="G63" s="19">
        <v>1.0</v>
      </c>
      <c r="H63" s="21"/>
      <c r="I63" s="21"/>
      <c r="J63" s="21"/>
      <c r="K63" s="19">
        <v>1.0</v>
      </c>
      <c r="L63" s="20" t="s">
        <v>511</v>
      </c>
      <c r="M63" s="20" t="s">
        <v>187</v>
      </c>
      <c r="N63" s="20" t="s">
        <v>170</v>
      </c>
      <c r="O63" s="19">
        <v>-4.0751543</v>
      </c>
      <c r="P63" s="19">
        <v>50.3628726</v>
      </c>
      <c r="Q63" s="20" t="s">
        <v>443</v>
      </c>
      <c r="R63" s="20" t="s">
        <v>517</v>
      </c>
      <c r="S63" s="20" t="s">
        <v>518</v>
      </c>
      <c r="T63" s="19">
        <v>94.0</v>
      </c>
      <c r="U63" s="20" t="s">
        <v>519</v>
      </c>
      <c r="V63" s="22">
        <v>114.0</v>
      </c>
      <c r="W63" s="22">
        <v>70.2</v>
      </c>
      <c r="X63" s="22">
        <v>25.4</v>
      </c>
      <c r="Y63" s="22">
        <v>265.9</v>
      </c>
      <c r="Z63" s="22">
        <v>0.616</v>
      </c>
    </row>
    <row r="64">
      <c r="A64" s="19">
        <v>755.0</v>
      </c>
      <c r="B64" s="20" t="s">
        <v>520</v>
      </c>
      <c r="C64" s="20" t="s">
        <v>165</v>
      </c>
      <c r="D64" s="20" t="s">
        <v>165</v>
      </c>
      <c r="E64" s="20" t="s">
        <v>521</v>
      </c>
      <c r="F64" s="20" t="s">
        <v>203</v>
      </c>
      <c r="G64" s="19">
        <v>0.0</v>
      </c>
      <c r="H64" s="21"/>
      <c r="I64" s="21"/>
      <c r="J64" s="21"/>
      <c r="K64" s="21"/>
      <c r="L64" s="20" t="s">
        <v>522</v>
      </c>
      <c r="M64" s="20" t="s">
        <v>323</v>
      </c>
      <c r="N64" s="20" t="s">
        <v>253</v>
      </c>
      <c r="O64" s="19">
        <v>-0.076327</v>
      </c>
      <c r="P64" s="19">
        <v>51.507645</v>
      </c>
      <c r="Q64" s="20" t="s">
        <v>180</v>
      </c>
      <c r="R64" s="20" t="s">
        <v>523</v>
      </c>
      <c r="S64" s="20" t="s">
        <v>524</v>
      </c>
      <c r="T64" s="19">
        <v>45.0</v>
      </c>
      <c r="U64" s="20" t="s">
        <v>525</v>
      </c>
      <c r="V64" s="22">
        <v>148.0</v>
      </c>
      <c r="W64" s="22">
        <v>73.0</v>
      </c>
      <c r="X64" s="22">
        <v>28.0</v>
      </c>
      <c r="Y64" s="22">
        <v>424.3</v>
      </c>
      <c r="Z64" s="22">
        <v>0.493</v>
      </c>
    </row>
    <row r="65">
      <c r="A65" s="19">
        <v>756.0</v>
      </c>
      <c r="B65" s="20" t="s">
        <v>526</v>
      </c>
      <c r="C65" s="20" t="s">
        <v>439</v>
      </c>
      <c r="D65" s="20" t="s">
        <v>439</v>
      </c>
      <c r="E65" s="20" t="s">
        <v>458</v>
      </c>
      <c r="F65" s="20" t="s">
        <v>441</v>
      </c>
      <c r="G65" s="21"/>
      <c r="H65" s="21"/>
      <c r="I65" s="21"/>
      <c r="J65" s="21"/>
      <c r="K65" s="21"/>
      <c r="L65" s="20" t="s">
        <v>527</v>
      </c>
      <c r="M65" s="20" t="s">
        <v>222</v>
      </c>
      <c r="N65" s="20" t="s">
        <v>170</v>
      </c>
      <c r="O65" s="19">
        <v>-2.4044807</v>
      </c>
      <c r="P65" s="19">
        <v>50.657808</v>
      </c>
      <c r="Q65" s="20" t="s">
        <v>443</v>
      </c>
      <c r="R65" s="20" t="s">
        <v>528</v>
      </c>
      <c r="S65" s="20" t="s">
        <v>529</v>
      </c>
      <c r="T65" s="19">
        <v>87.0</v>
      </c>
      <c r="U65" s="20" t="s">
        <v>503</v>
      </c>
      <c r="V65" s="22">
        <v>157.0</v>
      </c>
      <c r="W65" s="22">
        <v>88.0</v>
      </c>
      <c r="X65" s="22">
        <v>29.0</v>
      </c>
      <c r="Y65" s="22">
        <v>569.4</v>
      </c>
      <c r="Z65" s="22">
        <v>0.561</v>
      </c>
    </row>
    <row r="66">
      <c r="A66" s="19">
        <v>757.0</v>
      </c>
      <c r="B66" s="20" t="s">
        <v>530</v>
      </c>
      <c r="C66" s="20" t="s">
        <v>165</v>
      </c>
      <c r="D66" s="20" t="s">
        <v>165</v>
      </c>
      <c r="E66" s="20" t="s">
        <v>531</v>
      </c>
      <c r="F66" s="20" t="s">
        <v>203</v>
      </c>
      <c r="G66" s="19">
        <v>0.0</v>
      </c>
      <c r="H66" s="21"/>
      <c r="I66" s="21"/>
      <c r="J66" s="21"/>
      <c r="K66" s="21"/>
      <c r="L66" s="20" t="s">
        <v>532</v>
      </c>
      <c r="M66" s="20" t="s">
        <v>533</v>
      </c>
      <c r="N66" s="20" t="s">
        <v>253</v>
      </c>
      <c r="O66" s="19">
        <v>-0.225972</v>
      </c>
      <c r="P66" s="19">
        <v>52.5080852</v>
      </c>
      <c r="Q66" s="20" t="s">
        <v>205</v>
      </c>
      <c r="R66" s="20" t="s">
        <v>534</v>
      </c>
      <c r="S66" s="20" t="s">
        <v>535</v>
      </c>
      <c r="T66" s="19">
        <v>25.0</v>
      </c>
      <c r="U66" s="20" t="s">
        <v>242</v>
      </c>
      <c r="V66" s="22">
        <v>117.5</v>
      </c>
      <c r="W66" s="23"/>
      <c r="X66" s="23"/>
      <c r="Y66" s="22">
        <v>267.3</v>
      </c>
      <c r="Z66" s="23"/>
    </row>
    <row r="67">
      <c r="A67" s="19">
        <v>758.0</v>
      </c>
      <c r="B67" s="20" t="s">
        <v>536</v>
      </c>
      <c r="C67" s="20" t="s">
        <v>165</v>
      </c>
      <c r="D67" s="20" t="s">
        <v>165</v>
      </c>
      <c r="E67" s="20" t="s">
        <v>408</v>
      </c>
      <c r="F67" s="20" t="s">
        <v>167</v>
      </c>
      <c r="G67" s="19">
        <v>0.0</v>
      </c>
      <c r="H67" s="21"/>
      <c r="I67" s="21"/>
      <c r="J67" s="21"/>
      <c r="K67" s="21"/>
      <c r="L67" s="20" t="s">
        <v>537</v>
      </c>
      <c r="M67" s="20" t="s">
        <v>323</v>
      </c>
      <c r="N67" s="20" t="s">
        <v>253</v>
      </c>
      <c r="O67" s="19">
        <v>-0.320099</v>
      </c>
      <c r="P67" s="19">
        <v>51.461932</v>
      </c>
      <c r="Q67" s="20" t="s">
        <v>171</v>
      </c>
      <c r="R67" s="20" t="s">
        <v>538</v>
      </c>
      <c r="S67" s="20" t="s">
        <v>539</v>
      </c>
      <c r="T67" s="19">
        <v>14.0</v>
      </c>
      <c r="U67" s="20" t="s">
        <v>540</v>
      </c>
      <c r="V67" s="22">
        <v>91.0</v>
      </c>
      <c r="W67" s="23"/>
      <c r="X67" s="23"/>
      <c r="Y67" s="22">
        <v>271.8</v>
      </c>
      <c r="Z67" s="23"/>
    </row>
    <row r="68">
      <c r="A68" s="19">
        <v>759.0</v>
      </c>
      <c r="B68" s="20" t="s">
        <v>541</v>
      </c>
      <c r="C68" s="20" t="s">
        <v>439</v>
      </c>
      <c r="D68" s="20" t="s">
        <v>439</v>
      </c>
      <c r="E68" s="20" t="s">
        <v>542</v>
      </c>
      <c r="F68" s="20" t="s">
        <v>441</v>
      </c>
      <c r="G68" s="19">
        <v>1.0</v>
      </c>
      <c r="H68" s="21"/>
      <c r="I68" s="19">
        <v>1.0</v>
      </c>
      <c r="J68" s="21"/>
      <c r="K68" s="21"/>
      <c r="L68" s="20" t="s">
        <v>543</v>
      </c>
      <c r="M68" s="20" t="s">
        <v>544</v>
      </c>
      <c r="N68" s="20" t="s">
        <v>253</v>
      </c>
      <c r="O68" s="19">
        <v>-0.7823973</v>
      </c>
      <c r="P68" s="19">
        <v>51.5620587</v>
      </c>
      <c r="Q68" s="20" t="s">
        <v>443</v>
      </c>
      <c r="R68" s="20" t="s">
        <v>545</v>
      </c>
      <c r="S68" s="20" t="s">
        <v>546</v>
      </c>
      <c r="T68" s="19">
        <v>83.0</v>
      </c>
      <c r="U68" s="20" t="s">
        <v>547</v>
      </c>
      <c r="V68" s="22">
        <v>160.5</v>
      </c>
      <c r="W68" s="22">
        <v>87.0</v>
      </c>
      <c r="X68" s="22">
        <v>25.0</v>
      </c>
      <c r="Y68" s="22">
        <v>534.1</v>
      </c>
      <c r="Z68" s="22">
        <v>0.542</v>
      </c>
    </row>
    <row r="69">
      <c r="A69" s="19">
        <v>761.0</v>
      </c>
      <c r="B69" s="20" t="s">
        <v>548</v>
      </c>
      <c r="C69" s="20" t="s">
        <v>439</v>
      </c>
      <c r="D69" s="20" t="s">
        <v>439</v>
      </c>
      <c r="E69" s="20" t="s">
        <v>458</v>
      </c>
      <c r="F69" s="20" t="s">
        <v>441</v>
      </c>
      <c r="G69" s="21"/>
      <c r="H69" s="21"/>
      <c r="I69" s="21"/>
      <c r="J69" s="21"/>
      <c r="K69" s="21"/>
      <c r="L69" s="20" t="s">
        <v>549</v>
      </c>
      <c r="M69" s="20" t="s">
        <v>323</v>
      </c>
      <c r="N69" s="20" t="s">
        <v>253</v>
      </c>
      <c r="O69" s="19">
        <v>-0.471403</v>
      </c>
      <c r="P69" s="19">
        <v>51.509053</v>
      </c>
      <c r="Q69" s="20" t="s">
        <v>443</v>
      </c>
      <c r="R69" s="20" t="s">
        <v>550</v>
      </c>
      <c r="S69" s="20" t="s">
        <v>551</v>
      </c>
      <c r="T69" s="19">
        <v>86.0</v>
      </c>
      <c r="U69" s="20" t="s">
        <v>503</v>
      </c>
      <c r="V69" s="22">
        <v>149.0</v>
      </c>
      <c r="W69" s="22">
        <v>92.0</v>
      </c>
      <c r="X69" s="22">
        <v>29.0</v>
      </c>
      <c r="Y69" s="22">
        <v>507.4</v>
      </c>
      <c r="Z69" s="22">
        <v>0.617</v>
      </c>
    </row>
    <row r="70">
      <c r="A70" s="19">
        <v>763.0</v>
      </c>
      <c r="B70" s="20" t="s">
        <v>552</v>
      </c>
      <c r="C70" s="20" t="s">
        <v>165</v>
      </c>
      <c r="D70" s="20" t="s">
        <v>165</v>
      </c>
      <c r="E70" s="20" t="s">
        <v>309</v>
      </c>
      <c r="F70" s="20" t="s">
        <v>203</v>
      </c>
      <c r="G70" s="19">
        <v>0.0</v>
      </c>
      <c r="H70" s="21"/>
      <c r="I70" s="21"/>
      <c r="J70" s="21"/>
      <c r="K70" s="21"/>
      <c r="L70" s="20" t="s">
        <v>553</v>
      </c>
      <c r="M70" s="20" t="s">
        <v>554</v>
      </c>
      <c r="N70" s="20" t="s">
        <v>253</v>
      </c>
      <c r="O70" s="19">
        <v>-1.457685</v>
      </c>
      <c r="P70" s="19">
        <v>51.184972</v>
      </c>
      <c r="Q70" s="20" t="s">
        <v>205</v>
      </c>
      <c r="R70" s="20" t="s">
        <v>555</v>
      </c>
      <c r="S70" s="20" t="s">
        <v>556</v>
      </c>
      <c r="T70" s="19">
        <v>33.0</v>
      </c>
      <c r="U70" s="20" t="s">
        <v>557</v>
      </c>
      <c r="V70" s="22">
        <v>154.5</v>
      </c>
      <c r="W70" s="23"/>
      <c r="X70" s="23"/>
      <c r="Y70" s="22">
        <v>549.2</v>
      </c>
      <c r="Z70" s="23"/>
    </row>
    <row r="71">
      <c r="A71" s="19">
        <v>764.0</v>
      </c>
      <c r="B71" s="20" t="s">
        <v>558</v>
      </c>
      <c r="C71" s="20" t="s">
        <v>439</v>
      </c>
      <c r="D71" s="20" t="s">
        <v>439</v>
      </c>
      <c r="E71" s="20" t="s">
        <v>559</v>
      </c>
      <c r="F71" s="20" t="s">
        <v>441</v>
      </c>
      <c r="G71" s="19">
        <v>1.0</v>
      </c>
      <c r="H71" s="21"/>
      <c r="I71" s="21"/>
      <c r="J71" s="21"/>
      <c r="K71" s="21"/>
      <c r="L71" s="20" t="s">
        <v>560</v>
      </c>
      <c r="M71" s="20" t="s">
        <v>561</v>
      </c>
      <c r="N71" s="20" t="s">
        <v>253</v>
      </c>
      <c r="O71" s="19">
        <v>-1.2292685</v>
      </c>
      <c r="P71" s="19">
        <v>50.6805597</v>
      </c>
      <c r="Q71" s="20" t="s">
        <v>443</v>
      </c>
      <c r="R71" s="20" t="s">
        <v>562</v>
      </c>
      <c r="S71" s="20" t="s">
        <v>563</v>
      </c>
      <c r="T71" s="21"/>
      <c r="U71" s="20" t="s">
        <v>503</v>
      </c>
      <c r="V71" s="22">
        <v>119.0</v>
      </c>
      <c r="W71" s="22">
        <v>70.5</v>
      </c>
      <c r="X71" s="23"/>
      <c r="Y71" s="22">
        <v>244.0</v>
      </c>
      <c r="Z71" s="22">
        <v>0.592</v>
      </c>
    </row>
    <row r="72">
      <c r="A72" s="19">
        <v>766.0</v>
      </c>
      <c r="B72" s="20" t="s">
        <v>564</v>
      </c>
      <c r="C72" s="20" t="s">
        <v>439</v>
      </c>
      <c r="D72" s="20" t="s">
        <v>439</v>
      </c>
      <c r="E72" s="20" t="s">
        <v>559</v>
      </c>
      <c r="F72" s="20" t="s">
        <v>441</v>
      </c>
      <c r="G72" s="19">
        <v>1.0</v>
      </c>
      <c r="H72" s="21"/>
      <c r="I72" s="19">
        <v>1.0</v>
      </c>
      <c r="J72" s="21"/>
      <c r="K72" s="21"/>
      <c r="L72" s="20" t="s">
        <v>511</v>
      </c>
      <c r="M72" s="20" t="s">
        <v>187</v>
      </c>
      <c r="N72" s="20" t="s">
        <v>170</v>
      </c>
      <c r="O72" s="19">
        <v>-4.0751543</v>
      </c>
      <c r="P72" s="19">
        <v>50.3628726</v>
      </c>
      <c r="Q72" s="20" t="s">
        <v>443</v>
      </c>
      <c r="R72" s="20" t="s">
        <v>565</v>
      </c>
      <c r="S72" s="24" t="s">
        <v>566</v>
      </c>
      <c r="T72" s="21"/>
      <c r="U72" s="20" t="s">
        <v>567</v>
      </c>
      <c r="V72" s="22">
        <v>131.0</v>
      </c>
      <c r="W72" s="22">
        <v>71.0</v>
      </c>
      <c r="X72" s="22">
        <v>23.0</v>
      </c>
      <c r="Y72" s="22">
        <v>268.0</v>
      </c>
      <c r="Z72" s="22">
        <v>0.542</v>
      </c>
    </row>
    <row r="73">
      <c r="A73" s="19">
        <v>771.0</v>
      </c>
      <c r="B73" s="20" t="s">
        <v>568</v>
      </c>
      <c r="C73" s="20" t="s">
        <v>439</v>
      </c>
      <c r="D73" s="20" t="s">
        <v>439</v>
      </c>
      <c r="E73" s="20" t="s">
        <v>542</v>
      </c>
      <c r="F73" s="20" t="s">
        <v>441</v>
      </c>
      <c r="G73" s="19">
        <v>1.0</v>
      </c>
      <c r="H73" s="21"/>
      <c r="I73" s="19">
        <v>1.0</v>
      </c>
      <c r="J73" s="21"/>
      <c r="K73" s="21"/>
      <c r="L73" s="20" t="s">
        <v>569</v>
      </c>
      <c r="M73" s="20" t="s">
        <v>561</v>
      </c>
      <c r="N73" s="20" t="s">
        <v>253</v>
      </c>
      <c r="O73" s="19">
        <v>-1.2292685</v>
      </c>
      <c r="P73" s="19">
        <v>50.6805597</v>
      </c>
      <c r="Q73" s="20" t="s">
        <v>443</v>
      </c>
      <c r="R73" s="20" t="s">
        <v>570</v>
      </c>
      <c r="S73" s="20" t="s">
        <v>571</v>
      </c>
      <c r="T73" s="21"/>
      <c r="U73" s="20" t="s">
        <v>572</v>
      </c>
      <c r="V73" s="22">
        <v>202.0</v>
      </c>
      <c r="W73" s="22">
        <v>106.0</v>
      </c>
      <c r="X73" s="23"/>
      <c r="Y73" s="22">
        <v>829.9</v>
      </c>
      <c r="Z73" s="22">
        <v>0.525</v>
      </c>
    </row>
    <row r="74">
      <c r="A74" s="19">
        <v>772.0</v>
      </c>
      <c r="B74" s="20" t="s">
        <v>573</v>
      </c>
      <c r="C74" s="20" t="s">
        <v>439</v>
      </c>
      <c r="D74" s="20" t="s">
        <v>439</v>
      </c>
      <c r="E74" s="20" t="s">
        <v>574</v>
      </c>
      <c r="F74" s="20" t="s">
        <v>441</v>
      </c>
      <c r="G74" s="19">
        <v>1.0</v>
      </c>
      <c r="H74" s="21"/>
      <c r="I74" s="21"/>
      <c r="J74" s="21"/>
      <c r="K74" s="21"/>
      <c r="L74" s="20" t="s">
        <v>569</v>
      </c>
      <c r="M74" s="20" t="s">
        <v>561</v>
      </c>
      <c r="N74" s="20" t="s">
        <v>253</v>
      </c>
      <c r="O74" s="19">
        <v>-1.2292685</v>
      </c>
      <c r="P74" s="19">
        <v>50.6805597</v>
      </c>
      <c r="Q74" s="20" t="s">
        <v>443</v>
      </c>
      <c r="R74" s="20" t="s">
        <v>575</v>
      </c>
      <c r="S74" s="20" t="s">
        <v>576</v>
      </c>
      <c r="T74" s="21"/>
      <c r="U74" s="20" t="s">
        <v>503</v>
      </c>
      <c r="V74" s="22">
        <v>112.0</v>
      </c>
      <c r="W74" s="22">
        <v>63.0</v>
      </c>
      <c r="X74" s="23"/>
      <c r="Y74" s="22">
        <v>196.1</v>
      </c>
      <c r="Z74" s="22">
        <v>0.562</v>
      </c>
    </row>
    <row r="75">
      <c r="A75" s="19">
        <v>773.0</v>
      </c>
      <c r="B75" s="20" t="s">
        <v>577</v>
      </c>
      <c r="C75" s="20" t="s">
        <v>439</v>
      </c>
      <c r="D75" s="20" t="s">
        <v>439</v>
      </c>
      <c r="E75" s="20" t="s">
        <v>440</v>
      </c>
      <c r="F75" s="20" t="s">
        <v>441</v>
      </c>
      <c r="G75" s="21"/>
      <c r="H75" s="19">
        <v>1.0</v>
      </c>
      <c r="I75" s="21"/>
      <c r="J75" s="21"/>
      <c r="K75" s="19">
        <v>1.0</v>
      </c>
      <c r="L75" s="20" t="s">
        <v>578</v>
      </c>
      <c r="M75" s="20" t="s">
        <v>311</v>
      </c>
      <c r="N75" s="20" t="s">
        <v>253</v>
      </c>
      <c r="O75" s="19">
        <v>-0.1073676</v>
      </c>
      <c r="P75" s="19">
        <v>53.2075227</v>
      </c>
      <c r="Q75" s="20" t="s">
        <v>443</v>
      </c>
      <c r="R75" s="20" t="s">
        <v>579</v>
      </c>
      <c r="S75" s="20" t="s">
        <v>580</v>
      </c>
      <c r="T75" s="19">
        <v>74.0</v>
      </c>
      <c r="U75" s="20" t="s">
        <v>581</v>
      </c>
      <c r="V75" s="22">
        <v>117.5</v>
      </c>
      <c r="W75" s="22">
        <v>71.0</v>
      </c>
      <c r="X75" s="22">
        <v>24.0</v>
      </c>
      <c r="Y75" s="22">
        <v>232.2</v>
      </c>
      <c r="Z75" s="22">
        <v>0.604</v>
      </c>
    </row>
    <row r="76">
      <c r="A76" s="19">
        <v>774.0</v>
      </c>
      <c r="B76" s="20" t="s">
        <v>582</v>
      </c>
      <c r="C76" s="20" t="s">
        <v>439</v>
      </c>
      <c r="D76" s="20" t="s">
        <v>439</v>
      </c>
      <c r="E76" s="20" t="s">
        <v>559</v>
      </c>
      <c r="F76" s="20" t="s">
        <v>441</v>
      </c>
      <c r="G76" s="21"/>
      <c r="H76" s="19">
        <v>1.0</v>
      </c>
      <c r="I76" s="21"/>
      <c r="J76" s="19">
        <v>1.0</v>
      </c>
      <c r="K76" s="21"/>
      <c r="L76" s="20" t="s">
        <v>583</v>
      </c>
      <c r="M76" s="20" t="s">
        <v>323</v>
      </c>
      <c r="N76" s="20" t="s">
        <v>253</v>
      </c>
      <c r="O76" s="19">
        <v>-0.2656715</v>
      </c>
      <c r="P76" s="19">
        <v>51.4926132</v>
      </c>
      <c r="Q76" s="20" t="s">
        <v>443</v>
      </c>
      <c r="R76" s="20" t="s">
        <v>584</v>
      </c>
      <c r="S76" s="20" t="s">
        <v>585</v>
      </c>
      <c r="T76" s="21"/>
      <c r="U76" s="20" t="s">
        <v>567</v>
      </c>
      <c r="V76" s="22">
        <v>116.0</v>
      </c>
      <c r="W76" s="22">
        <v>63.0</v>
      </c>
      <c r="X76" s="22">
        <v>21.0</v>
      </c>
      <c r="Y76" s="22">
        <v>209.5</v>
      </c>
      <c r="Z76" s="22">
        <v>0.543</v>
      </c>
    </row>
    <row r="77">
      <c r="A77" s="19">
        <v>780.0</v>
      </c>
      <c r="B77" s="20" t="s">
        <v>586</v>
      </c>
      <c r="C77" s="20" t="s">
        <v>176</v>
      </c>
      <c r="D77" s="20" t="s">
        <v>176</v>
      </c>
      <c r="E77" s="20" t="s">
        <v>258</v>
      </c>
      <c r="F77" s="20" t="s">
        <v>203</v>
      </c>
      <c r="G77" s="19">
        <v>0.0</v>
      </c>
      <c r="H77" s="21"/>
      <c r="I77" s="21"/>
      <c r="J77" s="21"/>
      <c r="K77" s="21"/>
      <c r="L77" s="20" t="s">
        <v>587</v>
      </c>
      <c r="M77" s="20" t="s">
        <v>588</v>
      </c>
      <c r="N77" s="20" t="s">
        <v>253</v>
      </c>
      <c r="O77" s="19">
        <v>-1.081142</v>
      </c>
      <c r="P77" s="19">
        <v>52.9516</v>
      </c>
      <c r="Q77" s="20" t="s">
        <v>205</v>
      </c>
      <c r="R77" s="20" t="s">
        <v>589</v>
      </c>
      <c r="S77" s="20" t="s">
        <v>590</v>
      </c>
      <c r="T77" s="21"/>
      <c r="U77" s="20" t="s">
        <v>591</v>
      </c>
      <c r="V77" s="22">
        <v>165.0</v>
      </c>
      <c r="W77" s="22">
        <v>92.0</v>
      </c>
      <c r="X77" s="22">
        <v>29.0</v>
      </c>
      <c r="Y77" s="23"/>
      <c r="Z77" s="22">
        <v>0.558</v>
      </c>
    </row>
    <row r="78">
      <c r="A78" s="19">
        <v>787.0</v>
      </c>
      <c r="B78" s="20" t="s">
        <v>592</v>
      </c>
      <c r="C78" s="20" t="s">
        <v>176</v>
      </c>
      <c r="D78" s="20" t="s">
        <v>176</v>
      </c>
      <c r="E78" s="20" t="s">
        <v>593</v>
      </c>
      <c r="F78" s="20" t="s">
        <v>178</v>
      </c>
      <c r="G78" s="19">
        <v>0.0</v>
      </c>
      <c r="H78" s="21"/>
      <c r="I78" s="21"/>
      <c r="J78" s="21"/>
      <c r="K78" s="21"/>
      <c r="L78" s="20" t="s">
        <v>594</v>
      </c>
      <c r="M78" s="20" t="s">
        <v>595</v>
      </c>
      <c r="N78" s="20" t="s">
        <v>170</v>
      </c>
      <c r="O78" s="19">
        <v>-1.8347974</v>
      </c>
      <c r="P78" s="19">
        <v>51.1704695</v>
      </c>
      <c r="Q78" s="20" t="s">
        <v>180</v>
      </c>
      <c r="R78" s="20" t="s">
        <v>596</v>
      </c>
      <c r="S78" s="20" t="s">
        <v>597</v>
      </c>
      <c r="T78" s="19">
        <v>73.0</v>
      </c>
      <c r="U78" s="20" t="s">
        <v>598</v>
      </c>
      <c r="V78" s="22">
        <v>160.0</v>
      </c>
      <c r="W78" s="23"/>
      <c r="X78" s="23"/>
      <c r="Y78" s="23"/>
      <c r="Z78" s="23"/>
    </row>
    <row r="79">
      <c r="A79" s="19">
        <v>788.0</v>
      </c>
      <c r="B79" s="20" t="s">
        <v>599</v>
      </c>
      <c r="C79" s="20" t="s">
        <v>176</v>
      </c>
      <c r="D79" s="20" t="s">
        <v>176</v>
      </c>
      <c r="E79" s="20" t="s">
        <v>385</v>
      </c>
      <c r="F79" s="20" t="s">
        <v>178</v>
      </c>
      <c r="G79" s="19">
        <v>0.0</v>
      </c>
      <c r="H79" s="21"/>
      <c r="I79" s="21"/>
      <c r="J79" s="21"/>
      <c r="K79" s="21"/>
      <c r="L79" s="20" t="s">
        <v>600</v>
      </c>
      <c r="M79" s="20" t="s">
        <v>222</v>
      </c>
      <c r="N79" s="20" t="s">
        <v>170</v>
      </c>
      <c r="O79" s="19">
        <v>-2.4122577</v>
      </c>
      <c r="P79" s="19">
        <v>50.7082257</v>
      </c>
      <c r="Q79" s="20" t="s">
        <v>180</v>
      </c>
      <c r="R79" s="20" t="s">
        <v>601</v>
      </c>
      <c r="S79" s="20" t="s">
        <v>602</v>
      </c>
      <c r="T79" s="19">
        <v>56.0</v>
      </c>
      <c r="U79" s="20" t="s">
        <v>497</v>
      </c>
      <c r="V79" s="22">
        <v>120.0</v>
      </c>
      <c r="W79" s="23"/>
      <c r="X79" s="23"/>
      <c r="Y79" s="22">
        <v>202.0</v>
      </c>
      <c r="Z79" s="23"/>
    </row>
    <row r="80">
      <c r="A80" s="19">
        <v>816.0</v>
      </c>
      <c r="B80" s="20" t="s">
        <v>603</v>
      </c>
      <c r="C80" s="20" t="s">
        <v>165</v>
      </c>
      <c r="D80" s="20" t="s">
        <v>165</v>
      </c>
      <c r="E80" s="20" t="s">
        <v>408</v>
      </c>
      <c r="F80" s="20" t="s">
        <v>167</v>
      </c>
      <c r="G80" s="19">
        <v>0.0</v>
      </c>
      <c r="H80" s="21"/>
      <c r="I80" s="21"/>
      <c r="J80" s="21"/>
      <c r="K80" s="21"/>
      <c r="L80" s="20" t="s">
        <v>604</v>
      </c>
      <c r="M80" s="20" t="s">
        <v>354</v>
      </c>
      <c r="N80" s="20" t="s">
        <v>341</v>
      </c>
      <c r="O80" s="19">
        <v>1.22043</v>
      </c>
      <c r="P80" s="19">
        <v>52.032347</v>
      </c>
      <c r="Q80" s="20" t="s">
        <v>171</v>
      </c>
      <c r="R80" s="20" t="s">
        <v>605</v>
      </c>
      <c r="S80" s="20" t="s">
        <v>606</v>
      </c>
      <c r="T80" s="19">
        <v>10.0</v>
      </c>
      <c r="U80" s="20" t="s">
        <v>607</v>
      </c>
      <c r="V80" s="22">
        <v>120.0</v>
      </c>
      <c r="W80" s="23"/>
      <c r="X80" s="23"/>
      <c r="Y80" s="23"/>
      <c r="Z80" s="23"/>
    </row>
    <row r="81">
      <c r="A81" s="19">
        <v>823.0</v>
      </c>
      <c r="B81" s="20" t="s">
        <v>608</v>
      </c>
      <c r="C81" s="20" t="s">
        <v>165</v>
      </c>
      <c r="D81" s="20" t="s">
        <v>609</v>
      </c>
      <c r="E81" s="20" t="s">
        <v>178</v>
      </c>
      <c r="F81" s="20" t="s">
        <v>178</v>
      </c>
      <c r="G81" s="19">
        <v>0.0</v>
      </c>
      <c r="H81" s="21"/>
      <c r="I81" s="21"/>
      <c r="J81" s="21"/>
      <c r="K81" s="21"/>
      <c r="L81" s="20" t="s">
        <v>610</v>
      </c>
      <c r="M81" s="20" t="s">
        <v>366</v>
      </c>
      <c r="N81" s="20" t="s">
        <v>253</v>
      </c>
      <c r="O81" s="19">
        <v>0.086587</v>
      </c>
      <c r="P81" s="19">
        <v>50.843857</v>
      </c>
      <c r="Q81" s="23"/>
      <c r="R81" s="20" t="s">
        <v>611</v>
      </c>
      <c r="S81" s="20" t="s">
        <v>612</v>
      </c>
      <c r="T81" s="19">
        <v>102.0</v>
      </c>
      <c r="U81" s="20" t="s">
        <v>389</v>
      </c>
      <c r="V81" s="22">
        <v>69.5</v>
      </c>
      <c r="W81" s="23"/>
      <c r="X81" s="23"/>
      <c r="Y81" s="23"/>
      <c r="Z81" s="23"/>
    </row>
    <row r="82">
      <c r="A82" s="19">
        <v>828.0</v>
      </c>
      <c r="B82" s="20" t="s">
        <v>613</v>
      </c>
      <c r="C82" s="20" t="s">
        <v>439</v>
      </c>
      <c r="D82" s="20" t="s">
        <v>439</v>
      </c>
      <c r="E82" s="20" t="s">
        <v>614</v>
      </c>
      <c r="F82" s="20" t="s">
        <v>441</v>
      </c>
      <c r="G82" s="21"/>
      <c r="H82" s="19">
        <v>1.0</v>
      </c>
      <c r="I82" s="21"/>
      <c r="J82" s="19">
        <v>1.0</v>
      </c>
      <c r="K82" s="21"/>
      <c r="L82" s="20" t="s">
        <v>615</v>
      </c>
      <c r="M82" s="20" t="s">
        <v>616</v>
      </c>
      <c r="N82" s="20" t="s">
        <v>341</v>
      </c>
      <c r="O82" s="19">
        <v>0.86631075</v>
      </c>
      <c r="P82" s="19">
        <v>51.1645981</v>
      </c>
      <c r="Q82" s="20" t="s">
        <v>443</v>
      </c>
      <c r="R82" s="20" t="s">
        <v>617</v>
      </c>
      <c r="S82" s="20" t="s">
        <v>618</v>
      </c>
      <c r="T82" s="19">
        <v>78.0</v>
      </c>
      <c r="U82" s="20" t="s">
        <v>619</v>
      </c>
      <c r="V82" s="22">
        <v>97.0</v>
      </c>
      <c r="W82" s="23"/>
      <c r="X82" s="23"/>
      <c r="Y82" s="22">
        <v>156.0</v>
      </c>
      <c r="Z82" s="23"/>
    </row>
    <row r="83">
      <c r="A83" s="19">
        <v>829.0</v>
      </c>
      <c r="B83" s="20" t="s">
        <v>620</v>
      </c>
      <c r="C83" s="20" t="s">
        <v>165</v>
      </c>
      <c r="D83" s="20" t="s">
        <v>165</v>
      </c>
      <c r="E83" s="20" t="s">
        <v>621</v>
      </c>
      <c r="F83" s="20" t="s">
        <v>167</v>
      </c>
      <c r="G83" s="19">
        <v>0.0</v>
      </c>
      <c r="H83" s="21"/>
      <c r="I83" s="21"/>
      <c r="J83" s="21"/>
      <c r="K83" s="21"/>
      <c r="L83" s="20" t="s">
        <v>622</v>
      </c>
      <c r="M83" s="20" t="s">
        <v>623</v>
      </c>
      <c r="N83" s="20" t="s">
        <v>422</v>
      </c>
      <c r="O83" s="19">
        <v>-3.2808145</v>
      </c>
      <c r="P83" s="19">
        <v>53.1838902</v>
      </c>
      <c r="Q83" s="20" t="s">
        <v>171</v>
      </c>
      <c r="R83" s="20" t="s">
        <v>624</v>
      </c>
      <c r="S83" s="20" t="s">
        <v>625</v>
      </c>
      <c r="T83" s="19">
        <v>5.0</v>
      </c>
      <c r="U83" s="20" t="s">
        <v>626</v>
      </c>
      <c r="V83" s="22">
        <v>156.0</v>
      </c>
      <c r="W83" s="22">
        <v>94.0</v>
      </c>
      <c r="X83" s="22">
        <v>45.0</v>
      </c>
      <c r="Y83" s="22">
        <v>665.0</v>
      </c>
      <c r="Z83" s="22">
        <v>0.603</v>
      </c>
    </row>
    <row r="84">
      <c r="A84" s="19">
        <v>836.0</v>
      </c>
      <c r="B84" s="20" t="s">
        <v>627</v>
      </c>
      <c r="C84" s="20" t="s">
        <v>439</v>
      </c>
      <c r="D84" s="20" t="s">
        <v>628</v>
      </c>
      <c r="E84" s="20" t="s">
        <v>614</v>
      </c>
      <c r="F84" s="20" t="s">
        <v>441</v>
      </c>
      <c r="G84" s="21"/>
      <c r="H84" s="19">
        <v>1.0</v>
      </c>
      <c r="I84" s="21"/>
      <c r="J84" s="21"/>
      <c r="K84" s="21"/>
      <c r="L84" s="20" t="s">
        <v>629</v>
      </c>
      <c r="M84" s="20" t="s">
        <v>95</v>
      </c>
      <c r="N84" s="20" t="s">
        <v>341</v>
      </c>
      <c r="O84" s="19">
        <v>0.866711</v>
      </c>
      <c r="P84" s="19">
        <v>52.428196</v>
      </c>
      <c r="Q84" s="20" t="s">
        <v>443</v>
      </c>
      <c r="R84" s="20" t="s">
        <v>630</v>
      </c>
      <c r="S84" s="20" t="s">
        <v>631</v>
      </c>
      <c r="T84" s="19">
        <v>79.0</v>
      </c>
      <c r="U84" s="20" t="s">
        <v>619</v>
      </c>
      <c r="V84" s="22">
        <v>71.0</v>
      </c>
      <c r="W84" s="22">
        <v>35.0</v>
      </c>
      <c r="X84" s="22">
        <v>18.0</v>
      </c>
      <c r="Y84" s="22">
        <v>71.0</v>
      </c>
      <c r="Z84" s="22">
        <v>0.493</v>
      </c>
    </row>
    <row r="85">
      <c r="A85" s="19">
        <v>838.0</v>
      </c>
      <c r="B85" s="20" t="s">
        <v>632</v>
      </c>
      <c r="C85" s="20" t="s">
        <v>165</v>
      </c>
      <c r="D85" s="20" t="s">
        <v>165</v>
      </c>
      <c r="E85" s="20" t="s">
        <v>264</v>
      </c>
      <c r="F85" s="20" t="s">
        <v>203</v>
      </c>
      <c r="G85" s="19">
        <v>0.0</v>
      </c>
      <c r="H85" s="21"/>
      <c r="I85" s="21"/>
      <c r="J85" s="21"/>
      <c r="K85" s="21"/>
      <c r="L85" s="20" t="s">
        <v>633</v>
      </c>
      <c r="M85" s="20" t="s">
        <v>340</v>
      </c>
      <c r="N85" s="20" t="s">
        <v>341</v>
      </c>
      <c r="O85" s="19">
        <v>0.360899</v>
      </c>
      <c r="P85" s="19">
        <v>52.322485</v>
      </c>
      <c r="Q85" s="20" t="s">
        <v>180</v>
      </c>
      <c r="R85" s="20" t="s">
        <v>634</v>
      </c>
      <c r="S85" s="20" t="s">
        <v>635</v>
      </c>
      <c r="T85" s="19">
        <v>41.0</v>
      </c>
      <c r="U85" s="20" t="s">
        <v>273</v>
      </c>
      <c r="V85" s="22">
        <v>139.0</v>
      </c>
      <c r="W85" s="23"/>
      <c r="X85" s="23"/>
      <c r="Y85" s="23"/>
      <c r="Z85" s="23"/>
    </row>
    <row r="86">
      <c r="A86" s="19">
        <v>839.0</v>
      </c>
      <c r="B86" s="20" t="s">
        <v>636</v>
      </c>
      <c r="C86" s="20" t="s">
        <v>176</v>
      </c>
      <c r="D86" s="20" t="s">
        <v>176</v>
      </c>
      <c r="E86" s="20" t="s">
        <v>637</v>
      </c>
      <c r="F86" s="20" t="s">
        <v>178</v>
      </c>
      <c r="G86" s="19">
        <v>0.0</v>
      </c>
      <c r="H86" s="21"/>
      <c r="I86" s="21"/>
      <c r="J86" s="21"/>
      <c r="K86" s="21"/>
      <c r="L86" s="20" t="s">
        <v>638</v>
      </c>
      <c r="M86" s="20" t="s">
        <v>340</v>
      </c>
      <c r="N86" s="20" t="s">
        <v>341</v>
      </c>
      <c r="O86" s="19">
        <v>0.23109101</v>
      </c>
      <c r="P86" s="19">
        <v>52.221601</v>
      </c>
      <c r="Q86" s="20" t="s">
        <v>180</v>
      </c>
      <c r="R86" s="20" t="s">
        <v>639</v>
      </c>
      <c r="S86" s="20" t="s">
        <v>640</v>
      </c>
      <c r="T86" s="19">
        <v>58.0</v>
      </c>
      <c r="U86" s="20" t="s">
        <v>641</v>
      </c>
      <c r="V86" s="22">
        <v>175.0</v>
      </c>
      <c r="W86" s="22">
        <v>79.0</v>
      </c>
      <c r="X86" s="22">
        <v>25.0</v>
      </c>
      <c r="Y86" s="22">
        <v>612.0</v>
      </c>
      <c r="Z86" s="22">
        <v>0.451</v>
      </c>
    </row>
    <row r="87">
      <c r="A87" s="19">
        <v>840.0</v>
      </c>
      <c r="B87" s="20" t="s">
        <v>642</v>
      </c>
      <c r="C87" s="20" t="s">
        <v>439</v>
      </c>
      <c r="D87" s="20" t="s">
        <v>439</v>
      </c>
      <c r="E87" s="20" t="s">
        <v>559</v>
      </c>
      <c r="F87" s="20" t="s">
        <v>441</v>
      </c>
      <c r="G87" s="19">
        <v>1.0</v>
      </c>
      <c r="H87" s="21"/>
      <c r="I87" s="21"/>
      <c r="J87" s="21"/>
      <c r="K87" s="19">
        <v>1.0</v>
      </c>
      <c r="L87" s="20" t="s">
        <v>346</v>
      </c>
      <c r="M87" s="20" t="s">
        <v>340</v>
      </c>
      <c r="N87" s="20" t="s">
        <v>341</v>
      </c>
      <c r="O87" s="19">
        <v>0.291696</v>
      </c>
      <c r="P87" s="19">
        <v>52.297142</v>
      </c>
      <c r="Q87" s="20" t="s">
        <v>443</v>
      </c>
      <c r="R87" s="20" t="s">
        <v>643</v>
      </c>
      <c r="S87" s="20" t="s">
        <v>644</v>
      </c>
      <c r="T87" s="19">
        <v>96.0</v>
      </c>
      <c r="U87" s="20" t="s">
        <v>645</v>
      </c>
      <c r="V87" s="22">
        <v>104.5</v>
      </c>
      <c r="W87" s="22">
        <v>52.0</v>
      </c>
      <c r="X87" s="22">
        <v>22.0</v>
      </c>
      <c r="Y87" s="22">
        <v>182.0</v>
      </c>
      <c r="Z87" s="22">
        <v>0.498</v>
      </c>
    </row>
    <row r="88">
      <c r="A88" s="19">
        <v>841.0</v>
      </c>
      <c r="B88" s="20" t="s">
        <v>646</v>
      </c>
      <c r="C88" s="20" t="s">
        <v>165</v>
      </c>
      <c r="D88" s="20" t="s">
        <v>165</v>
      </c>
      <c r="E88" s="20" t="s">
        <v>185</v>
      </c>
      <c r="F88" s="20" t="s">
        <v>167</v>
      </c>
      <c r="G88" s="19">
        <v>0.0</v>
      </c>
      <c r="H88" s="21"/>
      <c r="I88" s="21"/>
      <c r="J88" s="21"/>
      <c r="K88" s="21"/>
      <c r="L88" s="20" t="s">
        <v>647</v>
      </c>
      <c r="M88" s="20" t="s">
        <v>340</v>
      </c>
      <c r="N88" s="20" t="s">
        <v>341</v>
      </c>
      <c r="O88" s="19">
        <v>0.243845</v>
      </c>
      <c r="P88" s="19">
        <v>52.244725</v>
      </c>
      <c r="Q88" s="20" t="s">
        <v>171</v>
      </c>
      <c r="R88" s="20" t="s">
        <v>648</v>
      </c>
      <c r="S88" s="20" t="s">
        <v>649</v>
      </c>
      <c r="T88" s="19">
        <v>7.0</v>
      </c>
      <c r="U88" s="20" t="s">
        <v>650</v>
      </c>
      <c r="V88" s="22">
        <v>112.5</v>
      </c>
      <c r="W88" s="23"/>
      <c r="X88" s="23"/>
      <c r="Y88" s="22">
        <v>219.0</v>
      </c>
      <c r="Z88" s="23"/>
    </row>
    <row r="89">
      <c r="A89" s="19">
        <v>842.0</v>
      </c>
      <c r="B89" s="20" t="s">
        <v>651</v>
      </c>
      <c r="C89" s="20" t="s">
        <v>176</v>
      </c>
      <c r="D89" s="20" t="s">
        <v>176</v>
      </c>
      <c r="E89" s="20" t="s">
        <v>521</v>
      </c>
      <c r="F89" s="20" t="s">
        <v>203</v>
      </c>
      <c r="G89" s="19">
        <v>0.0</v>
      </c>
      <c r="H89" s="21"/>
      <c r="I89" s="21"/>
      <c r="J89" s="21"/>
      <c r="K89" s="21"/>
      <c r="L89" s="20" t="s">
        <v>652</v>
      </c>
      <c r="M89" s="20" t="s">
        <v>95</v>
      </c>
      <c r="N89" s="20" t="s">
        <v>341</v>
      </c>
      <c r="O89" s="19">
        <v>0.519232</v>
      </c>
      <c r="P89" s="19">
        <v>52.526035</v>
      </c>
      <c r="Q89" s="20" t="s">
        <v>180</v>
      </c>
      <c r="R89" s="20" t="s">
        <v>653</v>
      </c>
      <c r="S89" s="20" t="s">
        <v>654</v>
      </c>
      <c r="T89" s="19">
        <v>47.0</v>
      </c>
      <c r="U89" s="20" t="s">
        <v>525</v>
      </c>
      <c r="V89" s="22">
        <v>176.5</v>
      </c>
      <c r="W89" s="23"/>
      <c r="X89" s="23"/>
      <c r="Y89" s="23"/>
      <c r="Z89" s="23"/>
    </row>
    <row r="90">
      <c r="A90" s="19">
        <v>844.0</v>
      </c>
      <c r="B90" s="20" t="s">
        <v>655</v>
      </c>
      <c r="C90" s="20" t="s">
        <v>176</v>
      </c>
      <c r="D90" s="20" t="s">
        <v>176</v>
      </c>
      <c r="E90" s="20" t="s">
        <v>177</v>
      </c>
      <c r="F90" s="20" t="s">
        <v>178</v>
      </c>
      <c r="G90" s="19">
        <v>0.0</v>
      </c>
      <c r="H90" s="21"/>
      <c r="I90" s="21"/>
      <c r="J90" s="21"/>
      <c r="K90" s="21"/>
      <c r="L90" s="20" t="s">
        <v>656</v>
      </c>
      <c r="M90" s="20" t="s">
        <v>323</v>
      </c>
      <c r="N90" s="20" t="s">
        <v>253</v>
      </c>
      <c r="O90" s="19">
        <v>-0.273719</v>
      </c>
      <c r="P90" s="19">
        <v>51.470251</v>
      </c>
      <c r="Q90" s="20" t="s">
        <v>180</v>
      </c>
      <c r="R90" s="20" t="s">
        <v>657</v>
      </c>
      <c r="S90" s="20" t="s">
        <v>658</v>
      </c>
      <c r="T90" s="21"/>
      <c r="U90" s="20" t="s">
        <v>659</v>
      </c>
      <c r="V90" s="22">
        <v>158.0</v>
      </c>
      <c r="W90" s="22">
        <v>83.0</v>
      </c>
      <c r="X90" s="22">
        <v>30.0</v>
      </c>
      <c r="Y90" s="23"/>
      <c r="Z90" s="22">
        <v>0.525</v>
      </c>
    </row>
    <row r="91">
      <c r="A91" s="19">
        <v>845.0</v>
      </c>
      <c r="B91" s="20" t="s">
        <v>660</v>
      </c>
      <c r="C91" s="20" t="s">
        <v>176</v>
      </c>
      <c r="D91" s="20" t="s">
        <v>176</v>
      </c>
      <c r="E91" s="20" t="s">
        <v>177</v>
      </c>
      <c r="F91" s="20" t="s">
        <v>178</v>
      </c>
      <c r="G91" s="19">
        <v>0.0</v>
      </c>
      <c r="H91" s="21"/>
      <c r="I91" s="21"/>
      <c r="J91" s="21"/>
      <c r="K91" s="21"/>
      <c r="L91" s="20" t="s">
        <v>661</v>
      </c>
      <c r="M91" s="20" t="s">
        <v>323</v>
      </c>
      <c r="N91" s="20" t="s">
        <v>253</v>
      </c>
      <c r="O91" s="19">
        <v>-0.287503</v>
      </c>
      <c r="P91" s="19">
        <v>51.486639</v>
      </c>
      <c r="Q91" s="20" t="s">
        <v>180</v>
      </c>
      <c r="R91" s="20" t="s">
        <v>662</v>
      </c>
      <c r="S91" s="20" t="s">
        <v>663</v>
      </c>
      <c r="T91" s="21"/>
      <c r="U91" s="20" t="s">
        <v>664</v>
      </c>
      <c r="V91" s="22">
        <v>125.0</v>
      </c>
      <c r="W91" s="23"/>
      <c r="X91" s="23"/>
      <c r="Y91" s="23"/>
      <c r="Z91" s="23"/>
    </row>
    <row r="92">
      <c r="A92" s="19">
        <v>846.0</v>
      </c>
      <c r="B92" s="20" t="s">
        <v>665</v>
      </c>
      <c r="C92" s="20" t="s">
        <v>439</v>
      </c>
      <c r="D92" s="20" t="s">
        <v>439</v>
      </c>
      <c r="E92" s="20" t="s">
        <v>559</v>
      </c>
      <c r="F92" s="20" t="s">
        <v>441</v>
      </c>
      <c r="G92" s="21"/>
      <c r="H92" s="19">
        <v>1.0</v>
      </c>
      <c r="I92" s="21"/>
      <c r="J92" s="19">
        <v>1.0</v>
      </c>
      <c r="K92" s="21"/>
      <c r="L92" s="20" t="s">
        <v>666</v>
      </c>
      <c r="M92" s="20" t="s">
        <v>323</v>
      </c>
      <c r="N92" s="20" t="s">
        <v>253</v>
      </c>
      <c r="O92" s="19">
        <v>-0.22364</v>
      </c>
      <c r="P92" s="19">
        <v>51.49204</v>
      </c>
      <c r="Q92" s="20" t="s">
        <v>443</v>
      </c>
      <c r="R92" s="20" t="s">
        <v>667</v>
      </c>
      <c r="S92" s="20" t="s">
        <v>668</v>
      </c>
      <c r="T92" s="21"/>
      <c r="U92" s="20" t="s">
        <v>567</v>
      </c>
      <c r="V92" s="22">
        <v>103.5</v>
      </c>
      <c r="W92" s="22">
        <v>53.0</v>
      </c>
      <c r="X92" s="22">
        <v>21.0</v>
      </c>
      <c r="Y92" s="23"/>
      <c r="Z92" s="22">
        <v>0.512</v>
      </c>
    </row>
    <row r="93">
      <c r="A93" s="19">
        <v>850.0</v>
      </c>
      <c r="B93" s="20" t="s">
        <v>669</v>
      </c>
      <c r="C93" s="20" t="s">
        <v>165</v>
      </c>
      <c r="D93" s="20" t="s">
        <v>165</v>
      </c>
      <c r="E93" s="20" t="s">
        <v>670</v>
      </c>
      <c r="F93" s="20" t="s">
        <v>178</v>
      </c>
      <c r="G93" s="19">
        <v>0.0</v>
      </c>
      <c r="H93" s="21"/>
      <c r="I93" s="21"/>
      <c r="J93" s="21"/>
      <c r="K93" s="21"/>
      <c r="L93" s="20" t="s">
        <v>671</v>
      </c>
      <c r="M93" s="20" t="s">
        <v>672</v>
      </c>
      <c r="N93" s="20" t="s">
        <v>422</v>
      </c>
      <c r="O93" s="19">
        <v>-3.4844054</v>
      </c>
      <c r="P93" s="19">
        <v>51.4536379</v>
      </c>
      <c r="Q93" s="20" t="s">
        <v>180</v>
      </c>
      <c r="R93" s="20" t="s">
        <v>673</v>
      </c>
      <c r="S93" s="20" t="s">
        <v>674</v>
      </c>
      <c r="T93" s="19">
        <v>107.0</v>
      </c>
      <c r="U93" s="20" t="s">
        <v>675</v>
      </c>
      <c r="V93" s="22">
        <v>84.0</v>
      </c>
      <c r="W93" s="22">
        <v>42.0</v>
      </c>
      <c r="X93" s="22">
        <v>15.0</v>
      </c>
      <c r="Y93" s="23"/>
      <c r="Z93" s="22">
        <v>0.5</v>
      </c>
    </row>
    <row r="94">
      <c r="A94" s="19">
        <v>852.0</v>
      </c>
      <c r="B94" s="20" t="s">
        <v>676</v>
      </c>
      <c r="C94" s="20" t="s">
        <v>165</v>
      </c>
      <c r="D94" s="20" t="s">
        <v>165</v>
      </c>
      <c r="E94" s="20" t="s">
        <v>677</v>
      </c>
      <c r="F94" s="20" t="s">
        <v>178</v>
      </c>
      <c r="G94" s="19">
        <v>0.0</v>
      </c>
      <c r="H94" s="21"/>
      <c r="I94" s="21"/>
      <c r="J94" s="21"/>
      <c r="K94" s="21"/>
      <c r="L94" s="20" t="s">
        <v>678</v>
      </c>
      <c r="M94" s="20" t="s">
        <v>679</v>
      </c>
      <c r="N94" s="20" t="s">
        <v>422</v>
      </c>
      <c r="O94" s="19">
        <v>-4.2371177</v>
      </c>
      <c r="P94" s="19">
        <v>53.2820091</v>
      </c>
      <c r="Q94" s="23"/>
      <c r="R94" s="20" t="s">
        <v>680</v>
      </c>
      <c r="S94" s="20" t="s">
        <v>681</v>
      </c>
      <c r="T94" s="19">
        <v>104.0</v>
      </c>
      <c r="U94" s="20" t="s">
        <v>682</v>
      </c>
      <c r="V94" s="22">
        <v>79.0</v>
      </c>
      <c r="W94" s="22">
        <v>29.0</v>
      </c>
      <c r="X94" s="22">
        <v>13.0</v>
      </c>
      <c r="Y94" s="22">
        <v>33.4</v>
      </c>
      <c r="Z94" s="22">
        <v>0.367</v>
      </c>
    </row>
    <row r="95">
      <c r="A95" s="19">
        <v>854.0</v>
      </c>
      <c r="B95" s="20" t="s">
        <v>683</v>
      </c>
      <c r="C95" s="20" t="s">
        <v>165</v>
      </c>
      <c r="D95" s="20" t="s">
        <v>165</v>
      </c>
      <c r="E95" s="20" t="s">
        <v>670</v>
      </c>
      <c r="F95" s="20" t="s">
        <v>178</v>
      </c>
      <c r="G95" s="19">
        <v>0.0</v>
      </c>
      <c r="H95" s="21"/>
      <c r="I95" s="21"/>
      <c r="J95" s="21"/>
      <c r="K95" s="21"/>
      <c r="L95" s="20" t="s">
        <v>684</v>
      </c>
      <c r="M95" s="20" t="s">
        <v>672</v>
      </c>
      <c r="N95" s="20" t="s">
        <v>422</v>
      </c>
      <c r="O95" s="19">
        <v>-3.1801117</v>
      </c>
      <c r="P95" s="19">
        <v>51.4828584</v>
      </c>
      <c r="Q95" s="20" t="s">
        <v>180</v>
      </c>
      <c r="R95" s="20" t="s">
        <v>685</v>
      </c>
      <c r="S95" s="20" t="s">
        <v>686</v>
      </c>
      <c r="T95" s="19">
        <v>60.0</v>
      </c>
      <c r="U95" s="20" t="s">
        <v>687</v>
      </c>
      <c r="V95" s="22">
        <v>109.0</v>
      </c>
      <c r="W95" s="22">
        <v>46.0</v>
      </c>
      <c r="X95" s="22">
        <v>23.0</v>
      </c>
      <c r="Y95" s="22">
        <v>159.0</v>
      </c>
      <c r="Z95" s="22">
        <v>0.422</v>
      </c>
    </row>
    <row r="96">
      <c r="A96" s="19">
        <v>857.0</v>
      </c>
      <c r="B96" s="20" t="s">
        <v>688</v>
      </c>
      <c r="C96" s="20" t="s">
        <v>176</v>
      </c>
      <c r="D96" s="20" t="s">
        <v>176</v>
      </c>
      <c r="E96" s="20" t="s">
        <v>414</v>
      </c>
      <c r="F96" s="20" t="s">
        <v>178</v>
      </c>
      <c r="G96" s="19">
        <v>0.0</v>
      </c>
      <c r="H96" s="21"/>
      <c r="I96" s="21"/>
      <c r="J96" s="21"/>
      <c r="K96" s="21"/>
      <c r="L96" s="20" t="s">
        <v>689</v>
      </c>
      <c r="M96" s="20" t="s">
        <v>95</v>
      </c>
      <c r="N96" s="20" t="s">
        <v>341</v>
      </c>
      <c r="O96" s="19">
        <v>1.27791072</v>
      </c>
      <c r="P96" s="19">
        <v>52.6506648</v>
      </c>
      <c r="Q96" s="20" t="s">
        <v>180</v>
      </c>
      <c r="R96" s="20" t="s">
        <v>690</v>
      </c>
      <c r="S96" s="20" t="s">
        <v>691</v>
      </c>
      <c r="T96" s="19">
        <v>52.0</v>
      </c>
      <c r="U96" s="20" t="s">
        <v>418</v>
      </c>
      <c r="V96" s="22">
        <v>166.0</v>
      </c>
      <c r="W96" s="22">
        <v>97.0</v>
      </c>
      <c r="X96" s="23"/>
      <c r="Y96" s="22">
        <v>509.5</v>
      </c>
      <c r="Z96" s="22">
        <v>0.584</v>
      </c>
    </row>
    <row r="97">
      <c r="A97" s="27">
        <v>858.0</v>
      </c>
      <c r="B97" s="28"/>
      <c r="C97" s="28"/>
      <c r="D97" s="25" t="s">
        <v>692</v>
      </c>
      <c r="E97" s="25" t="s">
        <v>693</v>
      </c>
      <c r="F97" s="25" t="s">
        <v>441</v>
      </c>
      <c r="G97" s="22">
        <v>1.0</v>
      </c>
      <c r="H97" s="23"/>
      <c r="I97" s="23"/>
      <c r="J97" s="23"/>
      <c r="K97" s="23"/>
      <c r="L97" s="23"/>
      <c r="M97" s="29" t="s">
        <v>694</v>
      </c>
      <c r="N97" s="28"/>
      <c r="O97" s="23"/>
      <c r="P97" s="23"/>
      <c r="Q97" s="23"/>
      <c r="R97" s="25" t="s">
        <v>695</v>
      </c>
      <c r="S97" s="25" t="s">
        <v>696</v>
      </c>
      <c r="T97" s="28"/>
      <c r="U97" s="28"/>
      <c r="V97" s="27">
        <v>112.5</v>
      </c>
      <c r="W97" s="27">
        <v>59.0</v>
      </c>
      <c r="X97" s="27">
        <v>24.0</v>
      </c>
      <c r="Y97" s="27">
        <v>277.0</v>
      </c>
      <c r="Z97" s="28"/>
    </row>
    <row r="98">
      <c r="A98" s="19">
        <v>859.0</v>
      </c>
      <c r="B98" s="20" t="s">
        <v>697</v>
      </c>
      <c r="C98" s="20" t="s">
        <v>439</v>
      </c>
      <c r="D98" s="20" t="s">
        <v>698</v>
      </c>
      <c r="E98" s="20" t="s">
        <v>699</v>
      </c>
      <c r="F98" s="20" t="s">
        <v>441</v>
      </c>
      <c r="G98" s="21"/>
      <c r="H98" s="19">
        <v>1.0</v>
      </c>
      <c r="I98" s="21"/>
      <c r="J98" s="21"/>
      <c r="K98" s="21"/>
      <c r="L98" s="20" t="s">
        <v>700</v>
      </c>
      <c r="M98" s="20" t="s">
        <v>95</v>
      </c>
      <c r="N98" s="20" t="s">
        <v>341</v>
      </c>
      <c r="O98" s="19">
        <v>1.40911245</v>
      </c>
      <c r="P98" s="19">
        <v>52.6881062</v>
      </c>
      <c r="Q98" s="20" t="s">
        <v>443</v>
      </c>
      <c r="R98" s="20" t="s">
        <v>701</v>
      </c>
      <c r="S98" s="20" t="s">
        <v>702</v>
      </c>
      <c r="T98" s="21"/>
      <c r="U98" s="20" t="s">
        <v>703</v>
      </c>
      <c r="V98" s="22">
        <v>78.0</v>
      </c>
      <c r="W98" s="22">
        <v>29.0</v>
      </c>
      <c r="X98" s="22">
        <v>14.0</v>
      </c>
      <c r="Y98" s="22">
        <v>85.0</v>
      </c>
      <c r="Z98" s="22">
        <v>0.372</v>
      </c>
    </row>
    <row r="99">
      <c r="A99" s="19">
        <v>860.0</v>
      </c>
      <c r="B99" s="20" t="s">
        <v>704</v>
      </c>
      <c r="C99" s="20" t="s">
        <v>176</v>
      </c>
      <c r="D99" s="20" t="s">
        <v>176</v>
      </c>
      <c r="E99" s="20" t="s">
        <v>177</v>
      </c>
      <c r="F99" s="20" t="s">
        <v>178</v>
      </c>
      <c r="G99" s="19">
        <v>0.0</v>
      </c>
      <c r="H99" s="21"/>
      <c r="I99" s="21"/>
      <c r="J99" s="21"/>
      <c r="K99" s="21"/>
      <c r="L99" s="20" t="s">
        <v>705</v>
      </c>
      <c r="M99" s="20" t="s">
        <v>588</v>
      </c>
      <c r="N99" s="20" t="s">
        <v>253</v>
      </c>
      <c r="O99" s="19">
        <v>-0.8136148</v>
      </c>
      <c r="P99" s="19">
        <v>53.1177626</v>
      </c>
      <c r="Q99" s="20" t="s">
        <v>180</v>
      </c>
      <c r="R99" s="20" t="s">
        <v>706</v>
      </c>
      <c r="S99" s="20" t="s">
        <v>707</v>
      </c>
      <c r="T99" s="21"/>
      <c r="U99" s="20" t="s">
        <v>708</v>
      </c>
      <c r="V99" s="22">
        <v>142.0</v>
      </c>
      <c r="W99" s="22">
        <v>78.0</v>
      </c>
      <c r="X99" s="22">
        <v>23.0</v>
      </c>
      <c r="Y99" s="22">
        <v>306.0</v>
      </c>
      <c r="Z99" s="22">
        <v>0.549</v>
      </c>
    </row>
    <row r="100">
      <c r="A100" s="19">
        <v>861.0</v>
      </c>
      <c r="B100" s="20" t="s">
        <v>709</v>
      </c>
      <c r="C100" s="20" t="s">
        <v>439</v>
      </c>
      <c r="D100" s="20" t="s">
        <v>439</v>
      </c>
      <c r="E100" s="20" t="s">
        <v>510</v>
      </c>
      <c r="F100" s="20" t="s">
        <v>441</v>
      </c>
      <c r="G100" s="21"/>
      <c r="H100" s="21"/>
      <c r="I100" s="19">
        <v>1.0</v>
      </c>
      <c r="J100" s="21"/>
      <c r="K100" s="21"/>
      <c r="L100" s="20" t="s">
        <v>710</v>
      </c>
      <c r="M100" s="20" t="s">
        <v>588</v>
      </c>
      <c r="N100" s="20" t="s">
        <v>253</v>
      </c>
      <c r="O100" s="19">
        <v>-1.1909735</v>
      </c>
      <c r="P100" s="19">
        <v>52.9141683</v>
      </c>
      <c r="Q100" s="20" t="s">
        <v>443</v>
      </c>
      <c r="R100" s="20" t="s">
        <v>711</v>
      </c>
      <c r="S100" s="20" t="s">
        <v>712</v>
      </c>
      <c r="T100" s="19">
        <v>93.0</v>
      </c>
      <c r="U100" s="20" t="s">
        <v>519</v>
      </c>
      <c r="V100" s="22">
        <v>112.0</v>
      </c>
      <c r="W100" s="22">
        <v>72.0</v>
      </c>
      <c r="X100" s="22">
        <v>22.0</v>
      </c>
      <c r="Y100" s="22">
        <v>255.0</v>
      </c>
      <c r="Z100" s="22">
        <v>0.643</v>
      </c>
    </row>
    <row r="101">
      <c r="A101" s="19">
        <v>862.0</v>
      </c>
      <c r="B101" s="20" t="s">
        <v>713</v>
      </c>
      <c r="C101" s="20" t="s">
        <v>176</v>
      </c>
      <c r="D101" s="20" t="s">
        <v>176</v>
      </c>
      <c r="E101" s="20" t="s">
        <v>177</v>
      </c>
      <c r="F101" s="20" t="s">
        <v>178</v>
      </c>
      <c r="G101" s="19">
        <v>0.0</v>
      </c>
      <c r="H101" s="21"/>
      <c r="I101" s="21"/>
      <c r="J101" s="21"/>
      <c r="K101" s="21"/>
      <c r="L101" s="20" t="s">
        <v>714</v>
      </c>
      <c r="M101" s="20" t="s">
        <v>715</v>
      </c>
      <c r="N101" s="20" t="s">
        <v>253</v>
      </c>
      <c r="O101" s="19">
        <v>-3.2264952</v>
      </c>
      <c r="P101" s="19">
        <v>52.4534361</v>
      </c>
      <c r="Q101" s="20" t="s">
        <v>180</v>
      </c>
      <c r="R101" s="20" t="s">
        <v>716</v>
      </c>
      <c r="S101" s="20" t="s">
        <v>717</v>
      </c>
      <c r="T101" s="19">
        <v>71.0</v>
      </c>
      <c r="U101" s="20" t="s">
        <v>718</v>
      </c>
      <c r="V101" s="22">
        <v>115.0</v>
      </c>
      <c r="W101" s="22">
        <v>61.0</v>
      </c>
      <c r="X101" s="22">
        <v>18.0</v>
      </c>
      <c r="Y101" s="22">
        <v>192.0</v>
      </c>
      <c r="Z101" s="22">
        <v>0.53</v>
      </c>
    </row>
    <row r="102">
      <c r="A102" s="19">
        <v>864.0</v>
      </c>
      <c r="B102" s="20" t="s">
        <v>719</v>
      </c>
      <c r="C102" s="20" t="s">
        <v>165</v>
      </c>
      <c r="D102" s="20" t="s">
        <v>165</v>
      </c>
      <c r="E102" s="20" t="s">
        <v>385</v>
      </c>
      <c r="F102" s="20" t="s">
        <v>178</v>
      </c>
      <c r="G102" s="19">
        <v>0.0</v>
      </c>
      <c r="H102" s="21"/>
      <c r="I102" s="21"/>
      <c r="J102" s="21"/>
      <c r="K102" s="21"/>
      <c r="L102" s="20" t="s">
        <v>720</v>
      </c>
      <c r="M102" s="20" t="s">
        <v>715</v>
      </c>
      <c r="N102" s="20" t="s">
        <v>253</v>
      </c>
      <c r="O102" s="19">
        <v>-2.922616</v>
      </c>
      <c r="P102" s="19">
        <v>52.4184382</v>
      </c>
      <c r="Q102" s="20" t="s">
        <v>180</v>
      </c>
      <c r="R102" s="20" t="s">
        <v>721</v>
      </c>
      <c r="S102" s="20" t="s">
        <v>722</v>
      </c>
      <c r="T102" s="21"/>
      <c r="U102" s="20" t="s">
        <v>723</v>
      </c>
      <c r="V102" s="22">
        <v>169.0</v>
      </c>
      <c r="W102" s="22">
        <v>78.0</v>
      </c>
      <c r="X102" s="22">
        <v>25.0</v>
      </c>
      <c r="Y102" s="22">
        <v>490.0</v>
      </c>
      <c r="Z102" s="22">
        <v>0.462</v>
      </c>
    </row>
    <row r="103">
      <c r="A103" s="19">
        <v>876.0</v>
      </c>
      <c r="B103" s="20" t="s">
        <v>724</v>
      </c>
      <c r="C103" s="20" t="s">
        <v>165</v>
      </c>
      <c r="D103" s="20" t="s">
        <v>165</v>
      </c>
      <c r="E103" s="20" t="s">
        <v>725</v>
      </c>
      <c r="F103" s="20" t="s">
        <v>203</v>
      </c>
      <c r="G103" s="19">
        <v>0.0</v>
      </c>
      <c r="H103" s="21"/>
      <c r="I103" s="21"/>
      <c r="J103" s="21"/>
      <c r="K103" s="21"/>
      <c r="L103" s="20" t="s">
        <v>726</v>
      </c>
      <c r="M103" s="20" t="s">
        <v>679</v>
      </c>
      <c r="N103" s="20" t="s">
        <v>422</v>
      </c>
      <c r="O103" s="19">
        <v>-4.2664252</v>
      </c>
      <c r="P103" s="19">
        <v>53.2688684</v>
      </c>
      <c r="Q103" s="20" t="s">
        <v>205</v>
      </c>
      <c r="R103" s="20" t="s">
        <v>727</v>
      </c>
      <c r="S103" s="20" t="s">
        <v>728</v>
      </c>
      <c r="T103" s="19">
        <v>26.0</v>
      </c>
      <c r="U103" s="20" t="s">
        <v>729</v>
      </c>
      <c r="V103" s="22">
        <v>152.0</v>
      </c>
      <c r="W103" s="22">
        <v>98.0</v>
      </c>
      <c r="X103" s="22">
        <v>28.0</v>
      </c>
      <c r="Y103" s="22">
        <v>494.8</v>
      </c>
      <c r="Z103" s="22">
        <v>0.645</v>
      </c>
    </row>
    <row r="104">
      <c r="A104" s="19">
        <v>878.0</v>
      </c>
      <c r="B104" s="20" t="s">
        <v>730</v>
      </c>
      <c r="C104" s="20" t="s">
        <v>165</v>
      </c>
      <c r="D104" s="20" t="s">
        <v>609</v>
      </c>
      <c r="E104" s="20" t="s">
        <v>178</v>
      </c>
      <c r="F104" s="20" t="s">
        <v>178</v>
      </c>
      <c r="G104" s="19">
        <v>0.0</v>
      </c>
      <c r="H104" s="21"/>
      <c r="I104" s="21"/>
      <c r="J104" s="21"/>
      <c r="K104" s="21"/>
      <c r="L104" s="20" t="s">
        <v>731</v>
      </c>
      <c r="M104" s="20" t="s">
        <v>732</v>
      </c>
      <c r="N104" s="20" t="s">
        <v>253</v>
      </c>
      <c r="O104" s="19">
        <v>-2.240443</v>
      </c>
      <c r="P104" s="19">
        <v>53.159114</v>
      </c>
      <c r="Q104" s="23"/>
      <c r="R104" s="20" t="s">
        <v>266</v>
      </c>
      <c r="S104" s="20" t="s">
        <v>733</v>
      </c>
      <c r="T104" s="19">
        <v>106.0</v>
      </c>
      <c r="U104" s="20" t="s">
        <v>734</v>
      </c>
      <c r="V104" s="22">
        <v>84.0</v>
      </c>
      <c r="W104" s="23"/>
      <c r="X104" s="23"/>
      <c r="Y104" s="22">
        <v>75.0</v>
      </c>
      <c r="Z104" s="23"/>
    </row>
    <row r="105">
      <c r="A105" s="19">
        <v>887.0</v>
      </c>
      <c r="B105" s="20" t="s">
        <v>735</v>
      </c>
      <c r="C105" s="20" t="s">
        <v>439</v>
      </c>
      <c r="D105" s="20" t="s">
        <v>698</v>
      </c>
      <c r="E105" s="20" t="s">
        <v>736</v>
      </c>
      <c r="F105" s="20" t="s">
        <v>441</v>
      </c>
      <c r="G105" s="21"/>
      <c r="H105" s="19">
        <v>1.0</v>
      </c>
      <c r="I105" s="19">
        <v>1.0</v>
      </c>
      <c r="J105" s="21"/>
      <c r="K105" s="19">
        <v>1.0</v>
      </c>
      <c r="L105" s="20" t="s">
        <v>737</v>
      </c>
      <c r="M105" s="20" t="s">
        <v>95</v>
      </c>
      <c r="N105" s="20" t="s">
        <v>341</v>
      </c>
      <c r="O105" s="19">
        <v>0.983052</v>
      </c>
      <c r="P105" s="19">
        <v>52.710304</v>
      </c>
      <c r="Q105" s="20" t="s">
        <v>443</v>
      </c>
      <c r="R105" s="20" t="s">
        <v>266</v>
      </c>
      <c r="S105" s="20" t="s">
        <v>738</v>
      </c>
      <c r="T105" s="19">
        <v>80.0</v>
      </c>
      <c r="U105" s="20" t="s">
        <v>703</v>
      </c>
      <c r="V105" s="22">
        <v>82.7</v>
      </c>
      <c r="W105" s="23"/>
      <c r="X105" s="23"/>
      <c r="Y105" s="22">
        <v>84.7</v>
      </c>
      <c r="Z105" s="23"/>
    </row>
    <row r="106">
      <c r="A106" s="19">
        <v>897.0</v>
      </c>
      <c r="B106" s="20" t="s">
        <v>739</v>
      </c>
      <c r="C106" s="20" t="s">
        <v>439</v>
      </c>
      <c r="D106" s="20" t="s">
        <v>439</v>
      </c>
      <c r="E106" s="20" t="s">
        <v>740</v>
      </c>
      <c r="F106" s="20" t="s">
        <v>441</v>
      </c>
      <c r="G106" s="21"/>
      <c r="H106" s="19">
        <v>1.0</v>
      </c>
      <c r="I106" s="21"/>
      <c r="J106" s="19">
        <v>1.0</v>
      </c>
      <c r="K106" s="21"/>
      <c r="L106" s="20" t="s">
        <v>741</v>
      </c>
      <c r="M106" s="20" t="s">
        <v>595</v>
      </c>
      <c r="N106" s="20" t="s">
        <v>170</v>
      </c>
      <c r="O106" s="19">
        <v>-1.8204202</v>
      </c>
      <c r="P106" s="19">
        <v>51.1766483</v>
      </c>
      <c r="Q106" s="20" t="s">
        <v>443</v>
      </c>
      <c r="R106" s="20" t="s">
        <v>742</v>
      </c>
      <c r="S106" s="20" t="s">
        <v>743</v>
      </c>
      <c r="T106" s="19">
        <v>84.0</v>
      </c>
      <c r="U106" s="20" t="s">
        <v>547</v>
      </c>
      <c r="V106" s="22">
        <v>110.0</v>
      </c>
      <c r="W106" s="22">
        <v>62.0</v>
      </c>
      <c r="X106" s="23"/>
      <c r="Y106" s="22">
        <v>199.7</v>
      </c>
      <c r="Z106" s="22">
        <v>0.564</v>
      </c>
    </row>
    <row r="107">
      <c r="A107" s="19">
        <v>900.0</v>
      </c>
      <c r="B107" s="20" t="s">
        <v>744</v>
      </c>
      <c r="C107" s="20" t="s">
        <v>165</v>
      </c>
      <c r="D107" s="20" t="s">
        <v>165</v>
      </c>
      <c r="E107" s="20" t="s">
        <v>238</v>
      </c>
      <c r="F107" s="20" t="s">
        <v>203</v>
      </c>
      <c r="G107" s="19">
        <v>0.0</v>
      </c>
      <c r="H107" s="21"/>
      <c r="I107" s="21"/>
      <c r="J107" s="21"/>
      <c r="K107" s="21"/>
      <c r="L107" s="20" t="s">
        <v>745</v>
      </c>
      <c r="M107" s="20" t="s">
        <v>746</v>
      </c>
      <c r="N107" s="20" t="s">
        <v>304</v>
      </c>
      <c r="O107" s="19">
        <v>-0.6532362</v>
      </c>
      <c r="P107" s="19">
        <v>53.5603557</v>
      </c>
      <c r="Q107" s="20" t="s">
        <v>205</v>
      </c>
      <c r="R107" s="20" t="s">
        <v>747</v>
      </c>
      <c r="S107" s="20" t="s">
        <v>748</v>
      </c>
      <c r="T107" s="19">
        <v>22.0</v>
      </c>
      <c r="U107" s="20" t="s">
        <v>749</v>
      </c>
      <c r="V107" s="22">
        <v>125.5</v>
      </c>
      <c r="W107" s="22">
        <v>67.5</v>
      </c>
      <c r="X107" s="22">
        <v>32.5</v>
      </c>
      <c r="Y107" s="23"/>
      <c r="Z107" s="22">
        <v>0.538</v>
      </c>
    </row>
    <row r="108">
      <c r="A108" s="19">
        <v>901.0</v>
      </c>
      <c r="B108" s="20" t="s">
        <v>750</v>
      </c>
      <c r="C108" s="20" t="s">
        <v>176</v>
      </c>
      <c r="D108" s="20" t="s">
        <v>176</v>
      </c>
      <c r="E108" s="20" t="s">
        <v>210</v>
      </c>
      <c r="F108" s="20" t="s">
        <v>178</v>
      </c>
      <c r="G108" s="19">
        <v>0.0</v>
      </c>
      <c r="H108" s="21"/>
      <c r="I108" s="21"/>
      <c r="J108" s="21"/>
      <c r="K108" s="21"/>
      <c r="L108" s="20" t="s">
        <v>751</v>
      </c>
      <c r="M108" s="20" t="s">
        <v>746</v>
      </c>
      <c r="N108" s="20" t="s">
        <v>304</v>
      </c>
      <c r="O108" s="19">
        <v>-0.6714778</v>
      </c>
      <c r="P108" s="19">
        <v>53.5515707</v>
      </c>
      <c r="Q108" s="20" t="s">
        <v>180</v>
      </c>
      <c r="R108" s="20" t="s">
        <v>752</v>
      </c>
      <c r="S108" s="20" t="s">
        <v>753</v>
      </c>
      <c r="T108" s="19">
        <v>62.0</v>
      </c>
      <c r="U108" s="20" t="s">
        <v>754</v>
      </c>
      <c r="V108" s="22">
        <v>99.0</v>
      </c>
      <c r="W108" s="23"/>
      <c r="X108" s="23"/>
      <c r="Y108" s="23"/>
      <c r="Z108" s="23"/>
    </row>
    <row r="109">
      <c r="A109" s="19">
        <v>902.0</v>
      </c>
      <c r="B109" s="20" t="s">
        <v>755</v>
      </c>
      <c r="C109" s="20" t="s">
        <v>165</v>
      </c>
      <c r="D109" s="20" t="s">
        <v>165</v>
      </c>
      <c r="E109" s="20" t="s">
        <v>414</v>
      </c>
      <c r="F109" s="20" t="s">
        <v>178</v>
      </c>
      <c r="G109" s="19">
        <v>0.0</v>
      </c>
      <c r="H109" s="21"/>
      <c r="I109" s="21"/>
      <c r="J109" s="21"/>
      <c r="K109" s="21"/>
      <c r="L109" s="20" t="s">
        <v>756</v>
      </c>
      <c r="M109" s="20" t="s">
        <v>252</v>
      </c>
      <c r="N109" s="20" t="s">
        <v>253</v>
      </c>
      <c r="O109" s="19">
        <v>-1.755</v>
      </c>
      <c r="P109" s="19">
        <v>53.1281</v>
      </c>
      <c r="Q109" s="20" t="s">
        <v>180</v>
      </c>
      <c r="R109" s="20" t="s">
        <v>757</v>
      </c>
      <c r="S109" s="20" t="s">
        <v>758</v>
      </c>
      <c r="T109" s="19">
        <v>50.0</v>
      </c>
      <c r="U109" s="20" t="s">
        <v>293</v>
      </c>
      <c r="V109" s="22">
        <v>137.0</v>
      </c>
      <c r="W109" s="22">
        <v>85.0</v>
      </c>
      <c r="X109" s="22">
        <v>27.0</v>
      </c>
      <c r="Y109" s="22">
        <v>349.0</v>
      </c>
      <c r="Z109" s="22">
        <v>0.62</v>
      </c>
    </row>
    <row r="110">
      <c r="A110" s="19">
        <v>903.0</v>
      </c>
      <c r="B110" s="20" t="s">
        <v>759</v>
      </c>
      <c r="C110" s="20" t="s">
        <v>165</v>
      </c>
      <c r="D110" s="20" t="s">
        <v>165</v>
      </c>
      <c r="E110" s="20" t="s">
        <v>238</v>
      </c>
      <c r="F110" s="20" t="s">
        <v>203</v>
      </c>
      <c r="G110" s="19">
        <v>0.0</v>
      </c>
      <c r="H110" s="21"/>
      <c r="I110" s="21"/>
      <c r="J110" s="21"/>
      <c r="K110" s="21"/>
      <c r="L110" s="20" t="s">
        <v>760</v>
      </c>
      <c r="M110" s="20" t="s">
        <v>252</v>
      </c>
      <c r="N110" s="20" t="s">
        <v>253</v>
      </c>
      <c r="O110" s="19">
        <v>-1.672332</v>
      </c>
      <c r="P110" s="19">
        <v>53.17266</v>
      </c>
      <c r="Q110" s="20" t="s">
        <v>205</v>
      </c>
      <c r="R110" s="20" t="s">
        <v>761</v>
      </c>
      <c r="S110" s="20" t="s">
        <v>762</v>
      </c>
      <c r="T110" s="19">
        <v>23.0</v>
      </c>
      <c r="U110" s="20" t="s">
        <v>749</v>
      </c>
      <c r="V110" s="22">
        <v>124.0</v>
      </c>
      <c r="W110" s="22">
        <v>75.0</v>
      </c>
      <c r="X110" s="22">
        <v>31.0</v>
      </c>
      <c r="Y110" s="22">
        <v>453.5</v>
      </c>
      <c r="Z110" s="22">
        <v>0.605</v>
      </c>
    </row>
    <row r="111">
      <c r="A111" s="19">
        <v>904.0</v>
      </c>
      <c r="B111" s="20" t="s">
        <v>763</v>
      </c>
      <c r="C111" s="20" t="s">
        <v>176</v>
      </c>
      <c r="D111" s="20" t="s">
        <v>176</v>
      </c>
      <c r="E111" s="20" t="s">
        <v>264</v>
      </c>
      <c r="F111" s="20" t="s">
        <v>203</v>
      </c>
      <c r="G111" s="19">
        <v>0.0</v>
      </c>
      <c r="H111" s="21"/>
      <c r="I111" s="21"/>
      <c r="J111" s="21"/>
      <c r="K111" s="21"/>
      <c r="L111" s="20" t="s">
        <v>764</v>
      </c>
      <c r="M111" s="20" t="s">
        <v>252</v>
      </c>
      <c r="N111" s="20" t="s">
        <v>253</v>
      </c>
      <c r="O111" s="19">
        <v>-1.7699776</v>
      </c>
      <c r="P111" s="19">
        <v>53.0829537</v>
      </c>
      <c r="Q111" s="20" t="s">
        <v>180</v>
      </c>
      <c r="R111" s="20" t="s">
        <v>765</v>
      </c>
      <c r="S111" s="20" t="s">
        <v>766</v>
      </c>
      <c r="T111" s="19">
        <v>40.0</v>
      </c>
      <c r="U111" s="20" t="s">
        <v>273</v>
      </c>
      <c r="V111" s="22">
        <v>128.0</v>
      </c>
      <c r="W111" s="22">
        <v>72.0</v>
      </c>
      <c r="X111" s="22">
        <v>23.0</v>
      </c>
      <c r="Y111" s="23"/>
      <c r="Z111" s="22">
        <v>0.562</v>
      </c>
    </row>
    <row r="112">
      <c r="A112" s="19">
        <v>905.0</v>
      </c>
      <c r="B112" s="20" t="s">
        <v>767</v>
      </c>
      <c r="C112" s="20" t="s">
        <v>439</v>
      </c>
      <c r="D112" s="20" t="s">
        <v>439</v>
      </c>
      <c r="E112" s="20" t="s">
        <v>559</v>
      </c>
      <c r="F112" s="20" t="s">
        <v>441</v>
      </c>
      <c r="G112" s="21"/>
      <c r="H112" s="21"/>
      <c r="I112" s="21"/>
      <c r="J112" s="19">
        <v>1.0</v>
      </c>
      <c r="K112" s="21"/>
      <c r="L112" s="20" t="s">
        <v>768</v>
      </c>
      <c r="M112" s="20" t="s">
        <v>715</v>
      </c>
      <c r="N112" s="20" t="s">
        <v>253</v>
      </c>
      <c r="O112" s="19">
        <v>-2.6015847</v>
      </c>
      <c r="P112" s="19">
        <v>52.3827492</v>
      </c>
      <c r="Q112" s="20" t="s">
        <v>443</v>
      </c>
      <c r="R112" s="20" t="s">
        <v>769</v>
      </c>
      <c r="S112" s="20" t="s">
        <v>770</v>
      </c>
      <c r="T112" s="21"/>
      <c r="U112" s="20" t="s">
        <v>771</v>
      </c>
      <c r="V112" s="22">
        <v>91.0</v>
      </c>
      <c r="W112" s="22">
        <v>50.0</v>
      </c>
      <c r="X112" s="22">
        <v>20.0</v>
      </c>
      <c r="Y112" s="23"/>
      <c r="Z112" s="22">
        <v>0.549</v>
      </c>
    </row>
    <row r="113">
      <c r="A113" s="19">
        <v>908.0</v>
      </c>
      <c r="B113" s="20" t="s">
        <v>772</v>
      </c>
      <c r="C113" s="20" t="s">
        <v>165</v>
      </c>
      <c r="D113" s="20" t="s">
        <v>165</v>
      </c>
      <c r="E113" s="20" t="s">
        <v>185</v>
      </c>
      <c r="F113" s="20" t="s">
        <v>167</v>
      </c>
      <c r="G113" s="19">
        <v>0.0</v>
      </c>
      <c r="H113" s="21"/>
      <c r="I113" s="21"/>
      <c r="J113" s="21"/>
      <c r="K113" s="21"/>
      <c r="L113" s="20" t="s">
        <v>773</v>
      </c>
      <c r="M113" s="20" t="s">
        <v>715</v>
      </c>
      <c r="N113" s="20" t="s">
        <v>253</v>
      </c>
      <c r="O113" s="19">
        <v>-2.4854883</v>
      </c>
      <c r="P113" s="19">
        <v>52.627227</v>
      </c>
      <c r="Q113" s="20" t="s">
        <v>171</v>
      </c>
      <c r="R113" s="20" t="s">
        <v>774</v>
      </c>
      <c r="S113" s="20" t="s">
        <v>775</v>
      </c>
      <c r="T113" s="19">
        <v>13.0</v>
      </c>
      <c r="U113" s="20" t="s">
        <v>776</v>
      </c>
      <c r="V113" s="22">
        <v>109.0</v>
      </c>
      <c r="W113" s="22">
        <v>68.0</v>
      </c>
      <c r="X113" s="22">
        <v>41.0</v>
      </c>
      <c r="Y113" s="22">
        <v>270.0</v>
      </c>
      <c r="Z113" s="22">
        <v>0.624</v>
      </c>
    </row>
    <row r="114">
      <c r="A114" s="19">
        <v>918.0</v>
      </c>
      <c r="B114" s="20" t="s">
        <v>777</v>
      </c>
      <c r="C114" s="20" t="s">
        <v>165</v>
      </c>
      <c r="D114" s="20" t="s">
        <v>165</v>
      </c>
      <c r="E114" s="20" t="s">
        <v>338</v>
      </c>
      <c r="F114" s="20" t="s">
        <v>203</v>
      </c>
      <c r="G114" s="19">
        <v>0.0</v>
      </c>
      <c r="H114" s="21"/>
      <c r="I114" s="21"/>
      <c r="J114" s="21"/>
      <c r="K114" s="21"/>
      <c r="L114" s="20" t="s">
        <v>778</v>
      </c>
      <c r="M114" s="20" t="s">
        <v>169</v>
      </c>
      <c r="N114" s="20" t="s">
        <v>170</v>
      </c>
      <c r="O114" s="19">
        <v>-5.004734</v>
      </c>
      <c r="P114" s="19">
        <v>50.542254</v>
      </c>
      <c r="Q114" s="20" t="s">
        <v>205</v>
      </c>
      <c r="R114" s="20" t="s">
        <v>779</v>
      </c>
      <c r="S114" s="20" t="s">
        <v>780</v>
      </c>
      <c r="T114" s="19">
        <v>30.0</v>
      </c>
      <c r="U114" s="20" t="s">
        <v>344</v>
      </c>
      <c r="V114" s="22">
        <v>111.0</v>
      </c>
      <c r="W114" s="23"/>
      <c r="X114" s="23"/>
      <c r="Y114" s="22">
        <v>276.0</v>
      </c>
      <c r="Z114" s="23"/>
    </row>
    <row r="115">
      <c r="A115" s="19">
        <v>927.0</v>
      </c>
      <c r="B115" s="20" t="s">
        <v>781</v>
      </c>
      <c r="C115" s="20" t="s">
        <v>165</v>
      </c>
      <c r="D115" s="20" t="s">
        <v>165</v>
      </c>
      <c r="E115" s="20" t="s">
        <v>782</v>
      </c>
      <c r="F115" s="20" t="s">
        <v>203</v>
      </c>
      <c r="G115" s="19">
        <v>0.0</v>
      </c>
      <c r="H115" s="21"/>
      <c r="I115" s="21"/>
      <c r="J115" s="21"/>
      <c r="K115" s="21"/>
      <c r="L115" s="20" t="s">
        <v>276</v>
      </c>
      <c r="M115" s="20" t="s">
        <v>277</v>
      </c>
      <c r="N115" s="20" t="s">
        <v>170</v>
      </c>
      <c r="O115" s="19">
        <v>-1.6758087</v>
      </c>
      <c r="P115" s="19">
        <v>51.915927</v>
      </c>
      <c r="Q115" s="20" t="s">
        <v>205</v>
      </c>
      <c r="R115" s="20" t="s">
        <v>783</v>
      </c>
      <c r="S115" s="20" t="s">
        <v>784</v>
      </c>
      <c r="T115" s="21"/>
      <c r="U115" s="20" t="s">
        <v>300</v>
      </c>
      <c r="V115" s="22">
        <v>143.0</v>
      </c>
      <c r="W115" s="22">
        <v>84.2</v>
      </c>
      <c r="X115" s="23"/>
      <c r="Y115" s="22">
        <v>335.8</v>
      </c>
      <c r="Z115" s="22">
        <v>0.589</v>
      </c>
    </row>
    <row r="116">
      <c r="A116" s="19">
        <v>928.0</v>
      </c>
      <c r="B116" s="20" t="s">
        <v>785</v>
      </c>
      <c r="C116" s="20" t="s">
        <v>165</v>
      </c>
      <c r="D116" s="20" t="s">
        <v>165</v>
      </c>
      <c r="E116" s="20" t="s">
        <v>414</v>
      </c>
      <c r="F116" s="20" t="s">
        <v>178</v>
      </c>
      <c r="G116" s="19">
        <v>0.0</v>
      </c>
      <c r="H116" s="21"/>
      <c r="I116" s="21"/>
      <c r="J116" s="21"/>
      <c r="K116" s="21"/>
      <c r="L116" s="20" t="s">
        <v>786</v>
      </c>
      <c r="M116" s="20" t="s">
        <v>95</v>
      </c>
      <c r="N116" s="20" t="s">
        <v>341</v>
      </c>
      <c r="O116" s="19">
        <v>0.6856286</v>
      </c>
      <c r="P116" s="19">
        <v>52.71571</v>
      </c>
      <c r="Q116" s="20" t="s">
        <v>180</v>
      </c>
      <c r="R116" s="20" t="s">
        <v>787</v>
      </c>
      <c r="S116" s="20" t="s">
        <v>788</v>
      </c>
      <c r="T116" s="21"/>
      <c r="U116" s="20" t="s">
        <v>789</v>
      </c>
      <c r="V116" s="22">
        <v>138.5</v>
      </c>
      <c r="W116" s="23"/>
      <c r="X116" s="23"/>
      <c r="Y116" s="22">
        <v>332.0</v>
      </c>
      <c r="Z116" s="23"/>
    </row>
    <row r="117">
      <c r="A117" s="19">
        <v>933.0</v>
      </c>
      <c r="B117" s="20" t="s">
        <v>790</v>
      </c>
      <c r="C117" s="20" t="s">
        <v>165</v>
      </c>
      <c r="D117" s="20" t="s">
        <v>165</v>
      </c>
      <c r="E117" s="20" t="s">
        <v>385</v>
      </c>
      <c r="F117" s="20" t="s">
        <v>178</v>
      </c>
      <c r="G117" s="19">
        <v>0.0</v>
      </c>
      <c r="H117" s="21"/>
      <c r="I117" s="21"/>
      <c r="J117" s="21"/>
      <c r="K117" s="21"/>
      <c r="L117" s="20" t="s">
        <v>791</v>
      </c>
      <c r="M117" s="20" t="s">
        <v>588</v>
      </c>
      <c r="N117" s="20" t="s">
        <v>253</v>
      </c>
      <c r="O117" s="19">
        <v>-1.2216574</v>
      </c>
      <c r="P117" s="19">
        <v>52.9031363</v>
      </c>
      <c r="Q117" s="20" t="s">
        <v>180</v>
      </c>
      <c r="R117" s="20" t="s">
        <v>792</v>
      </c>
      <c r="S117" s="20" t="s">
        <v>793</v>
      </c>
      <c r="T117" s="21"/>
      <c r="U117" s="20" t="s">
        <v>794</v>
      </c>
      <c r="V117" s="22">
        <v>173.0</v>
      </c>
      <c r="W117" s="22">
        <v>75.5</v>
      </c>
      <c r="X117" s="22">
        <v>30.0</v>
      </c>
      <c r="Y117" s="22">
        <v>602.0</v>
      </c>
      <c r="Z117" s="22">
        <v>0.436</v>
      </c>
    </row>
    <row r="118">
      <c r="A118" s="19">
        <v>935.0</v>
      </c>
      <c r="B118" s="20" t="s">
        <v>795</v>
      </c>
      <c r="C118" s="20" t="s">
        <v>165</v>
      </c>
      <c r="D118" s="20" t="s">
        <v>165</v>
      </c>
      <c r="E118" s="20" t="s">
        <v>166</v>
      </c>
      <c r="F118" s="20" t="s">
        <v>167</v>
      </c>
      <c r="G118" s="19">
        <v>0.0</v>
      </c>
      <c r="H118" s="21"/>
      <c r="I118" s="21"/>
      <c r="J118" s="21"/>
      <c r="K118" s="21"/>
      <c r="L118" s="20" t="s">
        <v>791</v>
      </c>
      <c r="M118" s="20" t="s">
        <v>588</v>
      </c>
      <c r="N118" s="20" t="s">
        <v>253</v>
      </c>
      <c r="O118" s="19">
        <v>-1.2208738</v>
      </c>
      <c r="P118" s="19">
        <v>52.9053786</v>
      </c>
      <c r="Q118" s="20" t="s">
        <v>171</v>
      </c>
      <c r="R118" s="20" t="s">
        <v>796</v>
      </c>
      <c r="S118" s="20" t="s">
        <v>797</v>
      </c>
      <c r="T118" s="21"/>
      <c r="U118" s="20" t="s">
        <v>174</v>
      </c>
      <c r="V118" s="22">
        <v>180.5</v>
      </c>
      <c r="W118" s="22">
        <v>109.0</v>
      </c>
      <c r="X118" s="22">
        <v>21.0</v>
      </c>
      <c r="Y118" s="23"/>
      <c r="Z118" s="22">
        <v>0.604</v>
      </c>
    </row>
    <row r="119">
      <c r="A119" s="19">
        <v>939.0</v>
      </c>
      <c r="B119" s="20" t="s">
        <v>798</v>
      </c>
      <c r="C119" s="20" t="s">
        <v>439</v>
      </c>
      <c r="D119" s="20" t="s">
        <v>628</v>
      </c>
      <c r="E119" s="20" t="s">
        <v>516</v>
      </c>
      <c r="F119" s="20" t="s">
        <v>441</v>
      </c>
      <c r="G119" s="21"/>
      <c r="H119" s="19">
        <v>1.0</v>
      </c>
      <c r="I119" s="21"/>
      <c r="J119" s="19">
        <v>1.0</v>
      </c>
      <c r="K119" s="21"/>
      <c r="L119" s="20" t="s">
        <v>799</v>
      </c>
      <c r="M119" s="20" t="s">
        <v>340</v>
      </c>
      <c r="N119" s="20" t="s">
        <v>341</v>
      </c>
      <c r="O119" s="19">
        <v>0.0363962</v>
      </c>
      <c r="P119" s="19">
        <v>52.1262116</v>
      </c>
      <c r="Q119" s="20" t="s">
        <v>443</v>
      </c>
      <c r="R119" s="20" t="s">
        <v>800</v>
      </c>
      <c r="S119" s="20" t="s">
        <v>801</v>
      </c>
      <c r="T119" s="21"/>
      <c r="U119" s="20" t="s">
        <v>802</v>
      </c>
      <c r="V119" s="22">
        <v>61.0</v>
      </c>
      <c r="W119" s="22">
        <v>32.0</v>
      </c>
      <c r="X119" s="22">
        <v>18.0</v>
      </c>
      <c r="Y119" s="22">
        <v>76.4</v>
      </c>
      <c r="Z119" s="22">
        <v>0.525</v>
      </c>
    </row>
    <row r="120">
      <c r="A120" s="19">
        <v>940.0</v>
      </c>
      <c r="B120" s="20" t="s">
        <v>803</v>
      </c>
      <c r="C120" s="20" t="s">
        <v>439</v>
      </c>
      <c r="D120" s="20" t="s">
        <v>439</v>
      </c>
      <c r="E120" s="20" t="s">
        <v>614</v>
      </c>
      <c r="F120" s="20" t="s">
        <v>441</v>
      </c>
      <c r="G120" s="21"/>
      <c r="H120" s="19">
        <v>1.0</v>
      </c>
      <c r="I120" s="21"/>
      <c r="J120" s="21"/>
      <c r="K120" s="21"/>
      <c r="L120" s="20" t="s">
        <v>804</v>
      </c>
      <c r="M120" s="20" t="s">
        <v>354</v>
      </c>
      <c r="N120" s="20" t="s">
        <v>341</v>
      </c>
      <c r="O120" s="19">
        <v>0.58416294</v>
      </c>
      <c r="P120" s="19">
        <v>52.2503658</v>
      </c>
      <c r="Q120" s="20" t="s">
        <v>443</v>
      </c>
      <c r="R120" s="20" t="s">
        <v>805</v>
      </c>
      <c r="S120" s="20" t="s">
        <v>806</v>
      </c>
      <c r="T120" s="21"/>
      <c r="U120" s="20" t="s">
        <v>807</v>
      </c>
      <c r="V120" s="22">
        <v>93.0</v>
      </c>
      <c r="W120" s="22">
        <v>40.0</v>
      </c>
      <c r="X120" s="22">
        <v>24.0</v>
      </c>
      <c r="Y120" s="22">
        <v>150.5</v>
      </c>
      <c r="Z120" s="22">
        <v>0.43</v>
      </c>
    </row>
    <row r="121">
      <c r="A121" s="19">
        <v>941.0</v>
      </c>
      <c r="B121" s="20" t="s">
        <v>808</v>
      </c>
      <c r="C121" s="20" t="s">
        <v>439</v>
      </c>
      <c r="D121" s="20" t="s">
        <v>628</v>
      </c>
      <c r="E121" s="20" t="s">
        <v>614</v>
      </c>
      <c r="F121" s="20" t="s">
        <v>441</v>
      </c>
      <c r="G121" s="21"/>
      <c r="H121" s="19">
        <v>1.0</v>
      </c>
      <c r="I121" s="21"/>
      <c r="J121" s="21"/>
      <c r="K121" s="21"/>
      <c r="L121" s="20" t="s">
        <v>809</v>
      </c>
      <c r="M121" s="20" t="s">
        <v>95</v>
      </c>
      <c r="N121" s="20" t="s">
        <v>341</v>
      </c>
      <c r="O121" s="19">
        <v>0.71750267</v>
      </c>
      <c r="P121" s="19">
        <v>52.4060921</v>
      </c>
      <c r="Q121" s="20" t="s">
        <v>443</v>
      </c>
      <c r="R121" s="20" t="s">
        <v>810</v>
      </c>
      <c r="S121" s="20" t="s">
        <v>811</v>
      </c>
      <c r="T121" s="21"/>
      <c r="U121" s="20" t="s">
        <v>812</v>
      </c>
      <c r="V121" s="22">
        <v>69.5</v>
      </c>
      <c r="W121" s="23"/>
      <c r="X121" s="23"/>
      <c r="Y121" s="23"/>
      <c r="Z121" s="23"/>
    </row>
    <row r="122">
      <c r="A122" s="19">
        <v>946.0</v>
      </c>
      <c r="B122" s="20" t="s">
        <v>813</v>
      </c>
      <c r="C122" s="20" t="s">
        <v>165</v>
      </c>
      <c r="D122" s="20" t="s">
        <v>165</v>
      </c>
      <c r="E122" s="20" t="s">
        <v>725</v>
      </c>
      <c r="F122" s="20" t="s">
        <v>178</v>
      </c>
      <c r="G122" s="19">
        <v>0.0</v>
      </c>
      <c r="H122" s="21"/>
      <c r="I122" s="21"/>
      <c r="J122" s="21"/>
      <c r="K122" s="21"/>
      <c r="L122" s="20" t="s">
        <v>814</v>
      </c>
      <c r="M122" s="20" t="s">
        <v>715</v>
      </c>
      <c r="N122" s="20" t="s">
        <v>253</v>
      </c>
      <c r="O122" s="19">
        <v>-2.7200177</v>
      </c>
      <c r="P122" s="19">
        <v>52.7529247</v>
      </c>
      <c r="Q122" s="20" t="s">
        <v>180</v>
      </c>
      <c r="R122" s="20" t="s">
        <v>815</v>
      </c>
      <c r="S122" s="20" t="s">
        <v>816</v>
      </c>
      <c r="T122" s="21"/>
      <c r="U122" s="20" t="s">
        <v>817</v>
      </c>
      <c r="V122" s="22">
        <v>116.0</v>
      </c>
      <c r="W122" s="22">
        <v>49.0</v>
      </c>
      <c r="X122" s="22">
        <v>19.0</v>
      </c>
      <c r="Y122" s="22">
        <v>118.0</v>
      </c>
      <c r="Z122" s="22">
        <v>0.422</v>
      </c>
    </row>
    <row r="123">
      <c r="A123" s="19">
        <v>949.0</v>
      </c>
      <c r="B123" s="20" t="s">
        <v>818</v>
      </c>
      <c r="C123" s="20" t="s">
        <v>439</v>
      </c>
      <c r="D123" s="20" t="s">
        <v>439</v>
      </c>
      <c r="E123" s="20" t="s">
        <v>499</v>
      </c>
      <c r="F123" s="20" t="s">
        <v>441</v>
      </c>
      <c r="G123" s="21"/>
      <c r="H123" s="19">
        <v>1.0</v>
      </c>
      <c r="I123" s="21"/>
      <c r="J123" s="21"/>
      <c r="K123" s="19">
        <v>1.0</v>
      </c>
      <c r="L123" s="20" t="s">
        <v>819</v>
      </c>
      <c r="M123" s="20" t="s">
        <v>354</v>
      </c>
      <c r="N123" s="20" t="s">
        <v>341</v>
      </c>
      <c r="O123" s="19">
        <v>0.58782466</v>
      </c>
      <c r="P123" s="19">
        <v>52.3132335</v>
      </c>
      <c r="Q123" s="20" t="s">
        <v>443</v>
      </c>
      <c r="R123" s="20" t="s">
        <v>820</v>
      </c>
      <c r="S123" s="20" t="s">
        <v>821</v>
      </c>
      <c r="T123" s="21"/>
      <c r="U123" s="20" t="s">
        <v>822</v>
      </c>
      <c r="V123" s="22">
        <v>101.0</v>
      </c>
      <c r="W123" s="22">
        <v>50.0</v>
      </c>
      <c r="X123" s="22">
        <v>17.5</v>
      </c>
      <c r="Y123" s="22">
        <v>177.0</v>
      </c>
      <c r="Z123" s="22">
        <v>0.495</v>
      </c>
    </row>
    <row r="124">
      <c r="A124" s="19">
        <v>951.0</v>
      </c>
      <c r="B124" s="20" t="s">
        <v>823</v>
      </c>
      <c r="C124" s="20" t="s">
        <v>165</v>
      </c>
      <c r="D124" s="20" t="s">
        <v>165</v>
      </c>
      <c r="E124" s="20" t="s">
        <v>238</v>
      </c>
      <c r="F124" s="20" t="s">
        <v>203</v>
      </c>
      <c r="G124" s="19">
        <v>0.0</v>
      </c>
      <c r="H124" s="21"/>
      <c r="I124" s="21"/>
      <c r="J124" s="21"/>
      <c r="K124" s="21"/>
      <c r="L124" s="20" t="s">
        <v>824</v>
      </c>
      <c r="M124" s="20" t="s">
        <v>95</v>
      </c>
      <c r="N124" s="20" t="s">
        <v>341</v>
      </c>
      <c r="O124" s="19">
        <v>1.00056</v>
      </c>
      <c r="P124" s="19">
        <v>51.911381</v>
      </c>
      <c r="Q124" s="20" t="s">
        <v>205</v>
      </c>
      <c r="R124" s="20" t="s">
        <v>825</v>
      </c>
      <c r="S124" s="20" t="s">
        <v>826</v>
      </c>
      <c r="T124" s="21"/>
      <c r="U124" s="20" t="s">
        <v>357</v>
      </c>
      <c r="V124" s="22">
        <v>122.0</v>
      </c>
      <c r="W124" s="23"/>
      <c r="X124" s="23"/>
      <c r="Y124" s="23"/>
      <c r="Z124" s="23"/>
    </row>
    <row r="125">
      <c r="A125" s="19">
        <v>952.0</v>
      </c>
      <c r="B125" s="20" t="s">
        <v>827</v>
      </c>
      <c r="C125" s="20" t="s">
        <v>165</v>
      </c>
      <c r="D125" s="20" t="s">
        <v>165</v>
      </c>
      <c r="E125" s="20" t="s">
        <v>414</v>
      </c>
      <c r="F125" s="20" t="s">
        <v>178</v>
      </c>
      <c r="G125" s="19">
        <v>0.0</v>
      </c>
      <c r="H125" s="21"/>
      <c r="I125" s="21"/>
      <c r="J125" s="21"/>
      <c r="K125" s="21"/>
      <c r="L125" s="20" t="s">
        <v>828</v>
      </c>
      <c r="M125" s="20" t="s">
        <v>554</v>
      </c>
      <c r="N125" s="20" t="s">
        <v>253</v>
      </c>
      <c r="O125" s="19">
        <v>-1.7832669</v>
      </c>
      <c r="P125" s="19">
        <v>50.8618578</v>
      </c>
      <c r="Q125" s="20" t="s">
        <v>180</v>
      </c>
      <c r="R125" s="20" t="s">
        <v>829</v>
      </c>
      <c r="S125" s="20" t="s">
        <v>830</v>
      </c>
      <c r="T125" s="21"/>
      <c r="U125" s="20" t="s">
        <v>831</v>
      </c>
      <c r="V125" s="22">
        <v>197.0</v>
      </c>
      <c r="W125" s="23"/>
      <c r="X125" s="23"/>
      <c r="Y125" s="22">
        <v>74.5</v>
      </c>
      <c r="Z125" s="23"/>
    </row>
    <row r="126">
      <c r="A126" s="19">
        <v>953.0</v>
      </c>
      <c r="B126" s="20" t="s">
        <v>832</v>
      </c>
      <c r="C126" s="20" t="s">
        <v>165</v>
      </c>
      <c r="D126" s="20" t="s">
        <v>233</v>
      </c>
      <c r="E126" s="20" t="s">
        <v>408</v>
      </c>
      <c r="F126" s="20" t="s">
        <v>167</v>
      </c>
      <c r="G126" s="19">
        <v>0.0</v>
      </c>
      <c r="H126" s="21"/>
      <c r="I126" s="21"/>
      <c r="J126" s="21"/>
      <c r="K126" s="21"/>
      <c r="L126" s="20" t="s">
        <v>833</v>
      </c>
      <c r="M126" s="20" t="s">
        <v>252</v>
      </c>
      <c r="N126" s="20" t="s">
        <v>253</v>
      </c>
      <c r="O126" s="19">
        <v>-1.7067083</v>
      </c>
      <c r="P126" s="19">
        <v>53.1444795</v>
      </c>
      <c r="Q126" s="20" t="s">
        <v>171</v>
      </c>
      <c r="R126" s="20" t="s">
        <v>834</v>
      </c>
      <c r="S126" s="20" t="s">
        <v>835</v>
      </c>
      <c r="T126" s="21"/>
      <c r="U126" s="20" t="s">
        <v>412</v>
      </c>
      <c r="V126" s="22">
        <v>49.5</v>
      </c>
      <c r="W126" s="23"/>
      <c r="X126" s="23"/>
      <c r="Y126" s="22">
        <v>31.5</v>
      </c>
      <c r="Z126" s="23"/>
    </row>
    <row r="127">
      <c r="A127" s="19">
        <v>954.0</v>
      </c>
      <c r="B127" s="20" t="s">
        <v>836</v>
      </c>
      <c r="C127" s="20" t="s">
        <v>165</v>
      </c>
      <c r="D127" s="20" t="s">
        <v>165</v>
      </c>
      <c r="E127" s="20" t="s">
        <v>385</v>
      </c>
      <c r="F127" s="20" t="s">
        <v>178</v>
      </c>
      <c r="G127" s="19">
        <v>0.0</v>
      </c>
      <c r="H127" s="21"/>
      <c r="I127" s="21"/>
      <c r="J127" s="21"/>
      <c r="K127" s="21"/>
      <c r="L127" s="20" t="s">
        <v>837</v>
      </c>
      <c r="M127" s="20" t="s">
        <v>340</v>
      </c>
      <c r="N127" s="20" t="s">
        <v>341</v>
      </c>
      <c r="O127" s="19">
        <v>0.2603453</v>
      </c>
      <c r="P127" s="19">
        <v>52.2210441</v>
      </c>
      <c r="Q127" s="20" t="s">
        <v>180</v>
      </c>
      <c r="R127" s="20" t="s">
        <v>838</v>
      </c>
      <c r="S127" s="20" t="s">
        <v>839</v>
      </c>
      <c r="T127" s="21"/>
      <c r="U127" s="20" t="s">
        <v>794</v>
      </c>
      <c r="V127" s="22">
        <v>142.0</v>
      </c>
      <c r="W127" s="23"/>
      <c r="X127" s="23"/>
      <c r="Y127" s="22">
        <v>304.7</v>
      </c>
      <c r="Z127" s="23"/>
    </row>
    <row r="128">
      <c r="A128" s="19">
        <v>957.0</v>
      </c>
      <c r="B128" s="20" t="s">
        <v>840</v>
      </c>
      <c r="C128" s="20" t="s">
        <v>165</v>
      </c>
      <c r="D128" s="20" t="s">
        <v>233</v>
      </c>
      <c r="E128" s="20" t="s">
        <v>250</v>
      </c>
      <c r="F128" s="20" t="s">
        <v>203</v>
      </c>
      <c r="G128" s="19">
        <v>0.0</v>
      </c>
      <c r="H128" s="21"/>
      <c r="I128" s="21"/>
      <c r="J128" s="21"/>
      <c r="K128" s="21"/>
      <c r="L128" s="20" t="s">
        <v>841</v>
      </c>
      <c r="M128" s="20" t="s">
        <v>842</v>
      </c>
      <c r="N128" s="20" t="s">
        <v>253</v>
      </c>
      <c r="O128" s="19">
        <v>-0.5619974</v>
      </c>
      <c r="P128" s="19">
        <v>51.6202609</v>
      </c>
      <c r="Q128" s="20" t="s">
        <v>171</v>
      </c>
      <c r="R128" s="20" t="s">
        <v>266</v>
      </c>
      <c r="S128" s="20" t="s">
        <v>843</v>
      </c>
      <c r="T128" s="21"/>
      <c r="U128" s="20" t="s">
        <v>256</v>
      </c>
      <c r="V128" s="22">
        <v>56.4</v>
      </c>
      <c r="W128" s="23"/>
      <c r="X128" s="23"/>
      <c r="Y128" s="23"/>
      <c r="Z128" s="23"/>
    </row>
    <row r="129">
      <c r="A129" s="19">
        <v>963.0</v>
      </c>
      <c r="B129" s="20" t="s">
        <v>844</v>
      </c>
      <c r="C129" s="20" t="s">
        <v>439</v>
      </c>
      <c r="D129" s="20" t="s">
        <v>439</v>
      </c>
      <c r="E129" s="20" t="s">
        <v>845</v>
      </c>
      <c r="F129" s="20" t="s">
        <v>441</v>
      </c>
      <c r="G129" s="19">
        <v>1.0</v>
      </c>
      <c r="H129" s="21"/>
      <c r="I129" s="21"/>
      <c r="J129" s="19">
        <v>1.0</v>
      </c>
      <c r="K129" s="21"/>
      <c r="L129" s="20" t="s">
        <v>846</v>
      </c>
      <c r="M129" s="20" t="s">
        <v>561</v>
      </c>
      <c r="N129" s="20" t="s">
        <v>253</v>
      </c>
      <c r="O129" s="19">
        <v>-1.4567935</v>
      </c>
      <c r="P129" s="19">
        <v>50.649917</v>
      </c>
      <c r="Q129" s="20" t="s">
        <v>443</v>
      </c>
      <c r="R129" s="20" t="s">
        <v>847</v>
      </c>
      <c r="S129" s="20" t="s">
        <v>848</v>
      </c>
      <c r="T129" s="21"/>
      <c r="U129" s="20" t="s">
        <v>849</v>
      </c>
      <c r="V129" s="22">
        <v>109.0</v>
      </c>
      <c r="W129" s="23"/>
      <c r="X129" s="23"/>
      <c r="Y129" s="22">
        <v>244.7</v>
      </c>
      <c r="Z129" s="23"/>
    </row>
    <row r="130">
      <c r="A130" s="19">
        <v>965.0</v>
      </c>
      <c r="B130" s="20" t="s">
        <v>850</v>
      </c>
      <c r="C130" s="20" t="s">
        <v>439</v>
      </c>
      <c r="D130" s="20" t="s">
        <v>439</v>
      </c>
      <c r="E130" s="20" t="s">
        <v>440</v>
      </c>
      <c r="F130" s="20" t="s">
        <v>441</v>
      </c>
      <c r="G130" s="21"/>
      <c r="H130" s="19">
        <v>1.0</v>
      </c>
      <c r="I130" s="21"/>
      <c r="J130" s="19">
        <v>1.0</v>
      </c>
      <c r="K130" s="19">
        <v>1.0</v>
      </c>
      <c r="L130" s="20" t="s">
        <v>851</v>
      </c>
      <c r="M130" s="20" t="s">
        <v>366</v>
      </c>
      <c r="N130" s="20" t="s">
        <v>253</v>
      </c>
      <c r="O130" s="19">
        <v>-0.2665029</v>
      </c>
      <c r="P130" s="19">
        <v>50.8410932</v>
      </c>
      <c r="Q130" s="20" t="s">
        <v>443</v>
      </c>
      <c r="R130" s="20" t="s">
        <v>852</v>
      </c>
      <c r="S130" s="20" t="s">
        <v>853</v>
      </c>
      <c r="T130" s="21"/>
      <c r="U130" s="20" t="s">
        <v>854</v>
      </c>
      <c r="V130" s="22">
        <v>107.0</v>
      </c>
      <c r="W130" s="23"/>
      <c r="X130" s="23"/>
      <c r="Y130" s="23"/>
      <c r="Z130" s="23"/>
    </row>
    <row r="131">
      <c r="A131" s="19">
        <v>966.0</v>
      </c>
      <c r="B131" s="20" t="s">
        <v>855</v>
      </c>
      <c r="C131" s="20" t="s">
        <v>439</v>
      </c>
      <c r="D131" s="20" t="s">
        <v>439</v>
      </c>
      <c r="E131" s="20" t="s">
        <v>542</v>
      </c>
      <c r="F131" s="20" t="s">
        <v>441</v>
      </c>
      <c r="G131" s="21"/>
      <c r="H131" s="21"/>
      <c r="I131" s="19">
        <v>1.0</v>
      </c>
      <c r="J131" s="21"/>
      <c r="K131" s="21"/>
      <c r="L131" s="20" t="s">
        <v>856</v>
      </c>
      <c r="M131" s="20" t="s">
        <v>616</v>
      </c>
      <c r="N131" s="20" t="s">
        <v>341</v>
      </c>
      <c r="O131" s="19">
        <v>1.29103791</v>
      </c>
      <c r="P131" s="19">
        <v>51.1322719</v>
      </c>
      <c r="Q131" s="20" t="s">
        <v>443</v>
      </c>
      <c r="R131" s="20" t="s">
        <v>857</v>
      </c>
      <c r="S131" s="20" t="s">
        <v>858</v>
      </c>
      <c r="T131" s="21"/>
      <c r="U131" s="20" t="s">
        <v>859</v>
      </c>
      <c r="V131" s="22">
        <v>117.0</v>
      </c>
      <c r="W131" s="22">
        <v>60.0</v>
      </c>
      <c r="X131" s="23"/>
      <c r="Y131" s="23"/>
      <c r="Z131" s="22">
        <v>0.513</v>
      </c>
    </row>
    <row r="132">
      <c r="A132" s="19">
        <v>968.0</v>
      </c>
      <c r="B132" s="20" t="s">
        <v>860</v>
      </c>
      <c r="C132" s="20" t="s">
        <v>439</v>
      </c>
      <c r="D132" s="20" t="s">
        <v>439</v>
      </c>
      <c r="E132" s="20" t="s">
        <v>440</v>
      </c>
      <c r="F132" s="20" t="s">
        <v>441</v>
      </c>
      <c r="G132" s="19">
        <v>1.0</v>
      </c>
      <c r="H132" s="21"/>
      <c r="I132" s="19">
        <v>1.0</v>
      </c>
      <c r="J132" s="21"/>
      <c r="K132" s="19">
        <v>1.0</v>
      </c>
      <c r="L132" s="20" t="s">
        <v>856</v>
      </c>
      <c r="M132" s="20" t="s">
        <v>616</v>
      </c>
      <c r="N132" s="20" t="s">
        <v>341</v>
      </c>
      <c r="O132" s="19">
        <v>1.29103791</v>
      </c>
      <c r="P132" s="19">
        <v>51.1322719</v>
      </c>
      <c r="Q132" s="20" t="s">
        <v>443</v>
      </c>
      <c r="R132" s="20" t="s">
        <v>266</v>
      </c>
      <c r="S132" s="20" t="s">
        <v>861</v>
      </c>
      <c r="T132" s="21"/>
      <c r="U132" s="20" t="s">
        <v>854</v>
      </c>
      <c r="V132" s="22">
        <v>131.5</v>
      </c>
      <c r="W132" s="22">
        <v>77.0</v>
      </c>
      <c r="X132" s="23"/>
      <c r="Y132" s="22">
        <v>380.0</v>
      </c>
      <c r="Z132" s="22">
        <v>0.586</v>
      </c>
    </row>
    <row r="133">
      <c r="A133" s="19">
        <v>971.0</v>
      </c>
      <c r="B133" s="20" t="s">
        <v>862</v>
      </c>
      <c r="C133" s="20" t="s">
        <v>439</v>
      </c>
      <c r="D133" s="20" t="s">
        <v>698</v>
      </c>
      <c r="E133" s="20" t="s">
        <v>736</v>
      </c>
      <c r="F133" s="20" t="s">
        <v>441</v>
      </c>
      <c r="G133" s="21"/>
      <c r="H133" s="19">
        <v>1.0</v>
      </c>
      <c r="I133" s="19">
        <v>1.0</v>
      </c>
      <c r="J133" s="19">
        <v>1.0</v>
      </c>
      <c r="K133" s="21"/>
      <c r="L133" s="20" t="s">
        <v>863</v>
      </c>
      <c r="M133" s="20" t="s">
        <v>340</v>
      </c>
      <c r="N133" s="20" t="s">
        <v>341</v>
      </c>
      <c r="O133" s="19">
        <v>0.3756954</v>
      </c>
      <c r="P133" s="19">
        <v>52.4615652</v>
      </c>
      <c r="Q133" s="20" t="s">
        <v>443</v>
      </c>
      <c r="R133" s="20" t="s">
        <v>864</v>
      </c>
      <c r="S133" s="20" t="s">
        <v>865</v>
      </c>
      <c r="T133" s="21"/>
      <c r="U133" s="20" t="s">
        <v>866</v>
      </c>
      <c r="V133" s="22">
        <v>90.0</v>
      </c>
      <c r="W133" s="22">
        <v>43.0</v>
      </c>
      <c r="X133" s="22">
        <v>15.0</v>
      </c>
      <c r="Y133" s="22">
        <v>92.3</v>
      </c>
      <c r="Z133" s="22">
        <v>0.478</v>
      </c>
    </row>
    <row r="134">
      <c r="A134" s="19">
        <v>973.0</v>
      </c>
      <c r="B134" s="20" t="s">
        <v>867</v>
      </c>
      <c r="C134" s="20" t="s">
        <v>439</v>
      </c>
      <c r="D134" s="20" t="s">
        <v>439</v>
      </c>
      <c r="E134" s="20" t="s">
        <v>845</v>
      </c>
      <c r="F134" s="20" t="s">
        <v>441</v>
      </c>
      <c r="G134" s="19">
        <v>1.0</v>
      </c>
      <c r="H134" s="21"/>
      <c r="I134" s="21"/>
      <c r="J134" s="21"/>
      <c r="K134" s="21"/>
      <c r="L134" s="20" t="s">
        <v>346</v>
      </c>
      <c r="M134" s="20" t="s">
        <v>340</v>
      </c>
      <c r="N134" s="20" t="s">
        <v>341</v>
      </c>
      <c r="O134" s="19">
        <v>0.30795357</v>
      </c>
      <c r="P134" s="19">
        <v>52.2920594</v>
      </c>
      <c r="Q134" s="20" t="s">
        <v>443</v>
      </c>
      <c r="R134" s="20" t="s">
        <v>868</v>
      </c>
      <c r="S134" s="20" t="s">
        <v>869</v>
      </c>
      <c r="T134" s="21"/>
      <c r="U134" s="20" t="s">
        <v>849</v>
      </c>
      <c r="V134" s="22">
        <v>93.0</v>
      </c>
      <c r="W134" s="22">
        <v>60.0</v>
      </c>
      <c r="X134" s="22">
        <v>19.0</v>
      </c>
      <c r="Y134" s="22">
        <v>166.2</v>
      </c>
      <c r="Z134" s="22">
        <v>0.645</v>
      </c>
    </row>
    <row r="135">
      <c r="A135" s="19">
        <v>975.0</v>
      </c>
      <c r="B135" s="20" t="s">
        <v>870</v>
      </c>
      <c r="C135" s="20" t="s">
        <v>165</v>
      </c>
      <c r="D135" s="20" t="s">
        <v>165</v>
      </c>
      <c r="E135" s="20" t="s">
        <v>408</v>
      </c>
      <c r="F135" s="20" t="s">
        <v>167</v>
      </c>
      <c r="G135" s="19">
        <v>0.0</v>
      </c>
      <c r="H135" s="21"/>
      <c r="I135" s="21"/>
      <c r="J135" s="21"/>
      <c r="K135" s="21"/>
      <c r="L135" s="20" t="s">
        <v>871</v>
      </c>
      <c r="M135" s="20" t="s">
        <v>340</v>
      </c>
      <c r="N135" s="20" t="s">
        <v>341</v>
      </c>
      <c r="O135" s="19">
        <v>0.1278346</v>
      </c>
      <c r="P135" s="19">
        <v>52.2055244</v>
      </c>
      <c r="Q135" s="20" t="s">
        <v>171</v>
      </c>
      <c r="R135" s="20" t="s">
        <v>872</v>
      </c>
      <c r="S135" s="20" t="s">
        <v>873</v>
      </c>
      <c r="T135" s="21"/>
      <c r="U135" s="20" t="s">
        <v>607</v>
      </c>
      <c r="V135" s="22">
        <v>110.0</v>
      </c>
      <c r="W135" s="22">
        <v>66.0</v>
      </c>
      <c r="X135" s="22">
        <v>33.5</v>
      </c>
      <c r="Y135" s="22">
        <v>350.0</v>
      </c>
      <c r="Z135" s="22">
        <v>0.6</v>
      </c>
    </row>
    <row r="136">
      <c r="A136" s="19">
        <v>976.0</v>
      </c>
      <c r="B136" s="20" t="s">
        <v>874</v>
      </c>
      <c r="C136" s="20" t="s">
        <v>176</v>
      </c>
      <c r="D136" s="20" t="s">
        <v>176</v>
      </c>
      <c r="E136" s="20" t="s">
        <v>177</v>
      </c>
      <c r="F136" s="20" t="s">
        <v>178</v>
      </c>
      <c r="G136" s="19">
        <v>0.0</v>
      </c>
      <c r="H136" s="21"/>
      <c r="I136" s="21"/>
      <c r="J136" s="21"/>
      <c r="K136" s="21"/>
      <c r="L136" s="20" t="s">
        <v>871</v>
      </c>
      <c r="M136" s="20" t="s">
        <v>340</v>
      </c>
      <c r="N136" s="20" t="s">
        <v>341</v>
      </c>
      <c r="O136" s="19">
        <v>0.1278346</v>
      </c>
      <c r="P136" s="19">
        <v>52.2055244</v>
      </c>
      <c r="Q136" s="20" t="s">
        <v>180</v>
      </c>
      <c r="R136" s="20" t="s">
        <v>875</v>
      </c>
      <c r="S136" s="20" t="s">
        <v>876</v>
      </c>
      <c r="T136" s="21"/>
      <c r="U136" s="20" t="s">
        <v>330</v>
      </c>
      <c r="V136" s="22">
        <v>98.0</v>
      </c>
      <c r="W136" s="22">
        <v>56.0</v>
      </c>
      <c r="X136" s="22">
        <v>24.0</v>
      </c>
      <c r="Y136" s="22">
        <v>200.0</v>
      </c>
      <c r="Z136" s="22">
        <v>0.571</v>
      </c>
    </row>
    <row r="137">
      <c r="A137" s="19">
        <v>980.0</v>
      </c>
      <c r="B137" s="20" t="s">
        <v>877</v>
      </c>
      <c r="C137" s="20" t="s">
        <v>176</v>
      </c>
      <c r="D137" s="20" t="s">
        <v>176</v>
      </c>
      <c r="E137" s="20" t="s">
        <v>782</v>
      </c>
      <c r="F137" s="20" t="s">
        <v>203</v>
      </c>
      <c r="G137" s="19">
        <v>0.0</v>
      </c>
      <c r="H137" s="21"/>
      <c r="I137" s="21"/>
      <c r="J137" s="21"/>
      <c r="K137" s="21"/>
      <c r="L137" s="20" t="s">
        <v>505</v>
      </c>
      <c r="M137" s="20" t="s">
        <v>95</v>
      </c>
      <c r="N137" s="20" t="s">
        <v>341</v>
      </c>
      <c r="O137" s="19">
        <v>0.46785004</v>
      </c>
      <c r="P137" s="19">
        <v>52.7923789</v>
      </c>
      <c r="Q137" s="20" t="s">
        <v>205</v>
      </c>
      <c r="R137" s="20" t="s">
        <v>878</v>
      </c>
      <c r="S137" s="20" t="s">
        <v>879</v>
      </c>
      <c r="T137" s="21"/>
      <c r="U137" s="20" t="s">
        <v>262</v>
      </c>
      <c r="V137" s="22">
        <v>105.0</v>
      </c>
      <c r="W137" s="22">
        <v>56.4</v>
      </c>
      <c r="X137" s="23"/>
      <c r="Y137" s="22">
        <v>177.6</v>
      </c>
      <c r="Z137" s="22">
        <v>0.537</v>
      </c>
    </row>
    <row r="138">
      <c r="A138" s="19">
        <v>982.0</v>
      </c>
      <c r="B138" s="20" t="s">
        <v>880</v>
      </c>
      <c r="C138" s="20" t="s">
        <v>176</v>
      </c>
      <c r="D138" s="20" t="s">
        <v>384</v>
      </c>
      <c r="E138" s="20" t="s">
        <v>881</v>
      </c>
      <c r="F138" s="20" t="s">
        <v>178</v>
      </c>
      <c r="G138" s="19">
        <v>0.0</v>
      </c>
      <c r="H138" s="21"/>
      <c r="I138" s="21"/>
      <c r="J138" s="21"/>
      <c r="K138" s="21"/>
      <c r="L138" s="20" t="s">
        <v>882</v>
      </c>
      <c r="M138" s="20" t="s">
        <v>311</v>
      </c>
      <c r="N138" s="20" t="s">
        <v>253</v>
      </c>
      <c r="O138" s="19">
        <v>-0.5826456</v>
      </c>
      <c r="P138" s="19">
        <v>53.0302834</v>
      </c>
      <c r="Q138" s="20" t="s">
        <v>180</v>
      </c>
      <c r="R138" s="20" t="s">
        <v>883</v>
      </c>
      <c r="S138" s="20" t="s">
        <v>884</v>
      </c>
      <c r="T138" s="21"/>
      <c r="U138" s="20" t="s">
        <v>885</v>
      </c>
      <c r="V138" s="22">
        <v>75.0</v>
      </c>
      <c r="W138" s="22">
        <v>40.0</v>
      </c>
      <c r="X138" s="22">
        <v>18.0</v>
      </c>
      <c r="Y138" s="22">
        <v>86.0</v>
      </c>
      <c r="Z138" s="22">
        <v>0.533</v>
      </c>
    </row>
    <row r="139">
      <c r="A139" s="19">
        <v>989.0</v>
      </c>
      <c r="B139" s="20" t="s">
        <v>886</v>
      </c>
      <c r="C139" s="20" t="s">
        <v>439</v>
      </c>
      <c r="D139" s="20" t="s">
        <v>439</v>
      </c>
      <c r="E139" s="20" t="s">
        <v>542</v>
      </c>
      <c r="F139" s="20" t="s">
        <v>441</v>
      </c>
      <c r="G139" s="19">
        <v>1.0</v>
      </c>
      <c r="H139" s="21"/>
      <c r="I139" s="19">
        <v>1.0</v>
      </c>
      <c r="J139" s="21"/>
      <c r="K139" s="21"/>
      <c r="L139" s="20" t="s">
        <v>887</v>
      </c>
      <c r="M139" s="20" t="s">
        <v>366</v>
      </c>
      <c r="N139" s="20" t="s">
        <v>253</v>
      </c>
      <c r="O139" s="19">
        <v>0.23165171</v>
      </c>
      <c r="P139" s="19">
        <v>50.7983162</v>
      </c>
      <c r="Q139" s="20" t="s">
        <v>443</v>
      </c>
      <c r="R139" s="20" t="s">
        <v>888</v>
      </c>
      <c r="S139" s="20" t="s">
        <v>889</v>
      </c>
      <c r="T139" s="21"/>
      <c r="U139" s="20" t="s">
        <v>890</v>
      </c>
      <c r="V139" s="22">
        <v>185.5</v>
      </c>
      <c r="W139" s="22">
        <v>87.0</v>
      </c>
      <c r="X139" s="22">
        <v>29.0</v>
      </c>
      <c r="Y139" s="23"/>
      <c r="Z139" s="22">
        <v>0.469</v>
      </c>
    </row>
    <row r="140">
      <c r="A140" s="19">
        <v>990.0</v>
      </c>
      <c r="B140" s="20" t="s">
        <v>891</v>
      </c>
      <c r="C140" s="20" t="s">
        <v>439</v>
      </c>
      <c r="D140" s="20" t="s">
        <v>439</v>
      </c>
      <c r="E140" s="20" t="s">
        <v>458</v>
      </c>
      <c r="F140" s="20" t="s">
        <v>441</v>
      </c>
      <c r="G140" s="21"/>
      <c r="H140" s="21"/>
      <c r="I140" s="21"/>
      <c r="J140" s="21"/>
      <c r="K140" s="21"/>
      <c r="L140" s="20" t="s">
        <v>887</v>
      </c>
      <c r="M140" s="20" t="s">
        <v>366</v>
      </c>
      <c r="N140" s="20" t="s">
        <v>253</v>
      </c>
      <c r="O140" s="19">
        <v>0.23165171</v>
      </c>
      <c r="P140" s="19">
        <v>50.7983162</v>
      </c>
      <c r="Q140" s="20" t="s">
        <v>443</v>
      </c>
      <c r="R140" s="20" t="s">
        <v>888</v>
      </c>
      <c r="S140" s="20" t="s">
        <v>892</v>
      </c>
      <c r="T140" s="21"/>
      <c r="U140" s="20" t="s">
        <v>893</v>
      </c>
      <c r="V140" s="22">
        <v>139.0</v>
      </c>
      <c r="W140" s="22">
        <v>73.0</v>
      </c>
      <c r="X140" s="22">
        <v>24.0</v>
      </c>
      <c r="Y140" s="23"/>
      <c r="Z140" s="22">
        <v>0.525</v>
      </c>
    </row>
    <row r="141">
      <c r="A141" s="19">
        <v>991.0</v>
      </c>
      <c r="B141" s="20" t="s">
        <v>894</v>
      </c>
      <c r="C141" s="20" t="s">
        <v>439</v>
      </c>
      <c r="D141" s="20" t="s">
        <v>439</v>
      </c>
      <c r="E141" s="20" t="s">
        <v>740</v>
      </c>
      <c r="F141" s="20" t="s">
        <v>441</v>
      </c>
      <c r="G141" s="19">
        <v>1.0</v>
      </c>
      <c r="H141" s="21"/>
      <c r="I141" s="19">
        <v>1.0</v>
      </c>
      <c r="J141" s="19">
        <v>1.0</v>
      </c>
      <c r="K141" s="21"/>
      <c r="L141" s="20" t="s">
        <v>887</v>
      </c>
      <c r="M141" s="20" t="s">
        <v>366</v>
      </c>
      <c r="N141" s="20" t="s">
        <v>253</v>
      </c>
      <c r="O141" s="19">
        <v>0.23165171</v>
      </c>
      <c r="P141" s="19">
        <v>50.7983162</v>
      </c>
      <c r="Q141" s="20" t="s">
        <v>443</v>
      </c>
      <c r="R141" s="20" t="s">
        <v>888</v>
      </c>
      <c r="S141" s="20" t="s">
        <v>895</v>
      </c>
      <c r="T141" s="21"/>
      <c r="U141" s="20" t="s">
        <v>896</v>
      </c>
      <c r="V141" s="22">
        <v>120.5</v>
      </c>
      <c r="W141" s="22">
        <v>70.0</v>
      </c>
      <c r="X141" s="22">
        <v>20.0</v>
      </c>
      <c r="Y141" s="23"/>
      <c r="Z141" s="22">
        <v>0.581</v>
      </c>
    </row>
    <row r="142">
      <c r="A142" s="19">
        <v>992.0</v>
      </c>
      <c r="B142" s="20" t="s">
        <v>897</v>
      </c>
      <c r="C142" s="20" t="s">
        <v>439</v>
      </c>
      <c r="D142" s="20" t="s">
        <v>439</v>
      </c>
      <c r="E142" s="20" t="s">
        <v>441</v>
      </c>
      <c r="F142" s="20" t="s">
        <v>441</v>
      </c>
      <c r="G142" s="21"/>
      <c r="H142" s="19">
        <v>1.0</v>
      </c>
      <c r="I142" s="21"/>
      <c r="J142" s="19">
        <v>1.0</v>
      </c>
      <c r="K142" s="21"/>
      <c r="L142" s="20" t="s">
        <v>887</v>
      </c>
      <c r="M142" s="20" t="s">
        <v>366</v>
      </c>
      <c r="N142" s="20" t="s">
        <v>253</v>
      </c>
      <c r="O142" s="19">
        <v>0.23165171</v>
      </c>
      <c r="P142" s="19">
        <v>50.7983162</v>
      </c>
      <c r="Q142" s="20" t="s">
        <v>443</v>
      </c>
      <c r="R142" s="20" t="s">
        <v>888</v>
      </c>
      <c r="S142" s="20" t="s">
        <v>898</v>
      </c>
      <c r="T142" s="21"/>
      <c r="U142" s="20" t="s">
        <v>899</v>
      </c>
      <c r="V142" s="22">
        <v>120.5</v>
      </c>
      <c r="W142" s="22">
        <v>70.0</v>
      </c>
      <c r="X142" s="22">
        <v>20.0</v>
      </c>
      <c r="Y142" s="23"/>
      <c r="Z142" s="22">
        <v>0.581</v>
      </c>
    </row>
    <row r="143">
      <c r="A143" s="19">
        <v>993.0</v>
      </c>
      <c r="B143" s="20" t="s">
        <v>900</v>
      </c>
      <c r="C143" s="20" t="s">
        <v>439</v>
      </c>
      <c r="D143" s="20" t="s">
        <v>439</v>
      </c>
      <c r="E143" s="20" t="s">
        <v>516</v>
      </c>
      <c r="F143" s="20" t="s">
        <v>441</v>
      </c>
      <c r="G143" s="21"/>
      <c r="H143" s="19">
        <v>1.0</v>
      </c>
      <c r="I143" s="21"/>
      <c r="J143" s="21"/>
      <c r="K143" s="21"/>
      <c r="L143" s="20" t="s">
        <v>901</v>
      </c>
      <c r="M143" s="20" t="s">
        <v>187</v>
      </c>
      <c r="N143" s="20" t="s">
        <v>170</v>
      </c>
      <c r="O143" s="19">
        <v>-3.5037846</v>
      </c>
      <c r="P143" s="19">
        <v>50.5486174</v>
      </c>
      <c r="Q143" s="20" t="s">
        <v>443</v>
      </c>
      <c r="R143" s="20" t="s">
        <v>902</v>
      </c>
      <c r="S143" s="20" t="s">
        <v>903</v>
      </c>
      <c r="T143" s="21"/>
      <c r="U143" s="20" t="s">
        <v>904</v>
      </c>
      <c r="V143" s="22">
        <v>80.0</v>
      </c>
      <c r="W143" s="23"/>
      <c r="X143" s="23"/>
      <c r="Y143" s="22">
        <v>141.0</v>
      </c>
      <c r="Z143" s="23"/>
    </row>
    <row r="144">
      <c r="A144" s="19">
        <v>995.0</v>
      </c>
      <c r="B144" s="20" t="s">
        <v>905</v>
      </c>
      <c r="C144" s="20" t="s">
        <v>165</v>
      </c>
      <c r="D144" s="20" t="s">
        <v>165</v>
      </c>
      <c r="E144" s="20" t="s">
        <v>309</v>
      </c>
      <c r="F144" s="20" t="s">
        <v>203</v>
      </c>
      <c r="G144" s="19">
        <v>0.0</v>
      </c>
      <c r="H144" s="21"/>
      <c r="I144" s="21"/>
      <c r="J144" s="21"/>
      <c r="K144" s="21"/>
      <c r="L144" s="20" t="s">
        <v>906</v>
      </c>
      <c r="M144" s="20" t="s">
        <v>715</v>
      </c>
      <c r="N144" s="20" t="s">
        <v>253</v>
      </c>
      <c r="O144" s="19">
        <v>-2.7150219</v>
      </c>
      <c r="P144" s="19">
        <v>52.4472964</v>
      </c>
      <c r="Q144" s="20" t="s">
        <v>205</v>
      </c>
      <c r="R144" s="20" t="s">
        <v>907</v>
      </c>
      <c r="S144" s="20" t="s">
        <v>908</v>
      </c>
      <c r="T144" s="21"/>
      <c r="U144" s="20" t="s">
        <v>909</v>
      </c>
      <c r="V144" s="22">
        <v>137.5</v>
      </c>
      <c r="W144" s="22">
        <v>83.5</v>
      </c>
      <c r="X144" s="22">
        <v>31.5</v>
      </c>
      <c r="Y144" s="22">
        <v>352.0</v>
      </c>
      <c r="Z144" s="22">
        <v>0.607</v>
      </c>
    </row>
    <row r="145">
      <c r="A145" s="19">
        <v>997.0</v>
      </c>
      <c r="B145" s="20" t="s">
        <v>910</v>
      </c>
      <c r="C145" s="20" t="s">
        <v>165</v>
      </c>
      <c r="D145" s="20" t="s">
        <v>165</v>
      </c>
      <c r="E145" s="20" t="s">
        <v>414</v>
      </c>
      <c r="F145" s="20" t="s">
        <v>178</v>
      </c>
      <c r="G145" s="19">
        <v>0.0</v>
      </c>
      <c r="H145" s="21"/>
      <c r="I145" s="21"/>
      <c r="J145" s="21"/>
      <c r="K145" s="21"/>
      <c r="L145" s="20" t="s">
        <v>911</v>
      </c>
      <c r="M145" s="20" t="s">
        <v>912</v>
      </c>
      <c r="N145" s="20" t="s">
        <v>253</v>
      </c>
      <c r="O145" s="19">
        <v>-2.0087133</v>
      </c>
      <c r="P145" s="19">
        <v>52.0988383</v>
      </c>
      <c r="Q145" s="20" t="s">
        <v>180</v>
      </c>
      <c r="R145" s="20" t="s">
        <v>913</v>
      </c>
      <c r="S145" s="20" t="s">
        <v>914</v>
      </c>
      <c r="T145" s="21"/>
      <c r="U145" s="20" t="s">
        <v>915</v>
      </c>
      <c r="V145" s="22">
        <v>131.0</v>
      </c>
      <c r="W145" s="22">
        <v>72.0</v>
      </c>
      <c r="X145" s="22">
        <v>28.0</v>
      </c>
      <c r="Y145" s="22">
        <v>369.0</v>
      </c>
      <c r="Z145" s="22">
        <v>0.55</v>
      </c>
    </row>
    <row r="146">
      <c r="A146" s="19">
        <v>1004.0</v>
      </c>
      <c r="B146" s="20" t="s">
        <v>916</v>
      </c>
      <c r="C146" s="20" t="s">
        <v>165</v>
      </c>
      <c r="D146" s="20" t="s">
        <v>165</v>
      </c>
      <c r="E146" s="20" t="s">
        <v>917</v>
      </c>
      <c r="F146" s="20" t="s">
        <v>178</v>
      </c>
      <c r="G146" s="19">
        <v>0.0</v>
      </c>
      <c r="H146" s="21"/>
      <c r="I146" s="21"/>
      <c r="J146" s="21"/>
      <c r="K146" s="21"/>
      <c r="L146" s="20" t="s">
        <v>918</v>
      </c>
      <c r="M146" s="20" t="s">
        <v>366</v>
      </c>
      <c r="N146" s="20" t="s">
        <v>253</v>
      </c>
      <c r="O146" s="19">
        <v>-0.190437</v>
      </c>
      <c r="P146" s="19">
        <v>50.8779353</v>
      </c>
      <c r="Q146" s="20" t="s">
        <v>205</v>
      </c>
      <c r="R146" s="20" t="s">
        <v>919</v>
      </c>
      <c r="S146" s="20" t="s">
        <v>920</v>
      </c>
      <c r="T146" s="21"/>
      <c r="U146" s="20" t="s">
        <v>921</v>
      </c>
      <c r="V146" s="22">
        <v>83.0</v>
      </c>
      <c r="W146" s="23"/>
      <c r="X146" s="23"/>
      <c r="Y146" s="23"/>
      <c r="Z146" s="23"/>
    </row>
    <row r="147">
      <c r="A147" s="19">
        <v>1005.0</v>
      </c>
      <c r="B147" s="20" t="s">
        <v>922</v>
      </c>
      <c r="C147" s="20" t="s">
        <v>165</v>
      </c>
      <c r="D147" s="20" t="s">
        <v>165</v>
      </c>
      <c r="E147" s="20" t="s">
        <v>923</v>
      </c>
      <c r="F147" s="20" t="s">
        <v>178</v>
      </c>
      <c r="G147" s="19">
        <v>0.0</v>
      </c>
      <c r="H147" s="21"/>
      <c r="I147" s="21"/>
      <c r="J147" s="21"/>
      <c r="K147" s="21"/>
      <c r="L147" s="20" t="s">
        <v>924</v>
      </c>
      <c r="M147" s="20" t="s">
        <v>187</v>
      </c>
      <c r="N147" s="20" t="s">
        <v>170</v>
      </c>
      <c r="O147" s="19">
        <v>-3.7470094</v>
      </c>
      <c r="P147" s="19">
        <v>50.2333556</v>
      </c>
      <c r="Q147" s="20" t="s">
        <v>180</v>
      </c>
      <c r="R147" s="20" t="s">
        <v>925</v>
      </c>
      <c r="S147" s="20" t="s">
        <v>926</v>
      </c>
      <c r="T147" s="21"/>
      <c r="U147" s="20" t="s">
        <v>927</v>
      </c>
      <c r="V147" s="22">
        <v>83.0</v>
      </c>
      <c r="W147" s="23"/>
      <c r="X147" s="23"/>
      <c r="Y147" s="23"/>
      <c r="Z147" s="23"/>
    </row>
    <row r="148">
      <c r="A148" s="19">
        <v>1006.0</v>
      </c>
      <c r="B148" s="20" t="s">
        <v>928</v>
      </c>
      <c r="C148" s="20" t="s">
        <v>176</v>
      </c>
      <c r="D148" s="20" t="s">
        <v>176</v>
      </c>
      <c r="E148" s="20" t="s">
        <v>244</v>
      </c>
      <c r="F148" s="20" t="s">
        <v>178</v>
      </c>
      <c r="G148" s="19">
        <v>0.0</v>
      </c>
      <c r="H148" s="21"/>
      <c r="I148" s="21"/>
      <c r="J148" s="21"/>
      <c r="K148" s="21"/>
      <c r="L148" s="20" t="s">
        <v>929</v>
      </c>
      <c r="M148" s="20" t="s">
        <v>616</v>
      </c>
      <c r="N148" s="20" t="s">
        <v>341</v>
      </c>
      <c r="O148" s="19">
        <v>1.28845909</v>
      </c>
      <c r="P148" s="19">
        <v>51.1764207</v>
      </c>
      <c r="Q148" s="20" t="s">
        <v>180</v>
      </c>
      <c r="R148" s="20" t="s">
        <v>930</v>
      </c>
      <c r="S148" s="20" t="s">
        <v>931</v>
      </c>
      <c r="T148" s="21"/>
      <c r="U148" s="20" t="s">
        <v>248</v>
      </c>
      <c r="V148" s="22">
        <v>92.5</v>
      </c>
      <c r="W148" s="23"/>
      <c r="X148" s="23"/>
      <c r="Y148" s="23"/>
      <c r="Z148" s="23"/>
    </row>
    <row r="149">
      <c r="A149" s="19">
        <v>1007.0</v>
      </c>
      <c r="B149" s="20" t="s">
        <v>932</v>
      </c>
      <c r="C149" s="20" t="s">
        <v>439</v>
      </c>
      <c r="D149" s="20" t="s">
        <v>439</v>
      </c>
      <c r="E149" s="20" t="s">
        <v>440</v>
      </c>
      <c r="F149" s="20" t="s">
        <v>441</v>
      </c>
      <c r="G149" s="19">
        <v>1.0</v>
      </c>
      <c r="H149" s="21"/>
      <c r="I149" s="21"/>
      <c r="J149" s="21"/>
      <c r="K149" s="21"/>
      <c r="L149" s="20" t="s">
        <v>933</v>
      </c>
      <c r="M149" s="20" t="s">
        <v>715</v>
      </c>
      <c r="N149" s="20" t="s">
        <v>253</v>
      </c>
      <c r="O149" s="19">
        <v>-3.0191566</v>
      </c>
      <c r="P149" s="19">
        <v>52.9049063</v>
      </c>
      <c r="Q149" s="20" t="s">
        <v>443</v>
      </c>
      <c r="R149" s="20" t="s">
        <v>934</v>
      </c>
      <c r="S149" s="20" t="s">
        <v>935</v>
      </c>
      <c r="T149" s="21"/>
      <c r="U149" s="20" t="s">
        <v>936</v>
      </c>
      <c r="V149" s="22">
        <v>122.5</v>
      </c>
      <c r="W149" s="22">
        <v>73.0</v>
      </c>
      <c r="X149" s="22">
        <v>26.0</v>
      </c>
      <c r="Y149" s="22">
        <v>407.1</v>
      </c>
      <c r="Z149" s="22">
        <v>0.596</v>
      </c>
    </row>
    <row r="150">
      <c r="A150" s="19">
        <v>1008.0</v>
      </c>
      <c r="B150" s="20" t="s">
        <v>937</v>
      </c>
      <c r="C150" s="20" t="s">
        <v>165</v>
      </c>
      <c r="D150" s="20" t="s">
        <v>165</v>
      </c>
      <c r="E150" s="20" t="s">
        <v>338</v>
      </c>
      <c r="F150" s="20" t="s">
        <v>203</v>
      </c>
      <c r="G150" s="19">
        <v>0.0</v>
      </c>
      <c r="H150" s="21"/>
      <c r="I150" s="21"/>
      <c r="J150" s="21"/>
      <c r="K150" s="21"/>
      <c r="L150" s="20" t="s">
        <v>938</v>
      </c>
      <c r="M150" s="20" t="s">
        <v>588</v>
      </c>
      <c r="N150" s="20" t="s">
        <v>253</v>
      </c>
      <c r="O150" s="19">
        <v>-1.1189764</v>
      </c>
      <c r="P150" s="19">
        <v>52.9078132</v>
      </c>
      <c r="Q150" s="20" t="s">
        <v>205</v>
      </c>
      <c r="R150" s="20" t="s">
        <v>939</v>
      </c>
      <c r="S150" s="20" t="s">
        <v>940</v>
      </c>
      <c r="T150" s="21"/>
      <c r="U150" s="20" t="s">
        <v>219</v>
      </c>
      <c r="V150" s="22">
        <v>110.0</v>
      </c>
      <c r="W150" s="23"/>
      <c r="X150" s="23"/>
      <c r="Y150" s="23"/>
      <c r="Z150" s="23"/>
    </row>
    <row r="151">
      <c r="A151" s="19">
        <v>1009.0</v>
      </c>
      <c r="B151" s="20" t="s">
        <v>941</v>
      </c>
      <c r="C151" s="20" t="s">
        <v>439</v>
      </c>
      <c r="D151" s="20" t="s">
        <v>439</v>
      </c>
      <c r="E151" s="20" t="s">
        <v>458</v>
      </c>
      <c r="F151" s="20" t="s">
        <v>441</v>
      </c>
      <c r="G151" s="21"/>
      <c r="H151" s="19">
        <v>1.0</v>
      </c>
      <c r="I151" s="21"/>
      <c r="J151" s="19">
        <v>1.0</v>
      </c>
      <c r="K151" s="21"/>
      <c r="L151" s="20" t="s">
        <v>942</v>
      </c>
      <c r="M151" s="20" t="s">
        <v>323</v>
      </c>
      <c r="N151" s="20" t="s">
        <v>253</v>
      </c>
      <c r="O151" s="19">
        <v>-0.3243045</v>
      </c>
      <c r="P151" s="19">
        <v>51.4453565</v>
      </c>
      <c r="Q151" s="20" t="s">
        <v>443</v>
      </c>
      <c r="R151" s="20" t="s">
        <v>943</v>
      </c>
      <c r="S151" s="20" t="s">
        <v>944</v>
      </c>
      <c r="T151" s="21"/>
      <c r="U151" s="20" t="s">
        <v>462</v>
      </c>
      <c r="V151" s="22">
        <v>101.5</v>
      </c>
      <c r="W151" s="23"/>
      <c r="X151" s="23"/>
      <c r="Y151" s="22">
        <v>147.9</v>
      </c>
      <c r="Z151" s="23"/>
    </row>
    <row r="152">
      <c r="A152" s="19">
        <v>1010.0</v>
      </c>
      <c r="B152" s="20" t="s">
        <v>945</v>
      </c>
      <c r="C152" s="20" t="s">
        <v>439</v>
      </c>
      <c r="D152" s="20" t="s">
        <v>439</v>
      </c>
      <c r="E152" s="20" t="s">
        <v>516</v>
      </c>
      <c r="F152" s="20" t="s">
        <v>441</v>
      </c>
      <c r="G152" s="21"/>
      <c r="H152" s="19">
        <v>1.0</v>
      </c>
      <c r="I152" s="21"/>
      <c r="J152" s="21"/>
      <c r="K152" s="21"/>
      <c r="L152" s="20" t="s">
        <v>946</v>
      </c>
      <c r="M152" s="20" t="s">
        <v>616</v>
      </c>
      <c r="N152" s="20" t="s">
        <v>341</v>
      </c>
      <c r="O152" s="19">
        <v>1.11784644</v>
      </c>
      <c r="P152" s="19">
        <v>51.1811411</v>
      </c>
      <c r="Q152" s="20" t="s">
        <v>443</v>
      </c>
      <c r="R152" s="20" t="s">
        <v>947</v>
      </c>
      <c r="S152" s="20" t="s">
        <v>948</v>
      </c>
      <c r="T152" s="21"/>
      <c r="U152" s="20" t="s">
        <v>904</v>
      </c>
      <c r="V152" s="22">
        <v>82.0</v>
      </c>
      <c r="W152" s="22">
        <v>38.0</v>
      </c>
      <c r="X152" s="23"/>
      <c r="Y152" s="23"/>
      <c r="Z152" s="22">
        <v>0.463</v>
      </c>
    </row>
    <row r="153">
      <c r="A153" s="19">
        <v>1012.0</v>
      </c>
      <c r="B153" s="20" t="s">
        <v>949</v>
      </c>
      <c r="C153" s="20" t="s">
        <v>165</v>
      </c>
      <c r="D153" s="20" t="s">
        <v>609</v>
      </c>
      <c r="E153" s="20" t="s">
        <v>178</v>
      </c>
      <c r="F153" s="20" t="s">
        <v>178</v>
      </c>
      <c r="G153" s="19">
        <v>0.0</v>
      </c>
      <c r="H153" s="21"/>
      <c r="I153" s="21"/>
      <c r="J153" s="21"/>
      <c r="K153" s="21"/>
      <c r="L153" s="20" t="s">
        <v>950</v>
      </c>
      <c r="M153" s="20" t="s">
        <v>95</v>
      </c>
      <c r="N153" s="20" t="s">
        <v>341</v>
      </c>
      <c r="O153" s="19">
        <v>0.48014112</v>
      </c>
      <c r="P153" s="19">
        <v>52.4863969</v>
      </c>
      <c r="Q153" s="23"/>
      <c r="R153" s="20" t="s">
        <v>951</v>
      </c>
      <c r="S153" s="20" t="s">
        <v>952</v>
      </c>
      <c r="T153" s="21"/>
      <c r="U153" s="20" t="s">
        <v>953</v>
      </c>
      <c r="V153" s="22">
        <v>60.5</v>
      </c>
      <c r="W153" s="23"/>
      <c r="X153" s="23"/>
      <c r="Y153" s="23"/>
      <c r="Z153" s="23"/>
    </row>
    <row r="154">
      <c r="A154" s="19">
        <v>1014.0</v>
      </c>
      <c r="B154" s="20" t="s">
        <v>954</v>
      </c>
      <c r="C154" s="20" t="s">
        <v>165</v>
      </c>
      <c r="D154" s="20" t="s">
        <v>165</v>
      </c>
      <c r="E154" s="20" t="s">
        <v>955</v>
      </c>
      <c r="F154" s="20" t="s">
        <v>203</v>
      </c>
      <c r="G154" s="19">
        <v>0.0</v>
      </c>
      <c r="H154" s="21"/>
      <c r="I154" s="21"/>
      <c r="J154" s="21"/>
      <c r="K154" s="21"/>
      <c r="L154" s="20" t="s">
        <v>956</v>
      </c>
      <c r="M154" s="20" t="s">
        <v>616</v>
      </c>
      <c r="N154" s="20" t="s">
        <v>341</v>
      </c>
      <c r="O154" s="19">
        <v>0.261357</v>
      </c>
      <c r="P154" s="19">
        <v>51.2767452</v>
      </c>
      <c r="Q154" s="20" t="s">
        <v>171</v>
      </c>
      <c r="R154" s="20" t="s">
        <v>957</v>
      </c>
      <c r="S154" s="20" t="s">
        <v>958</v>
      </c>
      <c r="T154" s="21"/>
      <c r="U154" s="20" t="s">
        <v>256</v>
      </c>
      <c r="V154" s="22">
        <v>133.0</v>
      </c>
      <c r="W154" s="22">
        <v>76.0</v>
      </c>
      <c r="X154" s="23"/>
      <c r="Y154" s="22">
        <v>440.0</v>
      </c>
      <c r="Z154" s="22">
        <v>0.571</v>
      </c>
    </row>
    <row r="155">
      <c r="A155" s="19">
        <v>1016.0</v>
      </c>
      <c r="B155" s="20" t="s">
        <v>959</v>
      </c>
      <c r="C155" s="20" t="s">
        <v>165</v>
      </c>
      <c r="D155" s="20" t="s">
        <v>165</v>
      </c>
      <c r="E155" s="20" t="s">
        <v>258</v>
      </c>
      <c r="F155" s="20" t="s">
        <v>203</v>
      </c>
      <c r="G155" s="19">
        <v>0.0</v>
      </c>
      <c r="H155" s="21"/>
      <c r="I155" s="21"/>
      <c r="J155" s="21"/>
      <c r="K155" s="21"/>
      <c r="L155" s="20" t="s">
        <v>960</v>
      </c>
      <c r="M155" s="20" t="s">
        <v>340</v>
      </c>
      <c r="N155" s="20" t="s">
        <v>341</v>
      </c>
      <c r="O155" s="19">
        <v>0.39681803</v>
      </c>
      <c r="P155" s="19">
        <v>52.3082731</v>
      </c>
      <c r="Q155" s="20" t="s">
        <v>205</v>
      </c>
      <c r="R155" s="20" t="s">
        <v>961</v>
      </c>
      <c r="S155" s="20" t="s">
        <v>962</v>
      </c>
      <c r="T155" s="21"/>
      <c r="U155" s="20" t="s">
        <v>262</v>
      </c>
      <c r="V155" s="22">
        <v>117.0</v>
      </c>
      <c r="W155" s="23"/>
      <c r="X155" s="23"/>
      <c r="Y155" s="22">
        <v>221.0</v>
      </c>
      <c r="Z155" s="23"/>
    </row>
    <row r="156">
      <c r="A156" s="19">
        <v>1017.0</v>
      </c>
      <c r="B156" s="20" t="s">
        <v>963</v>
      </c>
      <c r="C156" s="20" t="s">
        <v>165</v>
      </c>
      <c r="D156" s="20" t="s">
        <v>165</v>
      </c>
      <c r="E156" s="20" t="s">
        <v>210</v>
      </c>
      <c r="F156" s="20" t="s">
        <v>178</v>
      </c>
      <c r="G156" s="19">
        <v>0.0</v>
      </c>
      <c r="H156" s="21"/>
      <c r="I156" s="21"/>
      <c r="J156" s="21"/>
      <c r="K156" s="21"/>
      <c r="L156" s="20" t="s">
        <v>960</v>
      </c>
      <c r="M156" s="20" t="s">
        <v>340</v>
      </c>
      <c r="N156" s="20" t="s">
        <v>341</v>
      </c>
      <c r="O156" s="19">
        <v>0.39681803</v>
      </c>
      <c r="P156" s="19">
        <v>52.3082731</v>
      </c>
      <c r="Q156" s="20" t="s">
        <v>180</v>
      </c>
      <c r="R156" s="20" t="s">
        <v>964</v>
      </c>
      <c r="S156" s="20" t="s">
        <v>965</v>
      </c>
      <c r="T156" s="21"/>
      <c r="U156" s="20" t="s">
        <v>214</v>
      </c>
      <c r="V156" s="22">
        <v>116.0</v>
      </c>
      <c r="W156" s="23"/>
      <c r="X156" s="23"/>
      <c r="Y156" s="22">
        <v>188.0</v>
      </c>
      <c r="Z156" s="23"/>
    </row>
    <row r="157">
      <c r="A157" s="19">
        <v>1021.0</v>
      </c>
      <c r="B157" s="20" t="s">
        <v>966</v>
      </c>
      <c r="C157" s="20" t="s">
        <v>165</v>
      </c>
      <c r="D157" s="20" t="s">
        <v>165</v>
      </c>
      <c r="E157" s="20" t="s">
        <v>166</v>
      </c>
      <c r="F157" s="20" t="s">
        <v>167</v>
      </c>
      <c r="G157" s="19">
        <v>0.0</v>
      </c>
      <c r="H157" s="21"/>
      <c r="I157" s="21"/>
      <c r="J157" s="21"/>
      <c r="K157" s="21"/>
      <c r="L157" s="20" t="s">
        <v>960</v>
      </c>
      <c r="M157" s="20" t="s">
        <v>340</v>
      </c>
      <c r="N157" s="20" t="s">
        <v>341</v>
      </c>
      <c r="O157" s="19">
        <v>0.39681803</v>
      </c>
      <c r="P157" s="19">
        <v>52.3082731</v>
      </c>
      <c r="Q157" s="20" t="s">
        <v>171</v>
      </c>
      <c r="R157" s="20" t="s">
        <v>967</v>
      </c>
      <c r="S157" s="20" t="s">
        <v>968</v>
      </c>
      <c r="T157" s="21"/>
      <c r="U157" s="20" t="s">
        <v>174</v>
      </c>
      <c r="V157" s="22">
        <v>114.5</v>
      </c>
      <c r="W157" s="22">
        <v>31.0</v>
      </c>
      <c r="X157" s="23"/>
      <c r="Y157" s="22">
        <v>327.0</v>
      </c>
      <c r="Z157" s="22">
        <v>0.271</v>
      </c>
    </row>
    <row r="158">
      <c r="A158" s="19">
        <v>1022.0</v>
      </c>
      <c r="B158" s="20" t="s">
        <v>969</v>
      </c>
      <c r="C158" s="20" t="s">
        <v>439</v>
      </c>
      <c r="D158" s="20" t="s">
        <v>439</v>
      </c>
      <c r="E158" s="20" t="s">
        <v>440</v>
      </c>
      <c r="F158" s="20" t="s">
        <v>441</v>
      </c>
      <c r="G158" s="21"/>
      <c r="H158" s="19">
        <v>1.0</v>
      </c>
      <c r="I158" s="19">
        <v>1.0</v>
      </c>
      <c r="J158" s="21"/>
      <c r="K158" s="21"/>
      <c r="L158" s="20" t="s">
        <v>970</v>
      </c>
      <c r="M158" s="20" t="s">
        <v>95</v>
      </c>
      <c r="N158" s="20" t="s">
        <v>341</v>
      </c>
      <c r="O158" s="19">
        <v>1.01644945</v>
      </c>
      <c r="P158" s="19">
        <v>52.788686</v>
      </c>
      <c r="Q158" s="20" t="s">
        <v>443</v>
      </c>
      <c r="R158" s="20" t="s">
        <v>971</v>
      </c>
      <c r="S158" s="20" t="s">
        <v>972</v>
      </c>
      <c r="T158" s="21"/>
      <c r="U158" s="20" t="s">
        <v>822</v>
      </c>
      <c r="V158" s="22">
        <v>86.5</v>
      </c>
      <c r="W158" s="23"/>
      <c r="X158" s="23"/>
      <c r="Y158" s="22">
        <v>124.9</v>
      </c>
      <c r="Z158" s="23"/>
    </row>
    <row r="159">
      <c r="A159" s="19">
        <v>1023.0</v>
      </c>
      <c r="B159" s="20" t="s">
        <v>973</v>
      </c>
      <c r="C159" s="20" t="s">
        <v>439</v>
      </c>
      <c r="D159" s="20" t="s">
        <v>439</v>
      </c>
      <c r="E159" s="20" t="s">
        <v>559</v>
      </c>
      <c r="F159" s="20" t="s">
        <v>441</v>
      </c>
      <c r="G159" s="21"/>
      <c r="H159" s="19">
        <v>1.0</v>
      </c>
      <c r="I159" s="21"/>
      <c r="J159" s="19">
        <v>1.0</v>
      </c>
      <c r="K159" s="21"/>
      <c r="L159" s="20" t="s">
        <v>974</v>
      </c>
      <c r="M159" s="20" t="s">
        <v>95</v>
      </c>
      <c r="N159" s="20" t="s">
        <v>341</v>
      </c>
      <c r="O159" s="19">
        <v>0.91218881</v>
      </c>
      <c r="P159" s="19">
        <v>52.7822999</v>
      </c>
      <c r="Q159" s="20" t="s">
        <v>443</v>
      </c>
      <c r="R159" s="20" t="s">
        <v>975</v>
      </c>
      <c r="S159" s="20" t="s">
        <v>976</v>
      </c>
      <c r="T159" s="21"/>
      <c r="U159" s="20" t="s">
        <v>977</v>
      </c>
      <c r="V159" s="22">
        <v>139.5</v>
      </c>
      <c r="W159" s="23"/>
      <c r="X159" s="23"/>
      <c r="Y159" s="22">
        <v>403.9</v>
      </c>
      <c r="Z159" s="23"/>
    </row>
    <row r="160">
      <c r="A160" s="19">
        <v>1024.0</v>
      </c>
      <c r="B160" s="20" t="s">
        <v>978</v>
      </c>
      <c r="C160" s="20" t="s">
        <v>439</v>
      </c>
      <c r="D160" s="20" t="s">
        <v>628</v>
      </c>
      <c r="E160" s="20" t="s">
        <v>510</v>
      </c>
      <c r="F160" s="20" t="s">
        <v>441</v>
      </c>
      <c r="G160" s="21"/>
      <c r="H160" s="19">
        <v>1.0</v>
      </c>
      <c r="I160" s="21"/>
      <c r="J160" s="21"/>
      <c r="K160" s="21"/>
      <c r="L160" s="20" t="s">
        <v>979</v>
      </c>
      <c r="M160" s="20" t="s">
        <v>169</v>
      </c>
      <c r="N160" s="20" t="s">
        <v>170</v>
      </c>
      <c r="O160" s="19">
        <v>-4.9778084</v>
      </c>
      <c r="P160" s="19">
        <v>50.1813281</v>
      </c>
      <c r="Q160" s="20" t="s">
        <v>443</v>
      </c>
      <c r="R160" s="20" t="s">
        <v>980</v>
      </c>
      <c r="S160" s="20" t="s">
        <v>981</v>
      </c>
      <c r="T160" s="21"/>
      <c r="U160" s="20" t="s">
        <v>982</v>
      </c>
      <c r="V160" s="22">
        <v>73.5</v>
      </c>
      <c r="W160" s="22">
        <v>45.0</v>
      </c>
      <c r="X160" s="22">
        <v>19.0</v>
      </c>
      <c r="Y160" s="22">
        <v>106.0</v>
      </c>
      <c r="Z160" s="22">
        <v>0.612</v>
      </c>
    </row>
    <row r="161">
      <c r="A161" s="19">
        <v>1028.0</v>
      </c>
      <c r="B161" s="20" t="s">
        <v>983</v>
      </c>
      <c r="C161" s="20" t="s">
        <v>176</v>
      </c>
      <c r="D161" s="20" t="s">
        <v>176</v>
      </c>
      <c r="E161" s="20" t="s">
        <v>177</v>
      </c>
      <c r="F161" s="20" t="s">
        <v>178</v>
      </c>
      <c r="G161" s="19">
        <v>0.0</v>
      </c>
      <c r="H161" s="21"/>
      <c r="I161" s="21"/>
      <c r="J161" s="21"/>
      <c r="K161" s="21"/>
      <c r="L161" s="20" t="s">
        <v>984</v>
      </c>
      <c r="M161" s="20" t="s">
        <v>95</v>
      </c>
      <c r="N161" s="20" t="s">
        <v>341</v>
      </c>
      <c r="O161" s="19">
        <v>0.37256201</v>
      </c>
      <c r="P161" s="19">
        <v>52.5537952</v>
      </c>
      <c r="Q161" s="20" t="s">
        <v>180</v>
      </c>
      <c r="R161" s="20" t="s">
        <v>266</v>
      </c>
      <c r="S161" s="20" t="s">
        <v>985</v>
      </c>
      <c r="T161" s="21"/>
      <c r="U161" s="20" t="s">
        <v>986</v>
      </c>
      <c r="V161" s="22">
        <v>134.5</v>
      </c>
      <c r="W161" s="23"/>
      <c r="X161" s="23"/>
      <c r="Y161" s="22">
        <v>283.6</v>
      </c>
      <c r="Z161" s="23"/>
    </row>
    <row r="162">
      <c r="A162" s="19">
        <v>1029.0</v>
      </c>
      <c r="B162" s="20" t="s">
        <v>987</v>
      </c>
      <c r="C162" s="20" t="s">
        <v>439</v>
      </c>
      <c r="D162" s="20" t="s">
        <v>439</v>
      </c>
      <c r="E162" s="23"/>
      <c r="F162" s="20" t="s">
        <v>441</v>
      </c>
      <c r="G162" s="19">
        <v>1.0</v>
      </c>
      <c r="H162" s="21"/>
      <c r="I162" s="21"/>
      <c r="J162" s="21"/>
      <c r="K162" s="21"/>
      <c r="L162" s="20" t="s">
        <v>442</v>
      </c>
      <c r="M162" s="20" t="s">
        <v>340</v>
      </c>
      <c r="N162" s="20" t="s">
        <v>341</v>
      </c>
      <c r="O162" s="19">
        <v>0.19474736</v>
      </c>
      <c r="P162" s="19">
        <v>52.3751448</v>
      </c>
      <c r="Q162" s="20" t="s">
        <v>443</v>
      </c>
      <c r="R162" s="20" t="s">
        <v>988</v>
      </c>
      <c r="S162" s="20" t="s">
        <v>989</v>
      </c>
      <c r="T162" s="21"/>
      <c r="U162" s="20" t="s">
        <v>547</v>
      </c>
      <c r="V162" s="22">
        <v>140.5</v>
      </c>
      <c r="W162" s="22">
        <v>84.0</v>
      </c>
      <c r="X162" s="22">
        <v>22.0</v>
      </c>
      <c r="Y162" s="22">
        <v>378.4</v>
      </c>
      <c r="Z162" s="22">
        <v>0.598</v>
      </c>
    </row>
    <row r="163">
      <c r="A163" s="19">
        <v>1031.0</v>
      </c>
      <c r="B163" s="20" t="s">
        <v>990</v>
      </c>
      <c r="C163" s="20" t="s">
        <v>176</v>
      </c>
      <c r="D163" s="20" t="s">
        <v>176</v>
      </c>
      <c r="E163" s="20" t="s">
        <v>264</v>
      </c>
      <c r="F163" s="20" t="s">
        <v>203</v>
      </c>
      <c r="G163" s="19">
        <v>0.0</v>
      </c>
      <c r="H163" s="21"/>
      <c r="I163" s="21"/>
      <c r="J163" s="21"/>
      <c r="K163" s="21"/>
      <c r="L163" s="20" t="s">
        <v>991</v>
      </c>
      <c r="M163" s="20" t="s">
        <v>252</v>
      </c>
      <c r="N163" s="20" t="s">
        <v>253</v>
      </c>
      <c r="O163" s="19">
        <v>-1.664199</v>
      </c>
      <c r="P163" s="19">
        <v>53.1605025</v>
      </c>
      <c r="Q163" s="20" t="s">
        <v>180</v>
      </c>
      <c r="R163" s="20" t="s">
        <v>992</v>
      </c>
      <c r="S163" s="20" t="s">
        <v>993</v>
      </c>
      <c r="T163" s="21"/>
      <c r="U163" s="20" t="s">
        <v>456</v>
      </c>
      <c r="V163" s="22">
        <v>193.0</v>
      </c>
      <c r="W163" s="22">
        <v>104.0</v>
      </c>
      <c r="X163" s="22">
        <v>26.0</v>
      </c>
      <c r="Y163" s="22">
        <v>680.0</v>
      </c>
      <c r="Z163" s="22">
        <v>0.539</v>
      </c>
    </row>
    <row r="164">
      <c r="A164" s="19">
        <v>1038.0</v>
      </c>
      <c r="B164" s="20" t="s">
        <v>994</v>
      </c>
      <c r="C164" s="20" t="s">
        <v>439</v>
      </c>
      <c r="D164" s="20" t="s">
        <v>439</v>
      </c>
      <c r="E164" s="20" t="s">
        <v>458</v>
      </c>
      <c r="F164" s="20" t="s">
        <v>441</v>
      </c>
      <c r="G164" s="21"/>
      <c r="H164" s="19">
        <v>1.0</v>
      </c>
      <c r="I164" s="19">
        <v>1.0</v>
      </c>
      <c r="J164" s="21"/>
      <c r="K164" s="21"/>
      <c r="L164" s="20" t="s">
        <v>995</v>
      </c>
      <c r="M164" s="20" t="s">
        <v>595</v>
      </c>
      <c r="N164" s="20" t="s">
        <v>170</v>
      </c>
      <c r="O164" s="19">
        <v>-1.8105758</v>
      </c>
      <c r="P164" s="19">
        <v>51.1352696</v>
      </c>
      <c r="Q164" s="20" t="s">
        <v>443</v>
      </c>
      <c r="R164" s="20" t="s">
        <v>996</v>
      </c>
      <c r="S164" s="20" t="s">
        <v>997</v>
      </c>
      <c r="T164" s="21"/>
      <c r="U164" s="20" t="s">
        <v>462</v>
      </c>
      <c r="V164" s="22">
        <v>97.0</v>
      </c>
      <c r="W164" s="23"/>
      <c r="X164" s="23"/>
      <c r="Y164" s="23"/>
      <c r="Z164" s="23"/>
    </row>
    <row r="165">
      <c r="A165" s="19">
        <v>1040.0</v>
      </c>
      <c r="B165" s="20" t="s">
        <v>998</v>
      </c>
      <c r="C165" s="20" t="s">
        <v>439</v>
      </c>
      <c r="D165" s="20" t="s">
        <v>439</v>
      </c>
      <c r="E165" s="20" t="s">
        <v>440</v>
      </c>
      <c r="F165" s="20" t="s">
        <v>441</v>
      </c>
      <c r="G165" s="19">
        <v>1.0</v>
      </c>
      <c r="H165" s="21"/>
      <c r="I165" s="21"/>
      <c r="J165" s="21"/>
      <c r="K165" s="19">
        <v>1.0</v>
      </c>
      <c r="L165" s="20" t="s">
        <v>999</v>
      </c>
      <c r="M165" s="20" t="s">
        <v>95</v>
      </c>
      <c r="N165" s="20" t="s">
        <v>341</v>
      </c>
      <c r="O165" s="19">
        <v>0.55265971</v>
      </c>
      <c r="P165" s="19">
        <v>52.4668693</v>
      </c>
      <c r="Q165" s="20" t="s">
        <v>443</v>
      </c>
      <c r="R165" s="20" t="s">
        <v>1000</v>
      </c>
      <c r="S165" s="20" t="s">
        <v>1001</v>
      </c>
      <c r="T165" s="21"/>
      <c r="U165" s="20" t="s">
        <v>1002</v>
      </c>
      <c r="V165" s="22">
        <v>86.0</v>
      </c>
      <c r="W165" s="23"/>
      <c r="X165" s="23"/>
      <c r="Y165" s="22">
        <v>127.0</v>
      </c>
      <c r="Z165" s="23"/>
    </row>
    <row r="166">
      <c r="A166" s="19">
        <v>1045.0</v>
      </c>
      <c r="B166" s="20" t="s">
        <v>1003</v>
      </c>
      <c r="C166" s="20" t="s">
        <v>439</v>
      </c>
      <c r="D166" s="20" t="s">
        <v>439</v>
      </c>
      <c r="E166" s="20" t="s">
        <v>441</v>
      </c>
      <c r="F166" s="20" t="s">
        <v>441</v>
      </c>
      <c r="G166" s="21"/>
      <c r="H166" s="19">
        <v>1.0</v>
      </c>
      <c r="I166" s="21"/>
      <c r="J166" s="21"/>
      <c r="K166" s="21"/>
      <c r="L166" s="20" t="s">
        <v>1004</v>
      </c>
      <c r="M166" s="20" t="s">
        <v>95</v>
      </c>
      <c r="N166" s="20" t="s">
        <v>341</v>
      </c>
      <c r="O166" s="19">
        <v>1.24731123</v>
      </c>
      <c r="P166" s="19">
        <v>52.7016467</v>
      </c>
      <c r="Q166" s="20" t="s">
        <v>443</v>
      </c>
      <c r="R166" s="20" t="s">
        <v>1005</v>
      </c>
      <c r="S166" s="20" t="s">
        <v>1006</v>
      </c>
      <c r="T166" s="21"/>
      <c r="U166" s="20" t="s">
        <v>899</v>
      </c>
      <c r="V166" s="22">
        <v>98.5</v>
      </c>
      <c r="W166" s="22">
        <v>66.0</v>
      </c>
      <c r="X166" s="22">
        <v>26.0</v>
      </c>
      <c r="Y166" s="22">
        <v>234.22</v>
      </c>
      <c r="Z166" s="22">
        <v>0.67</v>
      </c>
    </row>
    <row r="167">
      <c r="A167" s="19">
        <v>1049.0</v>
      </c>
      <c r="B167" s="20" t="s">
        <v>1007</v>
      </c>
      <c r="C167" s="20" t="s">
        <v>439</v>
      </c>
      <c r="D167" s="20" t="s">
        <v>439</v>
      </c>
      <c r="E167" s="20" t="s">
        <v>542</v>
      </c>
      <c r="F167" s="20" t="s">
        <v>441</v>
      </c>
      <c r="G167" s="19">
        <v>1.0</v>
      </c>
      <c r="H167" s="21"/>
      <c r="I167" s="19">
        <v>1.0</v>
      </c>
      <c r="J167" s="21"/>
      <c r="K167" s="21"/>
      <c r="L167" s="20" t="s">
        <v>1008</v>
      </c>
      <c r="M167" s="20" t="s">
        <v>366</v>
      </c>
      <c r="N167" s="20" t="s">
        <v>253</v>
      </c>
      <c r="O167" s="19">
        <v>0.21907428</v>
      </c>
      <c r="P167" s="19">
        <v>50.7919457</v>
      </c>
      <c r="Q167" s="20" t="s">
        <v>443</v>
      </c>
      <c r="R167" s="20" t="s">
        <v>1009</v>
      </c>
      <c r="S167" s="20" t="s">
        <v>1010</v>
      </c>
      <c r="T167" s="21"/>
      <c r="U167" s="20" t="s">
        <v>572</v>
      </c>
      <c r="V167" s="22">
        <v>181.5</v>
      </c>
      <c r="W167" s="23"/>
      <c r="X167" s="23"/>
      <c r="Y167" s="22">
        <v>567.0</v>
      </c>
      <c r="Z167" s="23"/>
    </row>
    <row r="168">
      <c r="A168" s="19">
        <v>1050.0</v>
      </c>
      <c r="B168" s="20" t="s">
        <v>1011</v>
      </c>
      <c r="C168" s="20" t="s">
        <v>165</v>
      </c>
      <c r="D168" s="20" t="s">
        <v>165</v>
      </c>
      <c r="E168" s="20" t="s">
        <v>338</v>
      </c>
      <c r="F168" s="20" t="s">
        <v>203</v>
      </c>
      <c r="G168" s="19">
        <v>0.0</v>
      </c>
      <c r="H168" s="21"/>
      <c r="I168" s="21"/>
      <c r="J168" s="21"/>
      <c r="K168" s="21"/>
      <c r="L168" s="20" t="s">
        <v>1012</v>
      </c>
      <c r="M168" s="20" t="s">
        <v>187</v>
      </c>
      <c r="N168" s="20" t="s">
        <v>170</v>
      </c>
      <c r="O168" s="19">
        <v>-3.3444912</v>
      </c>
      <c r="P168" s="19">
        <v>50.8709525</v>
      </c>
      <c r="Q168" s="20" t="s">
        <v>205</v>
      </c>
      <c r="R168" s="20" t="s">
        <v>1013</v>
      </c>
      <c r="S168" s="20" t="s">
        <v>1014</v>
      </c>
      <c r="T168" s="21"/>
      <c r="U168" s="20" t="s">
        <v>219</v>
      </c>
      <c r="V168" s="22">
        <v>139.0</v>
      </c>
      <c r="W168" s="23"/>
      <c r="X168" s="23"/>
      <c r="Y168" s="22">
        <v>401.0</v>
      </c>
      <c r="Z168" s="23"/>
    </row>
    <row r="169">
      <c r="A169" s="19">
        <v>1051.0</v>
      </c>
      <c r="B169" s="20" t="s">
        <v>1015</v>
      </c>
      <c r="C169" s="20" t="s">
        <v>439</v>
      </c>
      <c r="D169" s="20" t="s">
        <v>439</v>
      </c>
      <c r="E169" s="20" t="s">
        <v>499</v>
      </c>
      <c r="F169" s="20" t="s">
        <v>441</v>
      </c>
      <c r="G169" s="21"/>
      <c r="H169" s="19">
        <v>1.0</v>
      </c>
      <c r="I169" s="21"/>
      <c r="J169" s="21"/>
      <c r="K169" s="19">
        <v>1.0</v>
      </c>
      <c r="L169" s="20" t="s">
        <v>1016</v>
      </c>
      <c r="M169" s="20" t="s">
        <v>323</v>
      </c>
      <c r="N169" s="20" t="s">
        <v>253</v>
      </c>
      <c r="O169" s="19">
        <v>-0.2948017</v>
      </c>
      <c r="P169" s="19">
        <v>51.484048</v>
      </c>
      <c r="Q169" s="20" t="s">
        <v>443</v>
      </c>
      <c r="R169" s="20" t="s">
        <v>1017</v>
      </c>
      <c r="S169" s="20" t="s">
        <v>1018</v>
      </c>
      <c r="T169" s="21"/>
      <c r="U169" s="20" t="s">
        <v>822</v>
      </c>
      <c r="V169" s="22">
        <v>100.5</v>
      </c>
      <c r="W169" s="22">
        <v>49.0</v>
      </c>
      <c r="X169" s="22">
        <v>20.0</v>
      </c>
      <c r="Y169" s="23"/>
      <c r="Z169" s="22">
        <v>0.488</v>
      </c>
    </row>
    <row r="170">
      <c r="A170" s="19">
        <v>1052.0</v>
      </c>
      <c r="B170" s="20" t="s">
        <v>1019</v>
      </c>
      <c r="C170" s="20" t="s">
        <v>176</v>
      </c>
      <c r="D170" s="20" t="s">
        <v>176</v>
      </c>
      <c r="E170" s="20" t="s">
        <v>1020</v>
      </c>
      <c r="F170" s="20" t="s">
        <v>178</v>
      </c>
      <c r="G170" s="19">
        <v>0.0</v>
      </c>
      <c r="H170" s="21"/>
      <c r="I170" s="21"/>
      <c r="J170" s="21"/>
      <c r="K170" s="21"/>
      <c r="L170" s="20" t="s">
        <v>1021</v>
      </c>
      <c r="M170" s="20" t="s">
        <v>277</v>
      </c>
      <c r="N170" s="20" t="s">
        <v>170</v>
      </c>
      <c r="O170" s="19">
        <v>-2.4448665</v>
      </c>
      <c r="P170" s="19">
        <v>51.9181834</v>
      </c>
      <c r="Q170" s="20" t="s">
        <v>180</v>
      </c>
      <c r="R170" s="20" t="s">
        <v>1022</v>
      </c>
      <c r="S170" s="20" t="s">
        <v>1023</v>
      </c>
      <c r="T170" s="21"/>
      <c r="U170" s="20" t="s">
        <v>1024</v>
      </c>
      <c r="V170" s="22">
        <v>122.5</v>
      </c>
      <c r="W170" s="22">
        <v>80.0</v>
      </c>
      <c r="X170" s="22">
        <v>33.0</v>
      </c>
      <c r="Y170" s="23"/>
      <c r="Z170" s="22">
        <v>0.653</v>
      </c>
    </row>
    <row r="171">
      <c r="A171" s="19">
        <v>1053.0</v>
      </c>
      <c r="B171" s="20" t="s">
        <v>1025</v>
      </c>
      <c r="C171" s="20" t="s">
        <v>165</v>
      </c>
      <c r="D171" s="20" t="s">
        <v>165</v>
      </c>
      <c r="E171" s="20" t="s">
        <v>408</v>
      </c>
      <c r="F171" s="20" t="s">
        <v>167</v>
      </c>
      <c r="G171" s="19">
        <v>0.0</v>
      </c>
      <c r="H171" s="21"/>
      <c r="I171" s="21"/>
      <c r="J171" s="21"/>
      <c r="K171" s="21"/>
      <c r="L171" s="20" t="s">
        <v>1026</v>
      </c>
      <c r="M171" s="20" t="s">
        <v>354</v>
      </c>
      <c r="N171" s="20" t="s">
        <v>341</v>
      </c>
      <c r="O171" s="19">
        <v>0.88387301</v>
      </c>
      <c r="P171" s="19">
        <v>52.3868602</v>
      </c>
      <c r="Q171" s="20" t="s">
        <v>171</v>
      </c>
      <c r="R171" s="20" t="s">
        <v>1027</v>
      </c>
      <c r="S171" s="20" t="s">
        <v>1028</v>
      </c>
      <c r="T171" s="21"/>
      <c r="U171" s="20" t="s">
        <v>412</v>
      </c>
      <c r="V171" s="22">
        <v>81.0</v>
      </c>
      <c r="W171" s="23"/>
      <c r="X171" s="23"/>
      <c r="Y171" s="23"/>
      <c r="Z171" s="23"/>
    </row>
    <row r="172">
      <c r="A172" s="19">
        <v>1055.0</v>
      </c>
      <c r="B172" s="20" t="s">
        <v>1029</v>
      </c>
      <c r="C172" s="20" t="s">
        <v>439</v>
      </c>
      <c r="D172" s="20" t="s">
        <v>439</v>
      </c>
      <c r="E172" s="20" t="s">
        <v>458</v>
      </c>
      <c r="F172" s="20" t="s">
        <v>441</v>
      </c>
      <c r="G172" s="21"/>
      <c r="H172" s="19">
        <v>1.0</v>
      </c>
      <c r="I172" s="21"/>
      <c r="J172" s="21"/>
      <c r="K172" s="21"/>
      <c r="L172" s="20" t="s">
        <v>1030</v>
      </c>
      <c r="M172" s="20" t="s">
        <v>354</v>
      </c>
      <c r="N172" s="20" t="s">
        <v>341</v>
      </c>
      <c r="O172" s="19">
        <v>0.49130113</v>
      </c>
      <c r="P172" s="19">
        <v>52.4232171</v>
      </c>
      <c r="Q172" s="20" t="s">
        <v>443</v>
      </c>
      <c r="R172" s="20" t="s">
        <v>1031</v>
      </c>
      <c r="S172" s="20" t="s">
        <v>1032</v>
      </c>
      <c r="T172" s="21"/>
      <c r="U172" s="20" t="s">
        <v>1033</v>
      </c>
      <c r="V172" s="22">
        <v>145.5</v>
      </c>
      <c r="W172" s="23"/>
      <c r="X172" s="23"/>
      <c r="Y172" s="23"/>
      <c r="Z172" s="23"/>
    </row>
    <row r="173">
      <c r="A173" s="19">
        <v>1056.0</v>
      </c>
      <c r="B173" s="20" t="s">
        <v>1034</v>
      </c>
      <c r="C173" s="20" t="s">
        <v>439</v>
      </c>
      <c r="D173" s="20" t="s">
        <v>439</v>
      </c>
      <c r="E173" s="20" t="s">
        <v>542</v>
      </c>
      <c r="F173" s="20" t="s">
        <v>441</v>
      </c>
      <c r="G173" s="21"/>
      <c r="H173" s="19">
        <v>1.0</v>
      </c>
      <c r="I173" s="19">
        <v>1.0</v>
      </c>
      <c r="J173" s="21"/>
      <c r="K173" s="21"/>
      <c r="L173" s="20" t="s">
        <v>1035</v>
      </c>
      <c r="M173" s="20" t="s">
        <v>323</v>
      </c>
      <c r="N173" s="20" t="s">
        <v>253</v>
      </c>
      <c r="O173" s="19">
        <v>-0.1217084</v>
      </c>
      <c r="P173" s="19">
        <v>51.4903958</v>
      </c>
      <c r="Q173" s="20" t="s">
        <v>443</v>
      </c>
      <c r="R173" s="20" t="s">
        <v>1036</v>
      </c>
      <c r="S173" s="20" t="s">
        <v>1037</v>
      </c>
      <c r="T173" s="21"/>
      <c r="U173" s="20" t="s">
        <v>1038</v>
      </c>
      <c r="V173" s="22">
        <v>164.0</v>
      </c>
      <c r="W173" s="22">
        <v>87.0</v>
      </c>
      <c r="X173" s="22">
        <v>26.0</v>
      </c>
      <c r="Y173" s="22">
        <v>460.0</v>
      </c>
      <c r="Z173" s="22">
        <v>0.53</v>
      </c>
    </row>
    <row r="174">
      <c r="A174" s="19">
        <v>1058.0</v>
      </c>
      <c r="B174" s="20" t="s">
        <v>1039</v>
      </c>
      <c r="C174" s="20" t="s">
        <v>439</v>
      </c>
      <c r="D174" s="20" t="s">
        <v>439</v>
      </c>
      <c r="E174" s="20" t="s">
        <v>458</v>
      </c>
      <c r="F174" s="20" t="s">
        <v>441</v>
      </c>
      <c r="G174" s="21"/>
      <c r="H174" s="19">
        <v>1.0</v>
      </c>
      <c r="I174" s="21"/>
      <c r="J174" s="19">
        <v>1.0</v>
      </c>
      <c r="K174" s="21"/>
      <c r="L174" s="20" t="s">
        <v>1040</v>
      </c>
      <c r="M174" s="20" t="s">
        <v>616</v>
      </c>
      <c r="N174" s="20" t="s">
        <v>341</v>
      </c>
      <c r="O174" s="19">
        <v>1.41184835</v>
      </c>
      <c r="P174" s="19">
        <v>51.3838229</v>
      </c>
      <c r="Q174" s="20" t="s">
        <v>443</v>
      </c>
      <c r="R174" s="20" t="s">
        <v>1041</v>
      </c>
      <c r="S174" s="20" t="s">
        <v>1042</v>
      </c>
      <c r="T174" s="21"/>
      <c r="U174" s="20" t="s">
        <v>1043</v>
      </c>
      <c r="V174" s="22">
        <v>135.5</v>
      </c>
      <c r="W174" s="23"/>
      <c r="X174" s="23"/>
      <c r="Y174" s="23"/>
      <c r="Z174" s="23"/>
    </row>
    <row r="175">
      <c r="A175" s="19">
        <v>1060.0</v>
      </c>
      <c r="B175" s="20" t="s">
        <v>1044</v>
      </c>
      <c r="C175" s="20" t="s">
        <v>439</v>
      </c>
      <c r="D175" s="20" t="s">
        <v>439</v>
      </c>
      <c r="E175" s="20" t="s">
        <v>559</v>
      </c>
      <c r="F175" s="20" t="s">
        <v>441</v>
      </c>
      <c r="G175" s="21"/>
      <c r="H175" s="19">
        <v>1.0</v>
      </c>
      <c r="I175" s="19">
        <v>1.0</v>
      </c>
      <c r="J175" s="19">
        <v>1.0</v>
      </c>
      <c r="K175" s="21"/>
      <c r="L175" s="20" t="s">
        <v>1045</v>
      </c>
      <c r="M175" s="20" t="s">
        <v>595</v>
      </c>
      <c r="N175" s="20" t="s">
        <v>170</v>
      </c>
      <c r="O175" s="19">
        <v>-1.9619787</v>
      </c>
      <c r="P175" s="19">
        <v>51.2532108</v>
      </c>
      <c r="Q175" s="20" t="s">
        <v>443</v>
      </c>
      <c r="R175" s="20" t="s">
        <v>1046</v>
      </c>
      <c r="S175" s="20" t="s">
        <v>1047</v>
      </c>
      <c r="T175" s="21"/>
      <c r="U175" s="20" t="s">
        <v>1048</v>
      </c>
      <c r="V175" s="22">
        <v>107.5</v>
      </c>
      <c r="W175" s="23"/>
      <c r="X175" s="23"/>
      <c r="Y175" s="23"/>
      <c r="Z175" s="23"/>
    </row>
    <row r="176">
      <c r="A176" s="19">
        <v>1063.0</v>
      </c>
      <c r="B176" s="20" t="s">
        <v>1049</v>
      </c>
      <c r="C176" s="20" t="s">
        <v>439</v>
      </c>
      <c r="D176" s="20" t="s">
        <v>439</v>
      </c>
      <c r="E176" s="20" t="s">
        <v>542</v>
      </c>
      <c r="F176" s="20" t="s">
        <v>441</v>
      </c>
      <c r="G176" s="21"/>
      <c r="H176" s="19">
        <v>1.0</v>
      </c>
      <c r="I176" s="19">
        <v>1.0</v>
      </c>
      <c r="J176" s="19">
        <v>1.0</v>
      </c>
      <c r="K176" s="21"/>
      <c r="L176" s="20" t="s">
        <v>1050</v>
      </c>
      <c r="M176" s="20" t="s">
        <v>366</v>
      </c>
      <c r="N176" s="20" t="s">
        <v>253</v>
      </c>
      <c r="O176" s="19">
        <v>0.00987103</v>
      </c>
      <c r="P176" s="19">
        <v>50.8766811</v>
      </c>
      <c r="Q176" s="20" t="s">
        <v>443</v>
      </c>
      <c r="R176" s="20" t="s">
        <v>1051</v>
      </c>
      <c r="S176" s="20" t="s">
        <v>1052</v>
      </c>
      <c r="T176" s="21"/>
      <c r="U176" s="20" t="s">
        <v>1038</v>
      </c>
      <c r="V176" s="22">
        <v>157.0</v>
      </c>
      <c r="W176" s="23"/>
      <c r="X176" s="23"/>
      <c r="Y176" s="22">
        <v>426.7</v>
      </c>
      <c r="Z176" s="23"/>
    </row>
    <row r="177">
      <c r="A177" s="19">
        <v>1065.0</v>
      </c>
      <c r="B177" s="20" t="s">
        <v>1053</v>
      </c>
      <c r="C177" s="20" t="s">
        <v>439</v>
      </c>
      <c r="D177" s="20" t="s">
        <v>439</v>
      </c>
      <c r="E177" s="20" t="s">
        <v>1054</v>
      </c>
      <c r="F177" s="20" t="s">
        <v>441</v>
      </c>
      <c r="G177" s="21"/>
      <c r="H177" s="19">
        <v>1.0</v>
      </c>
      <c r="I177" s="21"/>
      <c r="J177" s="19">
        <v>1.0</v>
      </c>
      <c r="K177" s="21"/>
      <c r="L177" s="20" t="s">
        <v>1055</v>
      </c>
      <c r="M177" s="20" t="s">
        <v>95</v>
      </c>
      <c r="N177" s="20" t="s">
        <v>341</v>
      </c>
      <c r="O177" s="19">
        <v>0.50854319</v>
      </c>
      <c r="P177" s="19">
        <v>52.4678135</v>
      </c>
      <c r="Q177" s="20" t="s">
        <v>443</v>
      </c>
      <c r="R177" s="20" t="s">
        <v>1056</v>
      </c>
      <c r="S177" s="20" t="s">
        <v>1057</v>
      </c>
      <c r="T177" s="21"/>
      <c r="U177" s="20" t="s">
        <v>899</v>
      </c>
      <c r="V177" s="22">
        <v>194.0</v>
      </c>
      <c r="W177" s="23"/>
      <c r="X177" s="23"/>
      <c r="Y177" s="23"/>
      <c r="Z177" s="23"/>
    </row>
    <row r="178">
      <c r="A178" s="19">
        <v>1066.0</v>
      </c>
      <c r="B178" s="20" t="s">
        <v>1058</v>
      </c>
      <c r="C178" s="20" t="s">
        <v>439</v>
      </c>
      <c r="D178" s="20" t="s">
        <v>439</v>
      </c>
      <c r="E178" s="20" t="s">
        <v>542</v>
      </c>
      <c r="F178" s="20" t="s">
        <v>441</v>
      </c>
      <c r="G178" s="19">
        <v>1.0</v>
      </c>
      <c r="H178" s="19">
        <v>1.0</v>
      </c>
      <c r="I178" s="19">
        <v>1.0</v>
      </c>
      <c r="J178" s="19">
        <v>1.0</v>
      </c>
      <c r="K178" s="21"/>
      <c r="L178" s="20" t="s">
        <v>1059</v>
      </c>
      <c r="M178" s="20" t="s">
        <v>554</v>
      </c>
      <c r="N178" s="20" t="s">
        <v>253</v>
      </c>
      <c r="O178" s="19">
        <v>-0.8959372</v>
      </c>
      <c r="P178" s="19">
        <v>51.041638</v>
      </c>
      <c r="Q178" s="20" t="s">
        <v>443</v>
      </c>
      <c r="R178" s="20" t="s">
        <v>1060</v>
      </c>
      <c r="S178" s="20" t="s">
        <v>1061</v>
      </c>
      <c r="T178" s="21"/>
      <c r="U178" s="20" t="s">
        <v>572</v>
      </c>
      <c r="V178" s="22">
        <v>150.0</v>
      </c>
      <c r="W178" s="22">
        <v>85.0</v>
      </c>
      <c r="X178" s="22">
        <v>20.5</v>
      </c>
      <c r="Y178" s="22">
        <v>383.9</v>
      </c>
      <c r="Z178" s="22">
        <v>0.567</v>
      </c>
    </row>
    <row r="179">
      <c r="A179" s="19">
        <v>1068.0</v>
      </c>
      <c r="B179" s="20" t="s">
        <v>1062</v>
      </c>
      <c r="C179" s="20" t="s">
        <v>439</v>
      </c>
      <c r="D179" s="20" t="s">
        <v>439</v>
      </c>
      <c r="E179" s="20" t="s">
        <v>458</v>
      </c>
      <c r="F179" s="20" t="s">
        <v>441</v>
      </c>
      <c r="G179" s="21"/>
      <c r="H179" s="19">
        <v>1.0</v>
      </c>
      <c r="I179" s="21"/>
      <c r="J179" s="19">
        <v>1.0</v>
      </c>
      <c r="K179" s="21"/>
      <c r="L179" s="20" t="s">
        <v>1063</v>
      </c>
      <c r="M179" s="20" t="s">
        <v>366</v>
      </c>
      <c r="N179" s="20" t="s">
        <v>253</v>
      </c>
      <c r="O179" s="19">
        <v>0.22465487</v>
      </c>
      <c r="P179" s="19">
        <v>50.8048805</v>
      </c>
      <c r="Q179" s="20" t="s">
        <v>443</v>
      </c>
      <c r="R179" s="20" t="s">
        <v>1064</v>
      </c>
      <c r="S179" s="20" t="s">
        <v>1065</v>
      </c>
      <c r="T179" s="21"/>
      <c r="U179" s="20" t="s">
        <v>462</v>
      </c>
      <c r="V179" s="22">
        <v>92.0</v>
      </c>
      <c r="W179" s="23"/>
      <c r="X179" s="23"/>
      <c r="Y179" s="23"/>
      <c r="Z179" s="23"/>
    </row>
    <row r="180">
      <c r="A180" s="19">
        <v>1069.0</v>
      </c>
      <c r="B180" s="20" t="s">
        <v>1066</v>
      </c>
      <c r="C180" s="20" t="s">
        <v>439</v>
      </c>
      <c r="D180" s="20" t="s">
        <v>439</v>
      </c>
      <c r="E180" s="20" t="s">
        <v>440</v>
      </c>
      <c r="F180" s="20" t="s">
        <v>441</v>
      </c>
      <c r="G180" s="21"/>
      <c r="H180" s="19">
        <v>1.0</v>
      </c>
      <c r="I180" s="21"/>
      <c r="J180" s="21"/>
      <c r="K180" s="19">
        <v>1.0</v>
      </c>
      <c r="L180" s="20" t="s">
        <v>1067</v>
      </c>
      <c r="M180" s="20" t="s">
        <v>95</v>
      </c>
      <c r="N180" s="20" t="s">
        <v>341</v>
      </c>
      <c r="O180" s="19">
        <v>0.56941008</v>
      </c>
      <c r="P180" s="19">
        <v>52.690861</v>
      </c>
      <c r="Q180" s="20" t="s">
        <v>443</v>
      </c>
      <c r="R180" s="20" t="s">
        <v>1068</v>
      </c>
      <c r="S180" s="20" t="s">
        <v>1069</v>
      </c>
      <c r="T180" s="21"/>
      <c r="U180" s="20" t="s">
        <v>854</v>
      </c>
      <c r="V180" s="22">
        <v>94.5</v>
      </c>
      <c r="W180" s="22">
        <v>47.0</v>
      </c>
      <c r="X180" s="22">
        <v>18.0</v>
      </c>
      <c r="Y180" s="23"/>
      <c r="Z180" s="22">
        <v>0.497</v>
      </c>
    </row>
    <row r="181">
      <c r="A181" s="19">
        <v>1070.0</v>
      </c>
      <c r="B181" s="20" t="s">
        <v>1070</v>
      </c>
      <c r="C181" s="20" t="s">
        <v>439</v>
      </c>
      <c r="D181" s="20" t="s">
        <v>439</v>
      </c>
      <c r="E181" s="20" t="s">
        <v>559</v>
      </c>
      <c r="F181" s="20" t="s">
        <v>441</v>
      </c>
      <c r="G181" s="19">
        <v>1.0</v>
      </c>
      <c r="H181" s="21"/>
      <c r="I181" s="19">
        <v>1.0</v>
      </c>
      <c r="J181" s="21"/>
      <c r="K181" s="19">
        <v>1.0</v>
      </c>
      <c r="L181" s="20" t="s">
        <v>339</v>
      </c>
      <c r="M181" s="20" t="s">
        <v>340</v>
      </c>
      <c r="N181" s="20" t="s">
        <v>341</v>
      </c>
      <c r="O181" s="19">
        <v>0.31640059</v>
      </c>
      <c r="P181" s="19">
        <v>52.4537498</v>
      </c>
      <c r="Q181" s="20" t="s">
        <v>443</v>
      </c>
      <c r="R181" s="20" t="s">
        <v>1071</v>
      </c>
      <c r="S181" s="20" t="s">
        <v>1072</v>
      </c>
      <c r="T181" s="21"/>
      <c r="U181" s="20" t="s">
        <v>1073</v>
      </c>
      <c r="V181" s="22">
        <v>104.0</v>
      </c>
      <c r="W181" s="23"/>
      <c r="X181" s="23"/>
      <c r="Y181" s="23"/>
      <c r="Z181" s="23"/>
    </row>
    <row r="182">
      <c r="A182" s="19">
        <v>1071.0</v>
      </c>
      <c r="B182" s="20" t="s">
        <v>1074</v>
      </c>
      <c r="C182" s="20" t="s">
        <v>439</v>
      </c>
      <c r="D182" s="20" t="s">
        <v>439</v>
      </c>
      <c r="E182" s="20" t="s">
        <v>1054</v>
      </c>
      <c r="F182" s="20" t="s">
        <v>441</v>
      </c>
      <c r="G182" s="21"/>
      <c r="H182" s="19">
        <v>1.0</v>
      </c>
      <c r="I182" s="19">
        <v>1.0</v>
      </c>
      <c r="J182" s="21"/>
      <c r="K182" s="21"/>
      <c r="L182" s="20" t="s">
        <v>647</v>
      </c>
      <c r="M182" s="20" t="s">
        <v>340</v>
      </c>
      <c r="N182" s="20" t="s">
        <v>341</v>
      </c>
      <c r="O182" s="19">
        <v>0.24707929</v>
      </c>
      <c r="P182" s="19">
        <v>52.2482737</v>
      </c>
      <c r="Q182" s="20" t="s">
        <v>443</v>
      </c>
      <c r="R182" s="20" t="s">
        <v>1075</v>
      </c>
      <c r="S182" s="20" t="s">
        <v>1076</v>
      </c>
      <c r="T182" s="21"/>
      <c r="U182" s="20" t="s">
        <v>899</v>
      </c>
      <c r="V182" s="22">
        <v>74.0</v>
      </c>
      <c r="W182" s="22">
        <v>54.0</v>
      </c>
      <c r="X182" s="23"/>
      <c r="Y182" s="22">
        <v>115.22</v>
      </c>
      <c r="Z182" s="22">
        <v>0.73</v>
      </c>
    </row>
    <row r="183">
      <c r="A183" s="19">
        <v>1072.0</v>
      </c>
      <c r="B183" s="20" t="s">
        <v>1077</v>
      </c>
      <c r="C183" s="20" t="s">
        <v>439</v>
      </c>
      <c r="D183" s="20" t="s">
        <v>439</v>
      </c>
      <c r="E183" s="20" t="s">
        <v>614</v>
      </c>
      <c r="F183" s="20" t="s">
        <v>441</v>
      </c>
      <c r="G183" s="21"/>
      <c r="H183" s="19">
        <v>1.0</v>
      </c>
      <c r="I183" s="21"/>
      <c r="J183" s="21"/>
      <c r="K183" s="19">
        <v>1.0</v>
      </c>
      <c r="L183" s="20" t="s">
        <v>1078</v>
      </c>
      <c r="M183" s="20" t="s">
        <v>366</v>
      </c>
      <c r="N183" s="20" t="s">
        <v>253</v>
      </c>
      <c r="O183" s="19">
        <v>-0.0337314</v>
      </c>
      <c r="P183" s="19">
        <v>50.8032271</v>
      </c>
      <c r="Q183" s="20" t="s">
        <v>443</v>
      </c>
      <c r="R183" s="20" t="s">
        <v>1079</v>
      </c>
      <c r="S183" s="20" t="s">
        <v>1080</v>
      </c>
      <c r="T183" s="21"/>
      <c r="U183" s="20" t="s">
        <v>807</v>
      </c>
      <c r="V183" s="22">
        <v>86.0</v>
      </c>
      <c r="W183" s="22">
        <v>43.0</v>
      </c>
      <c r="X183" s="23"/>
      <c r="Y183" s="23"/>
      <c r="Z183" s="22">
        <v>0.5</v>
      </c>
    </row>
    <row r="184">
      <c r="A184" s="19">
        <v>1073.0</v>
      </c>
      <c r="B184" s="20" t="s">
        <v>1081</v>
      </c>
      <c r="C184" s="20" t="s">
        <v>165</v>
      </c>
      <c r="D184" s="20" t="s">
        <v>165</v>
      </c>
      <c r="E184" s="20" t="s">
        <v>316</v>
      </c>
      <c r="F184" s="20" t="s">
        <v>178</v>
      </c>
      <c r="G184" s="19">
        <v>0.0</v>
      </c>
      <c r="H184" s="21"/>
      <c r="I184" s="21"/>
      <c r="J184" s="21"/>
      <c r="K184" s="21"/>
      <c r="L184" s="20" t="s">
        <v>1082</v>
      </c>
      <c r="M184" s="20" t="s">
        <v>554</v>
      </c>
      <c r="N184" s="20" t="s">
        <v>253</v>
      </c>
      <c r="O184" s="19">
        <v>-1.4796012</v>
      </c>
      <c r="P184" s="19">
        <v>51.1446069</v>
      </c>
      <c r="Q184" s="20" t="s">
        <v>205</v>
      </c>
      <c r="R184" s="20" t="s">
        <v>1083</v>
      </c>
      <c r="S184" s="20" t="s">
        <v>1084</v>
      </c>
      <c r="T184" s="21"/>
      <c r="U184" s="20" t="s">
        <v>1085</v>
      </c>
      <c r="V184" s="22">
        <v>168.0</v>
      </c>
      <c r="W184" s="23"/>
      <c r="X184" s="23"/>
      <c r="Y184" s="23"/>
      <c r="Z184" s="23"/>
    </row>
    <row r="185">
      <c r="A185" s="19">
        <v>1074.0</v>
      </c>
      <c r="B185" s="20" t="s">
        <v>1086</v>
      </c>
      <c r="C185" s="20" t="s">
        <v>165</v>
      </c>
      <c r="D185" s="20" t="s">
        <v>165</v>
      </c>
      <c r="E185" s="20" t="s">
        <v>178</v>
      </c>
      <c r="F185" s="20" t="s">
        <v>178</v>
      </c>
      <c r="G185" s="19">
        <v>0.0</v>
      </c>
      <c r="H185" s="21"/>
      <c r="I185" s="21"/>
      <c r="J185" s="21"/>
      <c r="K185" s="21"/>
      <c r="L185" s="20" t="s">
        <v>1087</v>
      </c>
      <c r="M185" s="20" t="s">
        <v>354</v>
      </c>
      <c r="N185" s="20" t="s">
        <v>341</v>
      </c>
      <c r="O185" s="19">
        <v>0.903202</v>
      </c>
      <c r="P185" s="19">
        <v>52.00867</v>
      </c>
      <c r="Q185" s="23"/>
      <c r="R185" s="20" t="s">
        <v>1088</v>
      </c>
      <c r="S185" s="20" t="s">
        <v>1089</v>
      </c>
      <c r="T185" s="21"/>
      <c r="U185" s="20" t="s">
        <v>953</v>
      </c>
      <c r="V185" s="22">
        <v>168.0</v>
      </c>
      <c r="W185" s="23"/>
      <c r="X185" s="23"/>
      <c r="Y185" s="23"/>
      <c r="Z185" s="23"/>
    </row>
    <row r="186">
      <c r="A186" s="19">
        <v>1077.0</v>
      </c>
      <c r="B186" s="20" t="s">
        <v>1090</v>
      </c>
      <c r="C186" s="20" t="s">
        <v>165</v>
      </c>
      <c r="D186" s="20" t="s">
        <v>165</v>
      </c>
      <c r="E186" s="20" t="s">
        <v>359</v>
      </c>
      <c r="F186" s="20" t="s">
        <v>178</v>
      </c>
      <c r="G186" s="19">
        <v>0.0</v>
      </c>
      <c r="H186" s="21"/>
      <c r="I186" s="21"/>
      <c r="J186" s="21"/>
      <c r="K186" s="21"/>
      <c r="L186" s="20" t="s">
        <v>1091</v>
      </c>
      <c r="M186" s="20" t="s">
        <v>297</v>
      </c>
      <c r="N186" s="20" t="s">
        <v>253</v>
      </c>
      <c r="O186" s="19">
        <v>-0.6832593</v>
      </c>
      <c r="P186" s="19">
        <v>51.4980447</v>
      </c>
      <c r="Q186" s="20" t="s">
        <v>205</v>
      </c>
      <c r="R186" s="20" t="s">
        <v>1092</v>
      </c>
      <c r="S186" s="20" t="s">
        <v>1093</v>
      </c>
      <c r="T186" s="21"/>
      <c r="U186" s="20" t="s">
        <v>363</v>
      </c>
      <c r="V186" s="22">
        <v>161.5</v>
      </c>
      <c r="W186" s="23"/>
      <c r="X186" s="23"/>
      <c r="Y186" s="22">
        <v>560.0</v>
      </c>
      <c r="Z186" s="23"/>
    </row>
    <row r="187">
      <c r="A187" s="19">
        <v>1079.0</v>
      </c>
      <c r="B187" s="20" t="s">
        <v>1094</v>
      </c>
      <c r="C187" s="20" t="s">
        <v>439</v>
      </c>
      <c r="D187" s="20" t="s">
        <v>439</v>
      </c>
      <c r="E187" s="20" t="s">
        <v>516</v>
      </c>
      <c r="F187" s="20" t="s">
        <v>441</v>
      </c>
      <c r="G187" s="21"/>
      <c r="H187" s="21"/>
      <c r="I187" s="19">
        <v>1.0</v>
      </c>
      <c r="J187" s="19">
        <v>1.0</v>
      </c>
      <c r="K187" s="21"/>
      <c r="L187" s="20" t="s">
        <v>1095</v>
      </c>
      <c r="M187" s="20" t="s">
        <v>340</v>
      </c>
      <c r="N187" s="20" t="s">
        <v>341</v>
      </c>
      <c r="O187" s="19">
        <v>0.08579114</v>
      </c>
      <c r="P187" s="19">
        <v>52.5569485</v>
      </c>
      <c r="Q187" s="20" t="s">
        <v>443</v>
      </c>
      <c r="R187" s="20" t="s">
        <v>1096</v>
      </c>
      <c r="S187" s="20" t="s">
        <v>1097</v>
      </c>
      <c r="T187" s="21"/>
      <c r="U187" s="20" t="s">
        <v>904</v>
      </c>
      <c r="V187" s="22">
        <v>86.0</v>
      </c>
      <c r="W187" s="22">
        <v>47.0</v>
      </c>
      <c r="X187" s="22">
        <v>21.0</v>
      </c>
      <c r="Y187" s="22">
        <v>144.4</v>
      </c>
      <c r="Z187" s="22">
        <v>0.547</v>
      </c>
    </row>
    <row r="188">
      <c r="A188" s="19">
        <v>1080.0</v>
      </c>
      <c r="B188" s="20" t="s">
        <v>1098</v>
      </c>
      <c r="C188" s="20" t="s">
        <v>176</v>
      </c>
      <c r="D188" s="20" t="s">
        <v>176</v>
      </c>
      <c r="E188" s="20" t="s">
        <v>177</v>
      </c>
      <c r="F188" s="20" t="s">
        <v>178</v>
      </c>
      <c r="G188" s="19">
        <v>0.0</v>
      </c>
      <c r="H188" s="21"/>
      <c r="I188" s="21"/>
      <c r="J188" s="21"/>
      <c r="K188" s="21"/>
      <c r="L188" s="20" t="s">
        <v>1099</v>
      </c>
      <c r="M188" s="20" t="s">
        <v>252</v>
      </c>
      <c r="N188" s="20" t="s">
        <v>253</v>
      </c>
      <c r="O188" s="19">
        <v>-1.6523919</v>
      </c>
      <c r="P188" s="19">
        <v>52.862477</v>
      </c>
      <c r="Q188" s="20" t="s">
        <v>180</v>
      </c>
      <c r="R188" s="20" t="s">
        <v>1100</v>
      </c>
      <c r="S188" s="20" t="s">
        <v>1101</v>
      </c>
      <c r="T188" s="21"/>
      <c r="U188" s="20" t="s">
        <v>183</v>
      </c>
      <c r="V188" s="22">
        <v>136.0</v>
      </c>
      <c r="W188" s="23"/>
      <c r="X188" s="23"/>
      <c r="Y188" s="22">
        <v>250.0</v>
      </c>
      <c r="Z188" s="23"/>
    </row>
    <row r="189">
      <c r="A189" s="19">
        <v>1081.0</v>
      </c>
      <c r="B189" s="20" t="s">
        <v>1102</v>
      </c>
      <c r="C189" s="20" t="s">
        <v>439</v>
      </c>
      <c r="D189" s="20" t="s">
        <v>439</v>
      </c>
      <c r="E189" s="20" t="s">
        <v>542</v>
      </c>
      <c r="F189" s="20" t="s">
        <v>441</v>
      </c>
      <c r="G189" s="21"/>
      <c r="H189" s="19">
        <v>1.0</v>
      </c>
      <c r="I189" s="21"/>
      <c r="J189" s="19">
        <v>1.0</v>
      </c>
      <c r="K189" s="21"/>
      <c r="L189" s="20" t="s">
        <v>1103</v>
      </c>
      <c r="M189" s="20" t="s">
        <v>544</v>
      </c>
      <c r="N189" s="20" t="s">
        <v>253</v>
      </c>
      <c r="O189" s="19">
        <v>-0.8405454</v>
      </c>
      <c r="P189" s="19">
        <v>51.544664</v>
      </c>
      <c r="Q189" s="20" t="s">
        <v>443</v>
      </c>
      <c r="R189" s="20" t="s">
        <v>1104</v>
      </c>
      <c r="S189" s="20" t="s">
        <v>1105</v>
      </c>
      <c r="T189" s="21"/>
      <c r="U189" s="20" t="s">
        <v>1106</v>
      </c>
      <c r="V189" s="22">
        <v>112.0</v>
      </c>
      <c r="W189" s="22">
        <v>62.0</v>
      </c>
      <c r="X189" s="23"/>
      <c r="Y189" s="22">
        <v>155.8</v>
      </c>
      <c r="Z189" s="22">
        <v>0.554</v>
      </c>
    </row>
    <row r="190">
      <c r="A190" s="19">
        <v>1082.0</v>
      </c>
      <c r="B190" s="20" t="s">
        <v>1107</v>
      </c>
      <c r="C190" s="20" t="s">
        <v>176</v>
      </c>
      <c r="D190" s="20" t="s">
        <v>176</v>
      </c>
      <c r="E190" s="20" t="s">
        <v>177</v>
      </c>
      <c r="F190" s="20" t="s">
        <v>178</v>
      </c>
      <c r="G190" s="19">
        <v>0.0</v>
      </c>
      <c r="H190" s="21"/>
      <c r="I190" s="21"/>
      <c r="J190" s="21"/>
      <c r="K190" s="21"/>
      <c r="L190" s="20" t="s">
        <v>1108</v>
      </c>
      <c r="M190" s="20" t="s">
        <v>616</v>
      </c>
      <c r="N190" s="20" t="s">
        <v>341</v>
      </c>
      <c r="O190" s="19">
        <v>0.51451776</v>
      </c>
      <c r="P190" s="19">
        <v>51.2716247</v>
      </c>
      <c r="Q190" s="20" t="s">
        <v>180</v>
      </c>
      <c r="R190" s="20" t="s">
        <v>1109</v>
      </c>
      <c r="S190" s="20" t="s">
        <v>1110</v>
      </c>
      <c r="T190" s="21"/>
      <c r="U190" s="20" t="s">
        <v>664</v>
      </c>
      <c r="V190" s="22">
        <v>130.5</v>
      </c>
      <c r="W190" s="23"/>
      <c r="X190" s="23"/>
      <c r="Y190" s="22">
        <v>270.0</v>
      </c>
      <c r="Z190" s="23"/>
    </row>
    <row r="191">
      <c r="A191" s="19">
        <v>1083.0</v>
      </c>
      <c r="B191" s="20" t="s">
        <v>1111</v>
      </c>
      <c r="C191" s="20" t="s">
        <v>439</v>
      </c>
      <c r="D191" s="20" t="s">
        <v>439</v>
      </c>
      <c r="E191" s="20" t="s">
        <v>516</v>
      </c>
      <c r="F191" s="20" t="s">
        <v>441</v>
      </c>
      <c r="G191" s="19">
        <v>1.0</v>
      </c>
      <c r="H191" s="21"/>
      <c r="I191" s="21"/>
      <c r="J191" s="21"/>
      <c r="K191" s="19">
        <v>1.0</v>
      </c>
      <c r="L191" s="20" t="s">
        <v>113</v>
      </c>
      <c r="M191" s="20" t="s">
        <v>95</v>
      </c>
      <c r="N191" s="20" t="s">
        <v>341</v>
      </c>
      <c r="O191" s="19">
        <v>0.49739881</v>
      </c>
      <c r="P191" s="19">
        <v>52.5309943</v>
      </c>
      <c r="Q191" s="20" t="s">
        <v>443</v>
      </c>
      <c r="R191" s="20" t="s">
        <v>1112</v>
      </c>
      <c r="S191" s="20" t="s">
        <v>1113</v>
      </c>
      <c r="T191" s="21"/>
      <c r="U191" s="20" t="s">
        <v>1114</v>
      </c>
      <c r="V191" s="22">
        <v>96.0</v>
      </c>
      <c r="W191" s="22">
        <v>61.0</v>
      </c>
      <c r="X191" s="22">
        <v>24.0</v>
      </c>
      <c r="Y191" s="22">
        <v>224.0</v>
      </c>
      <c r="Z191" s="22">
        <v>0.635</v>
      </c>
    </row>
    <row r="192">
      <c r="A192" s="19">
        <v>1084.0</v>
      </c>
      <c r="B192" s="20" t="s">
        <v>1115</v>
      </c>
      <c r="C192" s="20" t="s">
        <v>439</v>
      </c>
      <c r="D192" s="20" t="s">
        <v>439</v>
      </c>
      <c r="E192" s="20" t="s">
        <v>559</v>
      </c>
      <c r="F192" s="20" t="s">
        <v>441</v>
      </c>
      <c r="G192" s="21"/>
      <c r="H192" s="21"/>
      <c r="I192" s="21"/>
      <c r="J192" s="19">
        <v>1.0</v>
      </c>
      <c r="K192" s="21"/>
      <c r="L192" s="20" t="s">
        <v>1116</v>
      </c>
      <c r="M192" s="20" t="s">
        <v>95</v>
      </c>
      <c r="N192" s="20" t="s">
        <v>341</v>
      </c>
      <c r="O192" s="19">
        <v>0.55160426</v>
      </c>
      <c r="P192" s="19">
        <v>52.523678</v>
      </c>
      <c r="Q192" s="20" t="s">
        <v>443</v>
      </c>
      <c r="R192" s="20" t="s">
        <v>1117</v>
      </c>
      <c r="S192" s="20" t="s">
        <v>1118</v>
      </c>
      <c r="T192" s="21"/>
      <c r="U192" s="20" t="s">
        <v>567</v>
      </c>
      <c r="V192" s="22">
        <v>91.0</v>
      </c>
      <c r="W192" s="22">
        <v>50.0</v>
      </c>
      <c r="X192" s="22">
        <v>18.0</v>
      </c>
      <c r="Y192" s="22">
        <v>146.0</v>
      </c>
      <c r="Z192" s="22">
        <v>0.549</v>
      </c>
    </row>
    <row r="193">
      <c r="A193" s="19">
        <v>1088.0</v>
      </c>
      <c r="B193" s="20" t="s">
        <v>1119</v>
      </c>
      <c r="C193" s="20" t="s">
        <v>439</v>
      </c>
      <c r="D193" s="20" t="s">
        <v>439</v>
      </c>
      <c r="E193" s="20" t="s">
        <v>440</v>
      </c>
      <c r="F193" s="20" t="s">
        <v>441</v>
      </c>
      <c r="G193" s="19">
        <v>1.0</v>
      </c>
      <c r="H193" s="21"/>
      <c r="I193" s="21"/>
      <c r="J193" s="19">
        <v>1.0</v>
      </c>
      <c r="K193" s="19">
        <v>1.0</v>
      </c>
      <c r="L193" s="20" t="s">
        <v>1120</v>
      </c>
      <c r="M193" s="20" t="s">
        <v>197</v>
      </c>
      <c r="N193" s="20" t="s">
        <v>170</v>
      </c>
      <c r="O193" s="19">
        <v>-3.2571444</v>
      </c>
      <c r="P193" s="19">
        <v>51.0332068</v>
      </c>
      <c r="Q193" s="20" t="s">
        <v>443</v>
      </c>
      <c r="R193" s="20" t="s">
        <v>1121</v>
      </c>
      <c r="S193" s="20" t="s">
        <v>1122</v>
      </c>
      <c r="T193" s="21"/>
      <c r="U193" s="20" t="s">
        <v>1123</v>
      </c>
      <c r="V193" s="22">
        <v>131.0</v>
      </c>
      <c r="W193" s="23"/>
      <c r="X193" s="23"/>
      <c r="Y193" s="22">
        <v>347.0</v>
      </c>
      <c r="Z193" s="23"/>
    </row>
    <row r="194">
      <c r="A194" s="19">
        <v>1089.0</v>
      </c>
      <c r="B194" s="20" t="s">
        <v>1124</v>
      </c>
      <c r="C194" s="20" t="s">
        <v>439</v>
      </c>
      <c r="D194" s="20" t="s">
        <v>439</v>
      </c>
      <c r="E194" s="20" t="s">
        <v>440</v>
      </c>
      <c r="F194" s="20" t="s">
        <v>441</v>
      </c>
      <c r="G194" s="19">
        <v>1.0</v>
      </c>
      <c r="H194" s="21"/>
      <c r="I194" s="19">
        <v>1.0</v>
      </c>
      <c r="J194" s="19">
        <v>1.0</v>
      </c>
      <c r="K194" s="19">
        <v>1.0</v>
      </c>
      <c r="L194" s="20" t="s">
        <v>1120</v>
      </c>
      <c r="M194" s="20" t="s">
        <v>197</v>
      </c>
      <c r="N194" s="20" t="s">
        <v>170</v>
      </c>
      <c r="O194" s="19">
        <v>-3.2571444</v>
      </c>
      <c r="P194" s="19">
        <v>51.0332068</v>
      </c>
      <c r="Q194" s="20" t="s">
        <v>443</v>
      </c>
      <c r="R194" s="20" t="s">
        <v>1125</v>
      </c>
      <c r="S194" s="20" t="s">
        <v>1126</v>
      </c>
      <c r="T194" s="21"/>
      <c r="U194" s="20" t="s">
        <v>1127</v>
      </c>
      <c r="V194" s="22">
        <v>131.0</v>
      </c>
      <c r="W194" s="23"/>
      <c r="X194" s="23"/>
      <c r="Y194" s="22">
        <v>367.0</v>
      </c>
      <c r="Z194" s="23"/>
    </row>
    <row r="195">
      <c r="A195" s="19">
        <v>1090.0</v>
      </c>
      <c r="B195" s="20" t="s">
        <v>1128</v>
      </c>
      <c r="C195" s="20" t="s">
        <v>439</v>
      </c>
      <c r="D195" s="20" t="s">
        <v>439</v>
      </c>
      <c r="E195" s="20" t="s">
        <v>542</v>
      </c>
      <c r="F195" s="20" t="s">
        <v>441</v>
      </c>
      <c r="G195" s="19">
        <v>1.0</v>
      </c>
      <c r="H195" s="21"/>
      <c r="I195" s="19">
        <v>1.0</v>
      </c>
      <c r="J195" s="21"/>
      <c r="K195" s="21"/>
      <c r="L195" s="20" t="s">
        <v>1120</v>
      </c>
      <c r="M195" s="20" t="s">
        <v>197</v>
      </c>
      <c r="N195" s="20" t="s">
        <v>170</v>
      </c>
      <c r="O195" s="19">
        <v>-3.2571444</v>
      </c>
      <c r="P195" s="19">
        <v>51.0332068</v>
      </c>
      <c r="Q195" s="20" t="s">
        <v>443</v>
      </c>
      <c r="R195" s="20" t="s">
        <v>1129</v>
      </c>
      <c r="S195" s="20" t="s">
        <v>1130</v>
      </c>
      <c r="T195" s="21"/>
      <c r="U195" s="20" t="s">
        <v>859</v>
      </c>
      <c r="V195" s="22">
        <v>121.0</v>
      </c>
      <c r="W195" s="23"/>
      <c r="X195" s="23"/>
      <c r="Y195" s="22">
        <v>219.0</v>
      </c>
      <c r="Z195" s="23"/>
    </row>
    <row r="196">
      <c r="A196" s="19">
        <v>1091.0</v>
      </c>
      <c r="B196" s="20" t="s">
        <v>1131</v>
      </c>
      <c r="C196" s="20" t="s">
        <v>439</v>
      </c>
      <c r="D196" s="20" t="s">
        <v>439</v>
      </c>
      <c r="E196" s="20" t="s">
        <v>458</v>
      </c>
      <c r="F196" s="20" t="s">
        <v>441</v>
      </c>
      <c r="G196" s="21"/>
      <c r="H196" s="19">
        <v>1.0</v>
      </c>
      <c r="I196" s="19">
        <v>1.0</v>
      </c>
      <c r="J196" s="21"/>
      <c r="K196" s="21"/>
      <c r="L196" s="20" t="s">
        <v>1132</v>
      </c>
      <c r="M196" s="20" t="s">
        <v>561</v>
      </c>
      <c r="N196" s="20" t="s">
        <v>253</v>
      </c>
      <c r="O196" s="19">
        <v>-1.5355804</v>
      </c>
      <c r="P196" s="19">
        <v>50.6713456</v>
      </c>
      <c r="Q196" s="20" t="s">
        <v>443</v>
      </c>
      <c r="R196" s="20" t="s">
        <v>1133</v>
      </c>
      <c r="S196" s="20" t="s">
        <v>1134</v>
      </c>
      <c r="T196" s="21"/>
      <c r="U196" s="20" t="s">
        <v>893</v>
      </c>
      <c r="V196" s="22">
        <v>124.0</v>
      </c>
      <c r="W196" s="23"/>
      <c r="X196" s="23"/>
      <c r="Y196" s="23"/>
      <c r="Z196" s="23"/>
    </row>
    <row r="197">
      <c r="A197" s="19">
        <v>1092.0</v>
      </c>
      <c r="B197" s="20" t="s">
        <v>1135</v>
      </c>
      <c r="C197" s="20" t="s">
        <v>439</v>
      </c>
      <c r="D197" s="20" t="s">
        <v>439</v>
      </c>
      <c r="E197" s="20" t="s">
        <v>740</v>
      </c>
      <c r="F197" s="20" t="s">
        <v>441</v>
      </c>
      <c r="G197" s="21"/>
      <c r="H197" s="19">
        <v>1.0</v>
      </c>
      <c r="I197" s="19">
        <v>1.0</v>
      </c>
      <c r="J197" s="21"/>
      <c r="K197" s="21"/>
      <c r="L197" s="20" t="s">
        <v>1132</v>
      </c>
      <c r="M197" s="20" t="s">
        <v>561</v>
      </c>
      <c r="N197" s="20" t="s">
        <v>253</v>
      </c>
      <c r="O197" s="19">
        <v>-1.5355804</v>
      </c>
      <c r="P197" s="19">
        <v>50.6713456</v>
      </c>
      <c r="Q197" s="20" t="s">
        <v>443</v>
      </c>
      <c r="R197" s="20" t="s">
        <v>1133</v>
      </c>
      <c r="S197" s="20" t="s">
        <v>1136</v>
      </c>
      <c r="T197" s="21"/>
      <c r="U197" s="20" t="s">
        <v>1137</v>
      </c>
      <c r="V197" s="22">
        <v>138.0</v>
      </c>
      <c r="W197" s="23"/>
      <c r="X197" s="23"/>
      <c r="Y197" s="23"/>
      <c r="Z197" s="23"/>
    </row>
    <row r="198">
      <c r="A198" s="19">
        <v>1093.0</v>
      </c>
      <c r="B198" s="20" t="s">
        <v>1138</v>
      </c>
      <c r="C198" s="20" t="s">
        <v>439</v>
      </c>
      <c r="D198" s="20" t="s">
        <v>439</v>
      </c>
      <c r="E198" s="20" t="s">
        <v>614</v>
      </c>
      <c r="F198" s="20" t="s">
        <v>441</v>
      </c>
      <c r="G198" s="21"/>
      <c r="H198" s="19">
        <v>1.0</v>
      </c>
      <c r="I198" s="21"/>
      <c r="J198" s="21"/>
      <c r="K198" s="19">
        <v>1.0</v>
      </c>
      <c r="L198" s="20" t="s">
        <v>1132</v>
      </c>
      <c r="M198" s="20" t="s">
        <v>561</v>
      </c>
      <c r="N198" s="20" t="s">
        <v>253</v>
      </c>
      <c r="O198" s="19">
        <v>-1.5355804</v>
      </c>
      <c r="P198" s="19">
        <v>50.6713456</v>
      </c>
      <c r="Q198" s="20" t="s">
        <v>443</v>
      </c>
      <c r="R198" s="20" t="s">
        <v>1133</v>
      </c>
      <c r="S198" s="20" t="s">
        <v>1139</v>
      </c>
      <c r="T198" s="21"/>
      <c r="U198" s="20" t="s">
        <v>1140</v>
      </c>
      <c r="V198" s="22">
        <v>99.0</v>
      </c>
      <c r="W198" s="23"/>
      <c r="X198" s="23"/>
      <c r="Y198" s="23"/>
      <c r="Z198" s="23"/>
    </row>
    <row r="199">
      <c r="A199" s="19">
        <v>1094.0</v>
      </c>
      <c r="B199" s="20" t="s">
        <v>1141</v>
      </c>
      <c r="C199" s="20" t="s">
        <v>439</v>
      </c>
      <c r="D199" s="20" t="s">
        <v>439</v>
      </c>
      <c r="E199" s="20" t="s">
        <v>499</v>
      </c>
      <c r="F199" s="20" t="s">
        <v>441</v>
      </c>
      <c r="G199" s="19">
        <v>1.0</v>
      </c>
      <c r="H199" s="21"/>
      <c r="I199" s="21"/>
      <c r="J199" s="19">
        <v>1.0</v>
      </c>
      <c r="K199" s="21"/>
      <c r="L199" s="20" t="s">
        <v>1132</v>
      </c>
      <c r="M199" s="20" t="s">
        <v>561</v>
      </c>
      <c r="N199" s="20" t="s">
        <v>253</v>
      </c>
      <c r="O199" s="19">
        <v>-1.5355804</v>
      </c>
      <c r="P199" s="19">
        <v>50.6713456</v>
      </c>
      <c r="Q199" s="20" t="s">
        <v>443</v>
      </c>
      <c r="R199" s="20" t="s">
        <v>1133</v>
      </c>
      <c r="S199" s="20" t="s">
        <v>1142</v>
      </c>
      <c r="T199" s="21"/>
      <c r="U199" s="20" t="s">
        <v>1143</v>
      </c>
      <c r="V199" s="22">
        <v>110.0</v>
      </c>
      <c r="W199" s="23"/>
      <c r="X199" s="23"/>
      <c r="Y199" s="23"/>
      <c r="Z199" s="23"/>
    </row>
    <row r="200">
      <c r="A200" s="19">
        <v>1095.0</v>
      </c>
      <c r="B200" s="20" t="s">
        <v>1144</v>
      </c>
      <c r="C200" s="20" t="s">
        <v>439</v>
      </c>
      <c r="D200" s="20" t="s">
        <v>439</v>
      </c>
      <c r="E200" s="20" t="s">
        <v>614</v>
      </c>
      <c r="F200" s="20" t="s">
        <v>441</v>
      </c>
      <c r="G200" s="21"/>
      <c r="H200" s="19">
        <v>1.0</v>
      </c>
      <c r="I200" s="21"/>
      <c r="J200" s="21"/>
      <c r="K200" s="21"/>
      <c r="L200" s="20" t="s">
        <v>1132</v>
      </c>
      <c r="M200" s="20" t="s">
        <v>561</v>
      </c>
      <c r="N200" s="20" t="s">
        <v>253</v>
      </c>
      <c r="O200" s="19">
        <v>-1.5355804</v>
      </c>
      <c r="P200" s="19">
        <v>50.6713456</v>
      </c>
      <c r="Q200" s="20" t="s">
        <v>443</v>
      </c>
      <c r="R200" s="20" t="s">
        <v>1133</v>
      </c>
      <c r="S200" s="20" t="s">
        <v>1145</v>
      </c>
      <c r="T200" s="21"/>
      <c r="U200" s="20" t="s">
        <v>1140</v>
      </c>
      <c r="V200" s="22">
        <v>98.0</v>
      </c>
      <c r="W200" s="23"/>
      <c r="X200" s="23"/>
      <c r="Y200" s="23"/>
      <c r="Z200" s="23"/>
    </row>
    <row r="201">
      <c r="A201" s="19">
        <v>1096.0</v>
      </c>
      <c r="B201" s="20" t="s">
        <v>1146</v>
      </c>
      <c r="C201" s="20" t="s">
        <v>439</v>
      </c>
      <c r="D201" s="20" t="s">
        <v>439</v>
      </c>
      <c r="E201" s="20" t="s">
        <v>614</v>
      </c>
      <c r="F201" s="20" t="s">
        <v>441</v>
      </c>
      <c r="G201" s="21"/>
      <c r="H201" s="19">
        <v>1.0</v>
      </c>
      <c r="I201" s="21"/>
      <c r="J201" s="21"/>
      <c r="K201" s="21"/>
      <c r="L201" s="20" t="s">
        <v>1132</v>
      </c>
      <c r="M201" s="20" t="s">
        <v>561</v>
      </c>
      <c r="N201" s="20" t="s">
        <v>253</v>
      </c>
      <c r="O201" s="19">
        <v>-1.5355804</v>
      </c>
      <c r="P201" s="19">
        <v>50.6713456</v>
      </c>
      <c r="Q201" s="20" t="s">
        <v>443</v>
      </c>
      <c r="R201" s="20" t="s">
        <v>1133</v>
      </c>
      <c r="S201" s="20" t="s">
        <v>1147</v>
      </c>
      <c r="T201" s="21"/>
      <c r="U201" s="20" t="s">
        <v>1140</v>
      </c>
      <c r="V201" s="22">
        <v>81.0</v>
      </c>
      <c r="W201" s="23"/>
      <c r="X201" s="23"/>
      <c r="Y201" s="23"/>
      <c r="Z201" s="23"/>
    </row>
    <row r="202">
      <c r="A202" s="19">
        <v>1097.0</v>
      </c>
      <c r="B202" s="20" t="s">
        <v>1148</v>
      </c>
      <c r="C202" s="20" t="s">
        <v>439</v>
      </c>
      <c r="D202" s="20" t="s">
        <v>439</v>
      </c>
      <c r="E202" s="20" t="s">
        <v>614</v>
      </c>
      <c r="F202" s="20" t="s">
        <v>441</v>
      </c>
      <c r="G202" s="21"/>
      <c r="H202" s="19">
        <v>1.0</v>
      </c>
      <c r="I202" s="19">
        <v>1.0</v>
      </c>
      <c r="J202" s="21"/>
      <c r="K202" s="19">
        <v>1.0</v>
      </c>
      <c r="L202" s="20" t="s">
        <v>1132</v>
      </c>
      <c r="M202" s="20" t="s">
        <v>561</v>
      </c>
      <c r="N202" s="20" t="s">
        <v>253</v>
      </c>
      <c r="O202" s="19">
        <v>-1.5355804</v>
      </c>
      <c r="P202" s="19">
        <v>50.6713456</v>
      </c>
      <c r="Q202" s="20" t="s">
        <v>443</v>
      </c>
      <c r="R202" s="20" t="s">
        <v>1133</v>
      </c>
      <c r="S202" s="20" t="s">
        <v>1149</v>
      </c>
      <c r="T202" s="21"/>
      <c r="U202" s="20" t="s">
        <v>1140</v>
      </c>
      <c r="V202" s="22">
        <v>103.0</v>
      </c>
      <c r="W202" s="23"/>
      <c r="X202" s="23"/>
      <c r="Y202" s="23"/>
      <c r="Z202" s="23"/>
    </row>
    <row r="203">
      <c r="A203" s="19">
        <v>1098.0</v>
      </c>
      <c r="B203" s="20" t="s">
        <v>1150</v>
      </c>
      <c r="C203" s="20" t="s">
        <v>439</v>
      </c>
      <c r="D203" s="20" t="s">
        <v>439</v>
      </c>
      <c r="E203" s="20" t="s">
        <v>440</v>
      </c>
      <c r="F203" s="20" t="s">
        <v>441</v>
      </c>
      <c r="G203" s="19">
        <v>1.0</v>
      </c>
      <c r="H203" s="21"/>
      <c r="I203" s="21"/>
      <c r="J203" s="21"/>
      <c r="K203" s="21"/>
      <c r="L203" s="20" t="s">
        <v>656</v>
      </c>
      <c r="M203" s="20" t="s">
        <v>323</v>
      </c>
      <c r="N203" s="20" t="s">
        <v>253</v>
      </c>
      <c r="O203" s="19">
        <v>-0.2663533</v>
      </c>
      <c r="P203" s="19">
        <v>51.4746385</v>
      </c>
      <c r="Q203" s="20" t="s">
        <v>443</v>
      </c>
      <c r="R203" s="20" t="s">
        <v>1151</v>
      </c>
      <c r="S203" s="20" t="s">
        <v>1152</v>
      </c>
      <c r="T203" s="21"/>
      <c r="U203" s="20" t="s">
        <v>1002</v>
      </c>
      <c r="V203" s="22">
        <v>102.0</v>
      </c>
      <c r="W203" s="22">
        <v>57.0</v>
      </c>
      <c r="X203" s="22">
        <v>19.0</v>
      </c>
      <c r="Y203" s="22">
        <v>221.0</v>
      </c>
      <c r="Z203" s="22">
        <v>0.559</v>
      </c>
    </row>
    <row r="204">
      <c r="A204" s="19">
        <v>1101.0</v>
      </c>
      <c r="B204" s="20" t="s">
        <v>1153</v>
      </c>
      <c r="C204" s="20" t="s">
        <v>439</v>
      </c>
      <c r="D204" s="20" t="s">
        <v>439</v>
      </c>
      <c r="E204" s="20" t="s">
        <v>458</v>
      </c>
      <c r="F204" s="20" t="s">
        <v>441</v>
      </c>
      <c r="G204" s="21"/>
      <c r="H204" s="19">
        <v>1.0</v>
      </c>
      <c r="I204" s="19">
        <v>1.0</v>
      </c>
      <c r="J204" s="19">
        <v>1.0</v>
      </c>
      <c r="K204" s="21"/>
      <c r="L204" s="20" t="s">
        <v>1154</v>
      </c>
      <c r="M204" s="20" t="s">
        <v>95</v>
      </c>
      <c r="N204" s="20" t="s">
        <v>341</v>
      </c>
      <c r="O204" s="19">
        <v>0.51909615</v>
      </c>
      <c r="P204" s="19">
        <v>52.7409922</v>
      </c>
      <c r="Q204" s="20" t="s">
        <v>443</v>
      </c>
      <c r="R204" s="20" t="s">
        <v>1155</v>
      </c>
      <c r="S204" s="20" t="s">
        <v>1156</v>
      </c>
      <c r="T204" s="21"/>
      <c r="U204" s="20" t="s">
        <v>462</v>
      </c>
      <c r="V204" s="22">
        <v>128.0</v>
      </c>
      <c r="W204" s="22">
        <v>80.0</v>
      </c>
      <c r="X204" s="23"/>
      <c r="Y204" s="23"/>
      <c r="Z204" s="22">
        <v>0.625</v>
      </c>
    </row>
    <row r="205">
      <c r="A205" s="19">
        <v>1103.0</v>
      </c>
      <c r="B205" s="20" t="s">
        <v>1157</v>
      </c>
      <c r="C205" s="20" t="s">
        <v>439</v>
      </c>
      <c r="D205" s="20" t="s">
        <v>439</v>
      </c>
      <c r="E205" s="20" t="s">
        <v>440</v>
      </c>
      <c r="F205" s="20" t="s">
        <v>441</v>
      </c>
      <c r="G205" s="19">
        <v>1.0</v>
      </c>
      <c r="H205" s="21"/>
      <c r="I205" s="21"/>
      <c r="J205" s="21"/>
      <c r="K205" s="19">
        <v>1.0</v>
      </c>
      <c r="L205" s="20" t="s">
        <v>1158</v>
      </c>
      <c r="M205" s="20" t="s">
        <v>366</v>
      </c>
      <c r="N205" s="20" t="s">
        <v>253</v>
      </c>
      <c r="O205" s="19">
        <v>-0.1481697</v>
      </c>
      <c r="P205" s="19">
        <v>50.8343288</v>
      </c>
      <c r="Q205" s="20" t="s">
        <v>443</v>
      </c>
      <c r="R205" s="20" t="s">
        <v>1159</v>
      </c>
      <c r="S205" s="20" t="s">
        <v>1160</v>
      </c>
      <c r="T205" s="21"/>
      <c r="U205" s="20" t="s">
        <v>1123</v>
      </c>
      <c r="V205" s="22">
        <v>142.0</v>
      </c>
      <c r="W205" s="22">
        <v>76.0</v>
      </c>
      <c r="X205" s="22">
        <v>25.0</v>
      </c>
      <c r="Y205" s="22">
        <v>453.0</v>
      </c>
      <c r="Z205" s="22">
        <v>0.535</v>
      </c>
    </row>
    <row r="206">
      <c r="A206" s="19">
        <v>1105.0</v>
      </c>
      <c r="B206" s="20" t="s">
        <v>1161</v>
      </c>
      <c r="C206" s="20" t="s">
        <v>165</v>
      </c>
      <c r="D206" s="20" t="s">
        <v>165</v>
      </c>
      <c r="E206" s="20" t="s">
        <v>275</v>
      </c>
      <c r="F206" s="20" t="s">
        <v>203</v>
      </c>
      <c r="G206" s="19">
        <v>0.0</v>
      </c>
      <c r="H206" s="21"/>
      <c r="I206" s="21"/>
      <c r="J206" s="21"/>
      <c r="K206" s="21"/>
      <c r="L206" s="20" t="s">
        <v>283</v>
      </c>
      <c r="M206" s="20" t="s">
        <v>284</v>
      </c>
      <c r="N206" s="20" t="s">
        <v>253</v>
      </c>
      <c r="O206" s="19">
        <v>-1.158614</v>
      </c>
      <c r="P206" s="19">
        <v>51.578846</v>
      </c>
      <c r="Q206" s="20" t="s">
        <v>205</v>
      </c>
      <c r="R206" s="20" t="s">
        <v>1162</v>
      </c>
      <c r="S206" s="20" t="s">
        <v>1163</v>
      </c>
      <c r="T206" s="21"/>
      <c r="U206" s="20" t="s">
        <v>300</v>
      </c>
      <c r="V206" s="22">
        <v>143.0</v>
      </c>
      <c r="W206" s="23"/>
      <c r="X206" s="23"/>
      <c r="Y206" s="22">
        <v>432.3</v>
      </c>
      <c r="Z206" s="23"/>
    </row>
    <row r="207">
      <c r="A207" s="19">
        <v>1106.0</v>
      </c>
      <c r="B207" s="20" t="s">
        <v>1164</v>
      </c>
      <c r="C207" s="20" t="s">
        <v>439</v>
      </c>
      <c r="D207" s="20" t="s">
        <v>439</v>
      </c>
      <c r="E207" s="20" t="s">
        <v>440</v>
      </c>
      <c r="F207" s="20" t="s">
        <v>441</v>
      </c>
      <c r="G207" s="21"/>
      <c r="H207" s="19">
        <v>1.0</v>
      </c>
      <c r="I207" s="21"/>
      <c r="J207" s="21"/>
      <c r="K207" s="21"/>
      <c r="L207" s="20" t="s">
        <v>1165</v>
      </c>
      <c r="M207" s="20" t="s">
        <v>340</v>
      </c>
      <c r="N207" s="20" t="s">
        <v>341</v>
      </c>
      <c r="O207" s="19">
        <v>0.26951866</v>
      </c>
      <c r="P207" s="19">
        <v>52.4007079</v>
      </c>
      <c r="Q207" s="20" t="s">
        <v>443</v>
      </c>
      <c r="R207" s="20" t="s">
        <v>1166</v>
      </c>
      <c r="S207" s="20" t="s">
        <v>1167</v>
      </c>
      <c r="T207" s="21"/>
      <c r="U207" s="20" t="s">
        <v>1123</v>
      </c>
      <c r="V207" s="22">
        <v>138.0</v>
      </c>
      <c r="W207" s="22">
        <v>74.0</v>
      </c>
      <c r="X207" s="22">
        <v>23.0</v>
      </c>
      <c r="Y207" s="22">
        <v>375.6</v>
      </c>
      <c r="Z207" s="22">
        <v>0.536</v>
      </c>
    </row>
    <row r="208">
      <c r="A208" s="19">
        <v>1108.0</v>
      </c>
      <c r="B208" s="20" t="s">
        <v>1168</v>
      </c>
      <c r="C208" s="20" t="s">
        <v>165</v>
      </c>
      <c r="D208" s="20" t="s">
        <v>165</v>
      </c>
      <c r="E208" s="20" t="s">
        <v>275</v>
      </c>
      <c r="F208" s="20" t="s">
        <v>203</v>
      </c>
      <c r="G208" s="19">
        <v>0.0</v>
      </c>
      <c r="H208" s="21"/>
      <c r="I208" s="21"/>
      <c r="J208" s="21"/>
      <c r="K208" s="21"/>
      <c r="L208" s="20" t="s">
        <v>1169</v>
      </c>
      <c r="M208" s="20" t="s">
        <v>252</v>
      </c>
      <c r="N208" s="20" t="s">
        <v>253</v>
      </c>
      <c r="O208" s="19">
        <v>-1.4715362</v>
      </c>
      <c r="P208" s="19">
        <v>53.0775538</v>
      </c>
      <c r="Q208" s="20" t="s">
        <v>205</v>
      </c>
      <c r="R208" s="20" t="s">
        <v>1170</v>
      </c>
      <c r="S208" s="20" t="s">
        <v>1171</v>
      </c>
      <c r="T208" s="21"/>
      <c r="U208" s="20" t="s">
        <v>336</v>
      </c>
      <c r="V208" s="22">
        <v>175.5</v>
      </c>
      <c r="W208" s="23"/>
      <c r="X208" s="23"/>
      <c r="Y208" s="22">
        <v>765.0</v>
      </c>
      <c r="Z208" s="23"/>
    </row>
    <row r="209">
      <c r="A209" s="19">
        <v>1110.0</v>
      </c>
      <c r="B209" s="20" t="s">
        <v>1172</v>
      </c>
      <c r="C209" s="20" t="s">
        <v>165</v>
      </c>
      <c r="D209" s="20" t="s">
        <v>165</v>
      </c>
      <c r="E209" s="20" t="s">
        <v>414</v>
      </c>
      <c r="F209" s="20" t="s">
        <v>178</v>
      </c>
      <c r="G209" s="19">
        <v>0.0</v>
      </c>
      <c r="H209" s="21"/>
      <c r="I209" s="21"/>
      <c r="J209" s="21"/>
      <c r="K209" s="21"/>
      <c r="L209" s="20" t="s">
        <v>1173</v>
      </c>
      <c r="M209" s="20" t="s">
        <v>595</v>
      </c>
      <c r="N209" s="20" t="s">
        <v>170</v>
      </c>
      <c r="O209" s="19">
        <v>-1.8162084</v>
      </c>
      <c r="P209" s="19">
        <v>51.2105864</v>
      </c>
      <c r="Q209" s="20" t="s">
        <v>180</v>
      </c>
      <c r="R209" s="20" t="s">
        <v>1174</v>
      </c>
      <c r="S209" s="20" t="s">
        <v>1175</v>
      </c>
      <c r="T209" s="21"/>
      <c r="U209" s="20" t="s">
        <v>1176</v>
      </c>
      <c r="V209" s="22">
        <v>164.5</v>
      </c>
      <c r="W209" s="22">
        <v>95.0</v>
      </c>
      <c r="X209" s="23"/>
      <c r="Y209" s="23"/>
      <c r="Z209" s="22">
        <v>0.578</v>
      </c>
    </row>
    <row r="210">
      <c r="A210" s="19">
        <v>1111.0</v>
      </c>
      <c r="B210" s="20" t="s">
        <v>1177</v>
      </c>
      <c r="C210" s="20" t="s">
        <v>176</v>
      </c>
      <c r="D210" s="20" t="s">
        <v>176</v>
      </c>
      <c r="E210" s="20" t="s">
        <v>177</v>
      </c>
      <c r="F210" s="20" t="s">
        <v>178</v>
      </c>
      <c r="G210" s="19">
        <v>0.0</v>
      </c>
      <c r="H210" s="21"/>
      <c r="I210" s="21"/>
      <c r="J210" s="21"/>
      <c r="K210" s="21"/>
      <c r="L210" s="20" t="s">
        <v>1178</v>
      </c>
      <c r="M210" s="20" t="s">
        <v>252</v>
      </c>
      <c r="N210" s="20" t="s">
        <v>253</v>
      </c>
      <c r="O210" s="19">
        <v>-0.9201</v>
      </c>
      <c r="P210" s="19">
        <v>53.2501</v>
      </c>
      <c r="Q210" s="20" t="s">
        <v>180</v>
      </c>
      <c r="R210" s="20" t="s">
        <v>1179</v>
      </c>
      <c r="S210" s="20" t="s">
        <v>1180</v>
      </c>
      <c r="T210" s="21"/>
      <c r="U210" s="20" t="s">
        <v>1181</v>
      </c>
      <c r="V210" s="22">
        <v>224.0</v>
      </c>
      <c r="W210" s="23"/>
      <c r="X210" s="23"/>
      <c r="Y210" s="22">
        <v>884.6</v>
      </c>
      <c r="Z210" s="23"/>
    </row>
    <row r="211">
      <c r="A211" s="19">
        <v>1112.0</v>
      </c>
      <c r="B211" s="20" t="s">
        <v>1182</v>
      </c>
      <c r="C211" s="20" t="s">
        <v>439</v>
      </c>
      <c r="D211" s="20" t="s">
        <v>439</v>
      </c>
      <c r="E211" s="20" t="s">
        <v>542</v>
      </c>
      <c r="F211" s="20" t="s">
        <v>441</v>
      </c>
      <c r="G211" s="19">
        <v>1.0</v>
      </c>
      <c r="H211" s="21"/>
      <c r="I211" s="19">
        <v>1.0</v>
      </c>
      <c r="J211" s="21"/>
      <c r="K211" s="19">
        <v>1.0</v>
      </c>
      <c r="L211" s="20" t="s">
        <v>1183</v>
      </c>
      <c r="M211" s="20" t="s">
        <v>354</v>
      </c>
      <c r="N211" s="20" t="s">
        <v>341</v>
      </c>
      <c r="O211" s="19">
        <v>0.5014175</v>
      </c>
      <c r="P211" s="19">
        <v>52.3420728</v>
      </c>
      <c r="Q211" s="20" t="s">
        <v>443</v>
      </c>
      <c r="R211" s="20" t="s">
        <v>1184</v>
      </c>
      <c r="S211" s="20" t="s">
        <v>1185</v>
      </c>
      <c r="T211" s="21"/>
      <c r="U211" s="20" t="s">
        <v>1106</v>
      </c>
      <c r="V211" s="22">
        <v>95.0</v>
      </c>
      <c r="W211" s="22">
        <v>58.0</v>
      </c>
      <c r="X211" s="22">
        <v>18.0</v>
      </c>
      <c r="Y211" s="22">
        <v>152.0</v>
      </c>
      <c r="Z211" s="22">
        <v>0.611</v>
      </c>
    </row>
    <row r="212">
      <c r="A212" s="19">
        <v>1113.0</v>
      </c>
      <c r="B212" s="20" t="s">
        <v>1186</v>
      </c>
      <c r="C212" s="20" t="s">
        <v>165</v>
      </c>
      <c r="D212" s="20" t="s">
        <v>165</v>
      </c>
      <c r="E212" s="20" t="s">
        <v>637</v>
      </c>
      <c r="F212" s="20" t="s">
        <v>178</v>
      </c>
      <c r="G212" s="19">
        <v>0.0</v>
      </c>
      <c r="H212" s="21"/>
      <c r="I212" s="21"/>
      <c r="J212" s="21"/>
      <c r="K212" s="21"/>
      <c r="L212" s="20" t="s">
        <v>1187</v>
      </c>
      <c r="M212" s="20" t="s">
        <v>1188</v>
      </c>
      <c r="N212" s="20" t="s">
        <v>253</v>
      </c>
      <c r="O212" s="19">
        <v>-1.3185183</v>
      </c>
      <c r="P212" s="19">
        <v>51.4045462</v>
      </c>
      <c r="Q212" s="20" t="s">
        <v>180</v>
      </c>
      <c r="R212" s="20" t="s">
        <v>1189</v>
      </c>
      <c r="S212" s="20" t="s">
        <v>1190</v>
      </c>
      <c r="T212" s="21"/>
      <c r="U212" s="20" t="s">
        <v>1191</v>
      </c>
      <c r="V212" s="22">
        <v>172.0</v>
      </c>
      <c r="W212" s="23"/>
      <c r="X212" s="23"/>
      <c r="Y212" s="22">
        <v>520.0</v>
      </c>
      <c r="Z212" s="23"/>
    </row>
    <row r="213">
      <c r="A213" s="19">
        <v>1114.0</v>
      </c>
      <c r="B213" s="20" t="s">
        <v>1192</v>
      </c>
      <c r="C213" s="20" t="s">
        <v>176</v>
      </c>
      <c r="D213" s="20" t="s">
        <v>176</v>
      </c>
      <c r="E213" s="20" t="s">
        <v>464</v>
      </c>
      <c r="F213" s="20" t="s">
        <v>178</v>
      </c>
      <c r="G213" s="19">
        <v>0.0</v>
      </c>
      <c r="H213" s="21"/>
      <c r="I213" s="21"/>
      <c r="J213" s="21"/>
      <c r="K213" s="21"/>
      <c r="L213" s="20" t="s">
        <v>1193</v>
      </c>
      <c r="M213" s="20" t="s">
        <v>95</v>
      </c>
      <c r="N213" s="20" t="s">
        <v>341</v>
      </c>
      <c r="O213" s="19">
        <v>0.37895819</v>
      </c>
      <c r="P213" s="19">
        <v>52.535683</v>
      </c>
      <c r="Q213" s="20" t="s">
        <v>180</v>
      </c>
      <c r="R213" s="20" t="s">
        <v>266</v>
      </c>
      <c r="S213" s="20" t="s">
        <v>1194</v>
      </c>
      <c r="T213" s="21"/>
      <c r="U213" s="20" t="s">
        <v>1195</v>
      </c>
      <c r="V213" s="22">
        <v>69.7</v>
      </c>
      <c r="W213" s="23"/>
      <c r="X213" s="23"/>
      <c r="Y213" s="22">
        <v>58.5</v>
      </c>
      <c r="Z213" s="23"/>
    </row>
    <row r="214">
      <c r="A214" s="19">
        <v>1117.0</v>
      </c>
      <c r="B214" s="20" t="s">
        <v>1196</v>
      </c>
      <c r="C214" s="20" t="s">
        <v>165</v>
      </c>
      <c r="D214" s="20" t="s">
        <v>165</v>
      </c>
      <c r="E214" s="20" t="s">
        <v>670</v>
      </c>
      <c r="F214" s="20" t="s">
        <v>178</v>
      </c>
      <c r="G214" s="19">
        <v>0.0</v>
      </c>
      <c r="H214" s="21"/>
      <c r="I214" s="21"/>
      <c r="J214" s="21"/>
      <c r="K214" s="21"/>
      <c r="L214" s="20" t="s">
        <v>1197</v>
      </c>
      <c r="M214" s="20" t="s">
        <v>277</v>
      </c>
      <c r="N214" s="20" t="s">
        <v>170</v>
      </c>
      <c r="O214" s="19">
        <v>-2.5034198</v>
      </c>
      <c r="P214" s="19">
        <v>51.7583567</v>
      </c>
      <c r="Q214" s="20" t="s">
        <v>180</v>
      </c>
      <c r="R214" s="20" t="s">
        <v>1198</v>
      </c>
      <c r="S214" s="20" t="s">
        <v>1199</v>
      </c>
      <c r="T214" s="21"/>
      <c r="U214" s="20" t="s">
        <v>1200</v>
      </c>
      <c r="V214" s="22">
        <v>114.5</v>
      </c>
      <c r="W214" s="22">
        <v>61.0</v>
      </c>
      <c r="X214" s="22">
        <v>20.0</v>
      </c>
      <c r="Y214" s="22">
        <v>225.0</v>
      </c>
      <c r="Z214" s="22">
        <v>0.533</v>
      </c>
    </row>
    <row r="215">
      <c r="A215" s="19">
        <v>1118.0</v>
      </c>
      <c r="B215" s="20" t="s">
        <v>1201</v>
      </c>
      <c r="C215" s="20" t="s">
        <v>176</v>
      </c>
      <c r="D215" s="20" t="s">
        <v>176</v>
      </c>
      <c r="E215" s="20" t="s">
        <v>177</v>
      </c>
      <c r="F215" s="20" t="s">
        <v>178</v>
      </c>
      <c r="G215" s="19">
        <v>0.0</v>
      </c>
      <c r="H215" s="21"/>
      <c r="I215" s="21"/>
      <c r="J215" s="21"/>
      <c r="K215" s="21"/>
      <c r="L215" s="20" t="s">
        <v>1202</v>
      </c>
      <c r="M215" s="20" t="s">
        <v>311</v>
      </c>
      <c r="N215" s="20" t="s">
        <v>253</v>
      </c>
      <c r="O215" s="19">
        <v>-0.4909615</v>
      </c>
      <c r="P215" s="19">
        <v>53.1597337</v>
      </c>
      <c r="Q215" s="20" t="s">
        <v>180</v>
      </c>
      <c r="R215" s="20" t="s">
        <v>1203</v>
      </c>
      <c r="S215" s="20" t="s">
        <v>1204</v>
      </c>
      <c r="T215" s="21"/>
      <c r="U215" s="20" t="s">
        <v>986</v>
      </c>
      <c r="V215" s="22">
        <v>92.5</v>
      </c>
      <c r="W215" s="23"/>
      <c r="X215" s="23"/>
      <c r="Y215" s="23"/>
      <c r="Z215" s="23"/>
    </row>
    <row r="216">
      <c r="A216" s="19">
        <v>1122.0</v>
      </c>
      <c r="B216" s="20" t="s">
        <v>1205</v>
      </c>
      <c r="C216" s="20" t="s">
        <v>165</v>
      </c>
      <c r="D216" s="20" t="s">
        <v>165</v>
      </c>
      <c r="E216" s="20" t="s">
        <v>1206</v>
      </c>
      <c r="F216" s="20" t="s">
        <v>203</v>
      </c>
      <c r="G216" s="19">
        <v>0.0</v>
      </c>
      <c r="H216" s="21"/>
      <c r="I216" s="21"/>
      <c r="J216" s="21"/>
      <c r="K216" s="21"/>
      <c r="L216" s="20" t="s">
        <v>1207</v>
      </c>
      <c r="M216" s="20" t="s">
        <v>366</v>
      </c>
      <c r="N216" s="20" t="s">
        <v>253</v>
      </c>
      <c r="O216" s="19">
        <v>-0.0324561</v>
      </c>
      <c r="P216" s="19">
        <v>51.1368599</v>
      </c>
      <c r="Q216" s="20" t="s">
        <v>205</v>
      </c>
      <c r="R216" s="20" t="s">
        <v>266</v>
      </c>
      <c r="S216" s="20" t="s">
        <v>1208</v>
      </c>
      <c r="T216" s="21"/>
      <c r="U216" s="20" t="s">
        <v>1209</v>
      </c>
      <c r="V216" s="22">
        <v>123.2</v>
      </c>
      <c r="W216" s="23"/>
      <c r="X216" s="23"/>
      <c r="Y216" s="22">
        <v>351.3</v>
      </c>
      <c r="Z216" s="23"/>
    </row>
    <row r="217">
      <c r="A217" s="19">
        <v>1127.0</v>
      </c>
      <c r="B217" s="20" t="s">
        <v>1210</v>
      </c>
      <c r="C217" s="20" t="s">
        <v>439</v>
      </c>
      <c r="D217" s="20" t="s">
        <v>439</v>
      </c>
      <c r="E217" s="20" t="s">
        <v>1211</v>
      </c>
      <c r="F217" s="20" t="s">
        <v>441</v>
      </c>
      <c r="G217" s="21"/>
      <c r="H217" s="19">
        <v>1.0</v>
      </c>
      <c r="I217" s="21"/>
      <c r="J217" s="19">
        <v>1.0</v>
      </c>
      <c r="K217" s="21"/>
      <c r="L217" s="20" t="s">
        <v>1212</v>
      </c>
      <c r="M217" s="20" t="s">
        <v>318</v>
      </c>
      <c r="N217" s="20" t="s">
        <v>253</v>
      </c>
      <c r="O217" s="19">
        <v>-0.4582927</v>
      </c>
      <c r="P217" s="19">
        <v>51.3123096</v>
      </c>
      <c r="Q217" s="20" t="s">
        <v>443</v>
      </c>
      <c r="R217" s="20" t="s">
        <v>1213</v>
      </c>
      <c r="S217" s="20" t="s">
        <v>1214</v>
      </c>
      <c r="T217" s="21"/>
      <c r="U217" s="20" t="s">
        <v>899</v>
      </c>
      <c r="V217" s="22">
        <v>61.5</v>
      </c>
      <c r="W217" s="23"/>
      <c r="X217" s="23"/>
      <c r="Y217" s="23"/>
      <c r="Z217" s="23"/>
    </row>
    <row r="218">
      <c r="A218" s="19">
        <v>1128.0</v>
      </c>
      <c r="B218" s="20" t="s">
        <v>1215</v>
      </c>
      <c r="C218" s="20" t="s">
        <v>176</v>
      </c>
      <c r="D218" s="20" t="s">
        <v>176</v>
      </c>
      <c r="E218" s="20" t="s">
        <v>210</v>
      </c>
      <c r="F218" s="20" t="s">
        <v>178</v>
      </c>
      <c r="G218" s="19">
        <v>0.0</v>
      </c>
      <c r="H218" s="21"/>
      <c r="I218" s="21"/>
      <c r="J218" s="21"/>
      <c r="K218" s="21"/>
      <c r="L218" s="20" t="s">
        <v>1216</v>
      </c>
      <c r="M218" s="20" t="s">
        <v>311</v>
      </c>
      <c r="N218" s="20" t="s">
        <v>253</v>
      </c>
      <c r="O218" s="19">
        <v>-0.3475365</v>
      </c>
      <c r="P218" s="19">
        <v>53.4120615</v>
      </c>
      <c r="Q218" s="20" t="s">
        <v>180</v>
      </c>
      <c r="R218" s="20" t="s">
        <v>1217</v>
      </c>
      <c r="S218" s="20" t="s">
        <v>1218</v>
      </c>
      <c r="T218" s="21"/>
      <c r="U218" s="20" t="s">
        <v>1219</v>
      </c>
      <c r="V218" s="22">
        <v>106.0</v>
      </c>
      <c r="W218" s="23"/>
      <c r="X218" s="23"/>
      <c r="Y218" s="23"/>
      <c r="Z218" s="23"/>
    </row>
    <row r="219">
      <c r="A219" s="19">
        <v>1129.0</v>
      </c>
      <c r="B219" s="20" t="s">
        <v>1220</v>
      </c>
      <c r="C219" s="20" t="s">
        <v>165</v>
      </c>
      <c r="D219" s="20" t="s">
        <v>233</v>
      </c>
      <c r="E219" s="20" t="s">
        <v>593</v>
      </c>
      <c r="F219" s="20" t="s">
        <v>178</v>
      </c>
      <c r="G219" s="19">
        <v>0.0</v>
      </c>
      <c r="H219" s="21"/>
      <c r="I219" s="21"/>
      <c r="J219" s="21"/>
      <c r="K219" s="21"/>
      <c r="L219" s="20" t="s">
        <v>1221</v>
      </c>
      <c r="M219" s="20" t="s">
        <v>595</v>
      </c>
      <c r="N219" s="20" t="s">
        <v>170</v>
      </c>
      <c r="O219" s="19">
        <v>-1.8302186</v>
      </c>
      <c r="P219" s="19">
        <v>51.4104945</v>
      </c>
      <c r="Q219" s="20" t="s">
        <v>180</v>
      </c>
      <c r="R219" s="20" t="s">
        <v>1222</v>
      </c>
      <c r="S219" s="24" t="s">
        <v>1223</v>
      </c>
      <c r="T219" s="21"/>
      <c r="U219" s="20" t="s">
        <v>598</v>
      </c>
      <c r="V219" s="22">
        <v>72.0</v>
      </c>
      <c r="W219" s="23"/>
      <c r="X219" s="23"/>
      <c r="Y219" s="23"/>
      <c r="Z219" s="23"/>
    </row>
    <row r="220">
      <c r="A220" s="19">
        <v>1130.0</v>
      </c>
      <c r="B220" s="20" t="s">
        <v>1224</v>
      </c>
      <c r="C220" s="20" t="s">
        <v>439</v>
      </c>
      <c r="D220" s="20" t="s">
        <v>439</v>
      </c>
      <c r="E220" s="20" t="s">
        <v>740</v>
      </c>
      <c r="F220" s="20" t="s">
        <v>441</v>
      </c>
      <c r="G220" s="19">
        <v>1.0</v>
      </c>
      <c r="H220" s="19">
        <v>1.0</v>
      </c>
      <c r="I220" s="21"/>
      <c r="J220" s="21"/>
      <c r="K220" s="21"/>
      <c r="L220" s="20" t="s">
        <v>1225</v>
      </c>
      <c r="M220" s="20" t="s">
        <v>340</v>
      </c>
      <c r="N220" s="20" t="s">
        <v>341</v>
      </c>
      <c r="O220" s="19">
        <v>0.14825882</v>
      </c>
      <c r="P220" s="19">
        <v>52.1282727</v>
      </c>
      <c r="Q220" s="20" t="s">
        <v>443</v>
      </c>
      <c r="R220" s="20" t="s">
        <v>1226</v>
      </c>
      <c r="S220" s="20" t="s">
        <v>1227</v>
      </c>
      <c r="T220" s="21"/>
      <c r="U220" s="20" t="s">
        <v>1228</v>
      </c>
      <c r="V220" s="22">
        <v>113.5</v>
      </c>
      <c r="W220" s="22">
        <v>63.0</v>
      </c>
      <c r="X220" s="22">
        <v>21.0</v>
      </c>
      <c r="Y220" s="22">
        <v>266.0</v>
      </c>
      <c r="Z220" s="22">
        <v>0.555</v>
      </c>
    </row>
    <row r="221">
      <c r="A221" s="19">
        <v>1133.0</v>
      </c>
      <c r="B221" s="20" t="s">
        <v>1229</v>
      </c>
      <c r="C221" s="20" t="s">
        <v>439</v>
      </c>
      <c r="D221" s="20" t="s">
        <v>439</v>
      </c>
      <c r="E221" s="20" t="s">
        <v>542</v>
      </c>
      <c r="F221" s="20" t="s">
        <v>441</v>
      </c>
      <c r="G221" s="21"/>
      <c r="H221" s="19">
        <v>1.0</v>
      </c>
      <c r="I221" s="19">
        <v>1.0</v>
      </c>
      <c r="J221" s="21"/>
      <c r="K221" s="21"/>
      <c r="L221" s="20" t="s">
        <v>1230</v>
      </c>
      <c r="M221" s="20" t="s">
        <v>366</v>
      </c>
      <c r="N221" s="20" t="s">
        <v>253</v>
      </c>
      <c r="O221" s="19">
        <v>-0.0653621</v>
      </c>
      <c r="P221" s="19">
        <v>50.8963891</v>
      </c>
      <c r="Q221" s="20" t="s">
        <v>443</v>
      </c>
      <c r="R221" s="20" t="s">
        <v>1231</v>
      </c>
      <c r="S221" s="20" t="s">
        <v>1232</v>
      </c>
      <c r="T221" s="21"/>
      <c r="U221" s="20" t="s">
        <v>859</v>
      </c>
      <c r="V221" s="22">
        <v>123.5</v>
      </c>
      <c r="W221" s="22">
        <v>65.0</v>
      </c>
      <c r="X221" s="22">
        <v>18.0</v>
      </c>
      <c r="Y221" s="22">
        <v>228.4</v>
      </c>
      <c r="Z221" s="22">
        <v>0.526</v>
      </c>
    </row>
    <row r="222">
      <c r="A222" s="19">
        <v>1134.0</v>
      </c>
      <c r="B222" s="20" t="s">
        <v>1233</v>
      </c>
      <c r="C222" s="20" t="s">
        <v>439</v>
      </c>
      <c r="D222" s="20" t="s">
        <v>439</v>
      </c>
      <c r="E222" s="20" t="s">
        <v>542</v>
      </c>
      <c r="F222" s="20" t="s">
        <v>441</v>
      </c>
      <c r="G222" s="19">
        <v>1.0</v>
      </c>
      <c r="H222" s="21"/>
      <c r="I222" s="21"/>
      <c r="J222" s="21"/>
      <c r="K222" s="19">
        <v>1.0</v>
      </c>
      <c r="L222" s="20" t="s">
        <v>511</v>
      </c>
      <c r="M222" s="20" t="s">
        <v>187</v>
      </c>
      <c r="N222" s="20" t="s">
        <v>170</v>
      </c>
      <c r="O222" s="19">
        <v>-4.0751543</v>
      </c>
      <c r="P222" s="19">
        <v>50.3628726</v>
      </c>
      <c r="Q222" s="20" t="s">
        <v>443</v>
      </c>
      <c r="R222" s="20" t="s">
        <v>1234</v>
      </c>
      <c r="S222" s="24" t="s">
        <v>1235</v>
      </c>
      <c r="T222" s="21"/>
      <c r="U222" s="20" t="s">
        <v>890</v>
      </c>
      <c r="V222" s="22">
        <v>169.5</v>
      </c>
      <c r="W222" s="22">
        <v>87.7</v>
      </c>
      <c r="X222" s="22">
        <v>22.3</v>
      </c>
      <c r="Y222" s="22">
        <v>480.9</v>
      </c>
      <c r="Z222" s="22">
        <v>0.517</v>
      </c>
    </row>
    <row r="223">
      <c r="A223" s="19">
        <v>1135.0</v>
      </c>
      <c r="B223" s="20" t="s">
        <v>1236</v>
      </c>
      <c r="C223" s="20" t="s">
        <v>439</v>
      </c>
      <c r="D223" s="20" t="s">
        <v>439</v>
      </c>
      <c r="E223" s="20" t="s">
        <v>740</v>
      </c>
      <c r="F223" s="20" t="s">
        <v>441</v>
      </c>
      <c r="G223" s="21"/>
      <c r="H223" s="19">
        <v>1.0</v>
      </c>
      <c r="I223" s="21"/>
      <c r="J223" s="19">
        <v>1.0</v>
      </c>
      <c r="K223" s="21"/>
      <c r="L223" s="20" t="s">
        <v>511</v>
      </c>
      <c r="M223" s="20" t="s">
        <v>187</v>
      </c>
      <c r="N223" s="20" t="s">
        <v>170</v>
      </c>
      <c r="O223" s="19">
        <v>-4.0751543</v>
      </c>
      <c r="P223" s="19">
        <v>50.3628726</v>
      </c>
      <c r="Q223" s="20" t="s">
        <v>443</v>
      </c>
      <c r="R223" s="20" t="s">
        <v>1237</v>
      </c>
      <c r="S223" s="24" t="s">
        <v>1238</v>
      </c>
      <c r="T223" s="21"/>
      <c r="U223" s="20" t="s">
        <v>1239</v>
      </c>
      <c r="V223" s="22">
        <v>98.0</v>
      </c>
      <c r="W223" s="22">
        <v>54.1</v>
      </c>
      <c r="X223" s="22">
        <v>14.5</v>
      </c>
      <c r="Y223" s="22">
        <v>131.8</v>
      </c>
      <c r="Z223" s="22">
        <v>0.552</v>
      </c>
    </row>
    <row r="224">
      <c r="A224" s="19">
        <v>1136.0</v>
      </c>
      <c r="B224" s="20" t="s">
        <v>1240</v>
      </c>
      <c r="C224" s="20" t="s">
        <v>439</v>
      </c>
      <c r="D224" s="20" t="s">
        <v>439</v>
      </c>
      <c r="E224" s="20" t="s">
        <v>559</v>
      </c>
      <c r="F224" s="20" t="s">
        <v>441</v>
      </c>
      <c r="G224" s="19">
        <v>1.0</v>
      </c>
      <c r="H224" s="21"/>
      <c r="I224" s="21"/>
      <c r="J224" s="19">
        <v>1.0</v>
      </c>
      <c r="K224" s="19">
        <v>1.0</v>
      </c>
      <c r="L224" s="20" t="s">
        <v>511</v>
      </c>
      <c r="M224" s="20" t="s">
        <v>187</v>
      </c>
      <c r="N224" s="20" t="s">
        <v>170</v>
      </c>
      <c r="O224" s="19">
        <v>-4.0751543</v>
      </c>
      <c r="P224" s="19">
        <v>50.3628726</v>
      </c>
      <c r="Q224" s="20" t="s">
        <v>443</v>
      </c>
      <c r="R224" s="20" t="s">
        <v>1241</v>
      </c>
      <c r="S224" s="24" t="s">
        <v>1242</v>
      </c>
      <c r="T224" s="21"/>
      <c r="U224" s="20" t="s">
        <v>1048</v>
      </c>
      <c r="V224" s="22">
        <v>97.0</v>
      </c>
      <c r="W224" s="22">
        <v>57.0</v>
      </c>
      <c r="X224" s="22">
        <v>19.9</v>
      </c>
      <c r="Y224" s="22">
        <v>142.8</v>
      </c>
      <c r="Z224" s="22">
        <v>0.588</v>
      </c>
    </row>
    <row r="225">
      <c r="A225" s="19">
        <v>1137.0</v>
      </c>
      <c r="B225" s="20" t="s">
        <v>1243</v>
      </c>
      <c r="C225" s="20" t="s">
        <v>439</v>
      </c>
      <c r="D225" s="20" t="s">
        <v>439</v>
      </c>
      <c r="E225" s="20" t="s">
        <v>542</v>
      </c>
      <c r="F225" s="20" t="s">
        <v>441</v>
      </c>
      <c r="G225" s="21"/>
      <c r="H225" s="19">
        <v>1.0</v>
      </c>
      <c r="I225" s="21"/>
      <c r="J225" s="21"/>
      <c r="K225" s="19">
        <v>1.0</v>
      </c>
      <c r="L225" s="20" t="s">
        <v>511</v>
      </c>
      <c r="M225" s="20" t="s">
        <v>187</v>
      </c>
      <c r="N225" s="20" t="s">
        <v>170</v>
      </c>
      <c r="O225" s="19">
        <v>-4.0751543</v>
      </c>
      <c r="P225" s="19">
        <v>50.3628726</v>
      </c>
      <c r="Q225" s="20" t="s">
        <v>443</v>
      </c>
      <c r="R225" s="20" t="s">
        <v>1244</v>
      </c>
      <c r="S225" s="24" t="s">
        <v>1245</v>
      </c>
      <c r="T225" s="21"/>
      <c r="U225" s="20" t="s">
        <v>1246</v>
      </c>
      <c r="V225" s="22">
        <v>155.0</v>
      </c>
      <c r="W225" s="22">
        <v>70.4</v>
      </c>
      <c r="X225" s="22">
        <v>25.5</v>
      </c>
      <c r="Y225" s="22">
        <v>379.0</v>
      </c>
      <c r="Z225" s="22">
        <v>0.454</v>
      </c>
    </row>
    <row r="226">
      <c r="A226" s="19">
        <v>1138.0</v>
      </c>
      <c r="B226" s="20" t="s">
        <v>1247</v>
      </c>
      <c r="C226" s="20" t="s">
        <v>439</v>
      </c>
      <c r="D226" s="20" t="s">
        <v>439</v>
      </c>
      <c r="E226" s="20" t="s">
        <v>458</v>
      </c>
      <c r="F226" s="20" t="s">
        <v>441</v>
      </c>
      <c r="G226" s="21"/>
      <c r="H226" s="19">
        <v>1.0</v>
      </c>
      <c r="I226" s="19">
        <v>1.0</v>
      </c>
      <c r="J226" s="19">
        <v>1.0</v>
      </c>
      <c r="K226" s="21"/>
      <c r="L226" s="20" t="s">
        <v>511</v>
      </c>
      <c r="M226" s="20" t="s">
        <v>187</v>
      </c>
      <c r="N226" s="20" t="s">
        <v>170</v>
      </c>
      <c r="O226" s="19">
        <v>-4.0751543</v>
      </c>
      <c r="P226" s="19">
        <v>50.3628726</v>
      </c>
      <c r="Q226" s="20" t="s">
        <v>443</v>
      </c>
      <c r="R226" s="20" t="s">
        <v>1248</v>
      </c>
      <c r="S226" s="24" t="s">
        <v>1249</v>
      </c>
      <c r="T226" s="21"/>
      <c r="U226" s="20" t="s">
        <v>462</v>
      </c>
      <c r="V226" s="22">
        <v>125.0</v>
      </c>
      <c r="W226" s="22">
        <v>74.9</v>
      </c>
      <c r="X226" s="22">
        <v>21.9</v>
      </c>
      <c r="Y226" s="22">
        <v>291.1</v>
      </c>
      <c r="Z226" s="22">
        <v>0.599</v>
      </c>
    </row>
    <row r="227">
      <c r="A227" s="19">
        <v>1139.0</v>
      </c>
      <c r="B227" s="20" t="s">
        <v>1250</v>
      </c>
      <c r="C227" s="20" t="s">
        <v>439</v>
      </c>
      <c r="D227" s="20" t="s">
        <v>439</v>
      </c>
      <c r="E227" s="20" t="s">
        <v>559</v>
      </c>
      <c r="F227" s="20" t="s">
        <v>441</v>
      </c>
      <c r="G227" s="19">
        <v>1.0</v>
      </c>
      <c r="H227" s="21"/>
      <c r="I227" s="19">
        <v>1.0</v>
      </c>
      <c r="J227" s="19">
        <v>1.0</v>
      </c>
      <c r="K227" s="21"/>
      <c r="L227" s="20" t="s">
        <v>511</v>
      </c>
      <c r="M227" s="20" t="s">
        <v>187</v>
      </c>
      <c r="N227" s="20" t="s">
        <v>170</v>
      </c>
      <c r="O227" s="19">
        <v>-4.0751543</v>
      </c>
      <c r="P227" s="19">
        <v>50.3628726</v>
      </c>
      <c r="Q227" s="20" t="s">
        <v>443</v>
      </c>
      <c r="R227" s="20" t="s">
        <v>1251</v>
      </c>
      <c r="S227" s="24" t="s">
        <v>1252</v>
      </c>
      <c r="T227" s="21"/>
      <c r="U227" s="20" t="s">
        <v>567</v>
      </c>
      <c r="V227" s="22">
        <v>117.5</v>
      </c>
      <c r="W227" s="22">
        <v>72.0</v>
      </c>
      <c r="X227" s="22">
        <v>23.3</v>
      </c>
      <c r="Y227" s="22">
        <v>318.4</v>
      </c>
      <c r="Z227" s="22">
        <v>0.613</v>
      </c>
    </row>
    <row r="228">
      <c r="A228" s="19">
        <v>1140.0</v>
      </c>
      <c r="B228" s="20" t="s">
        <v>1253</v>
      </c>
      <c r="C228" s="20" t="s">
        <v>439</v>
      </c>
      <c r="D228" s="20" t="s">
        <v>439</v>
      </c>
      <c r="E228" s="20" t="s">
        <v>440</v>
      </c>
      <c r="F228" s="20" t="s">
        <v>441</v>
      </c>
      <c r="G228" s="19">
        <v>1.0</v>
      </c>
      <c r="H228" s="19">
        <v>1.0</v>
      </c>
      <c r="I228" s="19">
        <v>1.0</v>
      </c>
      <c r="J228" s="21"/>
      <c r="K228" s="21"/>
      <c r="L228" s="20" t="s">
        <v>511</v>
      </c>
      <c r="M228" s="20" t="s">
        <v>187</v>
      </c>
      <c r="N228" s="20" t="s">
        <v>170</v>
      </c>
      <c r="O228" s="19">
        <v>-4.0751543</v>
      </c>
      <c r="P228" s="19">
        <v>50.3628726</v>
      </c>
      <c r="Q228" s="20" t="s">
        <v>443</v>
      </c>
      <c r="R228" s="20" t="s">
        <v>1254</v>
      </c>
      <c r="S228" s="24" t="s">
        <v>1255</v>
      </c>
      <c r="T228" s="21"/>
      <c r="U228" s="20" t="s">
        <v>854</v>
      </c>
      <c r="V228" s="22">
        <v>101.0</v>
      </c>
      <c r="W228" s="22">
        <v>55.6</v>
      </c>
      <c r="X228" s="22">
        <v>18.5</v>
      </c>
      <c r="Y228" s="22">
        <v>158.5</v>
      </c>
      <c r="Z228" s="22">
        <v>0.55</v>
      </c>
    </row>
    <row r="229">
      <c r="A229" s="19">
        <v>1141.0</v>
      </c>
      <c r="B229" s="20" t="s">
        <v>1256</v>
      </c>
      <c r="C229" s="20" t="s">
        <v>439</v>
      </c>
      <c r="D229" s="20" t="s">
        <v>439</v>
      </c>
      <c r="E229" s="20" t="s">
        <v>740</v>
      </c>
      <c r="F229" s="20" t="s">
        <v>441</v>
      </c>
      <c r="G229" s="21"/>
      <c r="H229" s="19">
        <v>1.0</v>
      </c>
      <c r="I229" s="19">
        <v>1.0</v>
      </c>
      <c r="J229" s="21"/>
      <c r="K229" s="19">
        <v>1.0</v>
      </c>
      <c r="L229" s="20" t="s">
        <v>511</v>
      </c>
      <c r="M229" s="20" t="s">
        <v>187</v>
      </c>
      <c r="N229" s="20" t="s">
        <v>170</v>
      </c>
      <c r="O229" s="19">
        <v>-4.0751543</v>
      </c>
      <c r="P229" s="19">
        <v>50.3628726</v>
      </c>
      <c r="Q229" s="20" t="s">
        <v>443</v>
      </c>
      <c r="R229" s="20" t="s">
        <v>1257</v>
      </c>
      <c r="S229" s="24" t="s">
        <v>1258</v>
      </c>
      <c r="T229" s="21"/>
      <c r="U229" s="20" t="s">
        <v>1239</v>
      </c>
      <c r="V229" s="22">
        <v>99.0</v>
      </c>
      <c r="W229" s="22">
        <v>51.9</v>
      </c>
      <c r="X229" s="22">
        <v>16.3</v>
      </c>
      <c r="Y229" s="22">
        <v>155.3</v>
      </c>
      <c r="Z229" s="22">
        <v>0.524</v>
      </c>
    </row>
    <row r="230">
      <c r="A230" s="19">
        <v>1142.0</v>
      </c>
      <c r="B230" s="20" t="s">
        <v>1259</v>
      </c>
      <c r="C230" s="20" t="s">
        <v>439</v>
      </c>
      <c r="D230" s="20" t="s">
        <v>439</v>
      </c>
      <c r="E230" s="20" t="s">
        <v>516</v>
      </c>
      <c r="F230" s="20" t="s">
        <v>441</v>
      </c>
      <c r="G230" s="19">
        <v>1.0</v>
      </c>
      <c r="H230" s="21"/>
      <c r="I230" s="21"/>
      <c r="J230" s="21"/>
      <c r="K230" s="19">
        <v>1.0</v>
      </c>
      <c r="L230" s="20" t="s">
        <v>511</v>
      </c>
      <c r="M230" s="20" t="s">
        <v>187</v>
      </c>
      <c r="N230" s="20" t="s">
        <v>170</v>
      </c>
      <c r="O230" s="19">
        <v>-4.0751543</v>
      </c>
      <c r="P230" s="19">
        <v>50.3628726</v>
      </c>
      <c r="Q230" s="20" t="s">
        <v>443</v>
      </c>
      <c r="R230" s="20" t="s">
        <v>1260</v>
      </c>
      <c r="S230" s="24" t="s">
        <v>1261</v>
      </c>
      <c r="T230" s="21"/>
      <c r="U230" s="20" t="s">
        <v>904</v>
      </c>
      <c r="V230" s="22">
        <v>103.0</v>
      </c>
      <c r="W230" s="22">
        <v>55.1</v>
      </c>
      <c r="X230" s="22">
        <v>21.0</v>
      </c>
      <c r="Y230" s="22">
        <v>200.1</v>
      </c>
      <c r="Z230" s="22">
        <v>0.535</v>
      </c>
    </row>
    <row r="231">
      <c r="A231" s="19">
        <v>1143.0</v>
      </c>
      <c r="B231" s="20" t="s">
        <v>1262</v>
      </c>
      <c r="C231" s="20" t="s">
        <v>439</v>
      </c>
      <c r="D231" s="20" t="s">
        <v>439</v>
      </c>
      <c r="E231" s="20" t="s">
        <v>845</v>
      </c>
      <c r="F231" s="20" t="s">
        <v>441</v>
      </c>
      <c r="G231" s="19">
        <v>1.0</v>
      </c>
      <c r="H231" s="21"/>
      <c r="I231" s="21"/>
      <c r="J231" s="21"/>
      <c r="K231" s="21"/>
      <c r="L231" s="20" t="s">
        <v>511</v>
      </c>
      <c r="M231" s="20" t="s">
        <v>187</v>
      </c>
      <c r="N231" s="20" t="s">
        <v>170</v>
      </c>
      <c r="O231" s="19">
        <v>-4.0751543</v>
      </c>
      <c r="P231" s="19">
        <v>50.3628726</v>
      </c>
      <c r="Q231" s="20" t="s">
        <v>443</v>
      </c>
      <c r="R231" s="20" t="s">
        <v>1263</v>
      </c>
      <c r="S231" s="24" t="s">
        <v>1264</v>
      </c>
      <c r="T231" s="21"/>
      <c r="U231" s="20" t="s">
        <v>849</v>
      </c>
      <c r="V231" s="22">
        <v>108.0</v>
      </c>
      <c r="W231" s="22">
        <v>72.0</v>
      </c>
      <c r="X231" s="22">
        <v>23.0</v>
      </c>
      <c r="Y231" s="22">
        <v>228.0</v>
      </c>
      <c r="Z231" s="22">
        <v>0.667</v>
      </c>
    </row>
    <row r="232">
      <c r="A232" s="19">
        <v>1144.0</v>
      </c>
      <c r="B232" s="20" t="s">
        <v>1265</v>
      </c>
      <c r="C232" s="20" t="s">
        <v>439</v>
      </c>
      <c r="D232" s="20" t="s">
        <v>439</v>
      </c>
      <c r="E232" s="20" t="s">
        <v>440</v>
      </c>
      <c r="F232" s="20" t="s">
        <v>441</v>
      </c>
      <c r="G232" s="19">
        <v>1.0</v>
      </c>
      <c r="H232" s="21"/>
      <c r="I232" s="19">
        <v>1.0</v>
      </c>
      <c r="J232" s="21"/>
      <c r="K232" s="21"/>
      <c r="L232" s="20" t="s">
        <v>511</v>
      </c>
      <c r="M232" s="20" t="s">
        <v>187</v>
      </c>
      <c r="N232" s="20" t="s">
        <v>170</v>
      </c>
      <c r="O232" s="19">
        <v>-4.0751543</v>
      </c>
      <c r="P232" s="19">
        <v>50.3628726</v>
      </c>
      <c r="Q232" s="20" t="s">
        <v>443</v>
      </c>
      <c r="R232" s="20" t="s">
        <v>1266</v>
      </c>
      <c r="S232" s="24" t="s">
        <v>1267</v>
      </c>
      <c r="T232" s="21"/>
      <c r="U232" s="20" t="s">
        <v>854</v>
      </c>
      <c r="V232" s="22">
        <v>113.0</v>
      </c>
      <c r="W232" s="22">
        <v>73.0</v>
      </c>
      <c r="X232" s="22">
        <v>20.0</v>
      </c>
      <c r="Y232" s="22">
        <v>278.0</v>
      </c>
      <c r="Z232" s="22">
        <v>0.646</v>
      </c>
    </row>
    <row r="233">
      <c r="A233" s="19">
        <v>1145.0</v>
      </c>
      <c r="B233" s="20" t="s">
        <v>1268</v>
      </c>
      <c r="C233" s="20" t="s">
        <v>439</v>
      </c>
      <c r="D233" s="20" t="s">
        <v>439</v>
      </c>
      <c r="E233" s="20" t="s">
        <v>845</v>
      </c>
      <c r="F233" s="20" t="s">
        <v>441</v>
      </c>
      <c r="G233" s="19">
        <v>1.0</v>
      </c>
      <c r="H233" s="21"/>
      <c r="I233" s="21"/>
      <c r="J233" s="21"/>
      <c r="K233" s="21"/>
      <c r="L233" s="20" t="s">
        <v>511</v>
      </c>
      <c r="M233" s="20" t="s">
        <v>187</v>
      </c>
      <c r="N233" s="20" t="s">
        <v>170</v>
      </c>
      <c r="O233" s="19">
        <v>-4.0751543</v>
      </c>
      <c r="P233" s="19">
        <v>50.3628726</v>
      </c>
      <c r="Q233" s="20" t="s">
        <v>443</v>
      </c>
      <c r="R233" s="20" t="s">
        <v>1269</v>
      </c>
      <c r="S233" s="24" t="s">
        <v>1270</v>
      </c>
      <c r="T233" s="21"/>
      <c r="U233" s="20" t="s">
        <v>849</v>
      </c>
      <c r="V233" s="22">
        <v>101.5</v>
      </c>
      <c r="W233" s="22">
        <v>50.0</v>
      </c>
      <c r="X233" s="22">
        <v>22.0</v>
      </c>
      <c r="Y233" s="22">
        <v>202.0</v>
      </c>
      <c r="Z233" s="22">
        <v>0.493</v>
      </c>
    </row>
    <row r="234">
      <c r="A234" s="19">
        <v>1146.0</v>
      </c>
      <c r="B234" s="20" t="s">
        <v>1271</v>
      </c>
      <c r="C234" s="20" t="s">
        <v>439</v>
      </c>
      <c r="D234" s="20" t="s">
        <v>439</v>
      </c>
      <c r="E234" s="20" t="s">
        <v>614</v>
      </c>
      <c r="F234" s="20" t="s">
        <v>441</v>
      </c>
      <c r="G234" s="21"/>
      <c r="H234" s="21"/>
      <c r="I234" s="21"/>
      <c r="J234" s="21"/>
      <c r="K234" s="21"/>
      <c r="L234" s="20" t="s">
        <v>511</v>
      </c>
      <c r="M234" s="20" t="s">
        <v>187</v>
      </c>
      <c r="N234" s="20" t="s">
        <v>170</v>
      </c>
      <c r="O234" s="19">
        <v>-4.0751543</v>
      </c>
      <c r="P234" s="19">
        <v>50.3628726</v>
      </c>
      <c r="Q234" s="20" t="s">
        <v>443</v>
      </c>
      <c r="R234" s="20" t="s">
        <v>1272</v>
      </c>
      <c r="S234" s="24" t="s">
        <v>1273</v>
      </c>
      <c r="T234" s="21"/>
      <c r="U234" s="20" t="s">
        <v>696</v>
      </c>
      <c r="V234" s="22">
        <v>101.5</v>
      </c>
      <c r="W234" s="22">
        <v>50.0</v>
      </c>
      <c r="X234" s="22">
        <v>22.0</v>
      </c>
      <c r="Y234" s="22">
        <v>202.0</v>
      </c>
      <c r="Z234" s="22">
        <v>0.493</v>
      </c>
    </row>
    <row r="235">
      <c r="A235" s="19">
        <v>1148.0</v>
      </c>
      <c r="B235" s="20" t="s">
        <v>1271</v>
      </c>
      <c r="C235" s="20" t="s">
        <v>439</v>
      </c>
      <c r="D235" s="20" t="s">
        <v>439</v>
      </c>
      <c r="E235" s="20" t="s">
        <v>458</v>
      </c>
      <c r="F235" s="20" t="s">
        <v>441</v>
      </c>
      <c r="G235" s="21"/>
      <c r="H235" s="19">
        <v>1.0</v>
      </c>
      <c r="I235" s="21"/>
      <c r="J235" s="21"/>
      <c r="K235" s="21"/>
      <c r="L235" s="20" t="s">
        <v>1274</v>
      </c>
      <c r="M235" s="20" t="s">
        <v>340</v>
      </c>
      <c r="N235" s="20" t="s">
        <v>341</v>
      </c>
      <c r="O235" s="19">
        <v>0.30842075</v>
      </c>
      <c r="P235" s="19">
        <v>52.3010424</v>
      </c>
      <c r="Q235" s="20" t="s">
        <v>443</v>
      </c>
      <c r="R235" s="20" t="s">
        <v>1275</v>
      </c>
      <c r="S235" s="20" t="s">
        <v>1276</v>
      </c>
      <c r="T235" s="21"/>
      <c r="U235" s="20" t="s">
        <v>1277</v>
      </c>
      <c r="V235" s="22">
        <v>153.0</v>
      </c>
      <c r="W235" s="23"/>
      <c r="X235" s="23"/>
      <c r="Y235" s="23"/>
      <c r="Z235" s="23"/>
    </row>
    <row r="236">
      <c r="A236" s="19">
        <v>1149.0</v>
      </c>
      <c r="B236" s="20" t="s">
        <v>1278</v>
      </c>
      <c r="C236" s="20" t="s">
        <v>439</v>
      </c>
      <c r="D236" s="20" t="s">
        <v>439</v>
      </c>
      <c r="E236" s="20" t="s">
        <v>740</v>
      </c>
      <c r="F236" s="20" t="s">
        <v>441</v>
      </c>
      <c r="G236" s="19">
        <v>1.0</v>
      </c>
      <c r="H236" s="21"/>
      <c r="I236" s="19">
        <v>1.0</v>
      </c>
      <c r="J236" s="19">
        <v>1.0</v>
      </c>
      <c r="K236" s="21"/>
      <c r="L236" s="20" t="s">
        <v>500</v>
      </c>
      <c r="M236" s="20" t="s">
        <v>354</v>
      </c>
      <c r="N236" s="20" t="s">
        <v>341</v>
      </c>
      <c r="O236" s="19">
        <v>0.59042957</v>
      </c>
      <c r="P236" s="19">
        <v>52.1063453</v>
      </c>
      <c r="Q236" s="20" t="s">
        <v>443</v>
      </c>
      <c r="R236" s="20" t="s">
        <v>1279</v>
      </c>
      <c r="S236" s="20" t="s">
        <v>1280</v>
      </c>
      <c r="T236" s="21"/>
      <c r="U236" s="20" t="s">
        <v>1281</v>
      </c>
      <c r="V236" s="22">
        <v>167.5</v>
      </c>
      <c r="W236" s="23"/>
      <c r="X236" s="23"/>
      <c r="Y236" s="22">
        <v>496.4</v>
      </c>
      <c r="Z236" s="23"/>
    </row>
    <row r="237">
      <c r="A237" s="19">
        <v>1150.0</v>
      </c>
      <c r="B237" s="20" t="s">
        <v>1282</v>
      </c>
      <c r="C237" s="20" t="s">
        <v>439</v>
      </c>
      <c r="D237" s="20" t="s">
        <v>439</v>
      </c>
      <c r="E237" s="20" t="s">
        <v>458</v>
      </c>
      <c r="F237" s="20" t="s">
        <v>441</v>
      </c>
      <c r="G237" s="21"/>
      <c r="H237" s="19">
        <v>1.0</v>
      </c>
      <c r="I237" s="21"/>
      <c r="J237" s="21"/>
      <c r="K237" s="19">
        <v>1.0</v>
      </c>
      <c r="L237" s="20" t="s">
        <v>500</v>
      </c>
      <c r="M237" s="20" t="s">
        <v>354</v>
      </c>
      <c r="N237" s="20" t="s">
        <v>341</v>
      </c>
      <c r="O237" s="19">
        <v>0.59042957</v>
      </c>
      <c r="P237" s="19">
        <v>52.1063453</v>
      </c>
      <c r="Q237" s="20" t="s">
        <v>443</v>
      </c>
      <c r="R237" s="20" t="s">
        <v>1283</v>
      </c>
      <c r="S237" s="20" t="s">
        <v>1284</v>
      </c>
      <c r="T237" s="21"/>
      <c r="U237" s="20" t="s">
        <v>462</v>
      </c>
      <c r="V237" s="22">
        <v>143.5</v>
      </c>
      <c r="W237" s="23"/>
      <c r="X237" s="23"/>
      <c r="Y237" s="22">
        <v>410.5</v>
      </c>
      <c r="Z237" s="23"/>
    </row>
    <row r="238">
      <c r="A238" s="19">
        <v>1151.0</v>
      </c>
      <c r="B238" s="20" t="s">
        <v>1285</v>
      </c>
      <c r="C238" s="20" t="s">
        <v>439</v>
      </c>
      <c r="D238" s="20" t="s">
        <v>439</v>
      </c>
      <c r="E238" s="20" t="s">
        <v>440</v>
      </c>
      <c r="F238" s="20" t="s">
        <v>441</v>
      </c>
      <c r="G238" s="21"/>
      <c r="H238" s="19">
        <v>1.0</v>
      </c>
      <c r="I238" s="21"/>
      <c r="J238" s="21"/>
      <c r="K238" s="19">
        <v>1.0</v>
      </c>
      <c r="L238" s="20" t="s">
        <v>500</v>
      </c>
      <c r="M238" s="20" t="s">
        <v>354</v>
      </c>
      <c r="N238" s="20" t="s">
        <v>341</v>
      </c>
      <c r="O238" s="19">
        <v>0.59042957</v>
      </c>
      <c r="P238" s="19">
        <v>52.1063453</v>
      </c>
      <c r="Q238" s="20" t="s">
        <v>443</v>
      </c>
      <c r="R238" s="20" t="s">
        <v>1286</v>
      </c>
      <c r="S238" s="20" t="s">
        <v>1287</v>
      </c>
      <c r="T238" s="21"/>
      <c r="U238" s="20" t="s">
        <v>854</v>
      </c>
      <c r="V238" s="22">
        <v>124.0</v>
      </c>
      <c r="W238" s="23"/>
      <c r="X238" s="23"/>
      <c r="Y238" s="22">
        <v>304.6</v>
      </c>
      <c r="Z238" s="23"/>
    </row>
    <row r="239">
      <c r="A239" s="19">
        <v>1152.0</v>
      </c>
      <c r="B239" s="20" t="s">
        <v>1288</v>
      </c>
      <c r="C239" s="20" t="s">
        <v>439</v>
      </c>
      <c r="D239" s="20" t="s">
        <v>439</v>
      </c>
      <c r="E239" s="20" t="s">
        <v>458</v>
      </c>
      <c r="F239" s="20" t="s">
        <v>441</v>
      </c>
      <c r="G239" s="19">
        <v>1.0</v>
      </c>
      <c r="H239" s="21"/>
      <c r="I239" s="21"/>
      <c r="J239" s="21"/>
      <c r="K239" s="21"/>
      <c r="L239" s="20" t="s">
        <v>500</v>
      </c>
      <c r="M239" s="20" t="s">
        <v>354</v>
      </c>
      <c r="N239" s="20" t="s">
        <v>341</v>
      </c>
      <c r="O239" s="19">
        <v>0.59042957</v>
      </c>
      <c r="P239" s="19">
        <v>52.1063453</v>
      </c>
      <c r="Q239" s="20" t="s">
        <v>443</v>
      </c>
      <c r="R239" s="20" t="s">
        <v>1289</v>
      </c>
      <c r="S239" s="20" t="s">
        <v>1290</v>
      </c>
      <c r="T239" s="21"/>
      <c r="U239" s="20" t="s">
        <v>462</v>
      </c>
      <c r="V239" s="22">
        <v>115.0</v>
      </c>
      <c r="W239" s="22">
        <v>72.0</v>
      </c>
      <c r="X239" s="22">
        <v>23.0</v>
      </c>
      <c r="Y239" s="22">
        <v>255.0</v>
      </c>
      <c r="Z239" s="22">
        <v>0.626</v>
      </c>
    </row>
    <row r="240">
      <c r="A240" s="19">
        <v>1153.0</v>
      </c>
      <c r="B240" s="20" t="s">
        <v>1291</v>
      </c>
      <c r="C240" s="20" t="s">
        <v>439</v>
      </c>
      <c r="D240" s="20" t="s">
        <v>439</v>
      </c>
      <c r="E240" s="20" t="s">
        <v>440</v>
      </c>
      <c r="F240" s="20" t="s">
        <v>441</v>
      </c>
      <c r="G240" s="19">
        <v>1.0</v>
      </c>
      <c r="H240" s="21"/>
      <c r="I240" s="21"/>
      <c r="J240" s="19">
        <v>1.0</v>
      </c>
      <c r="K240" s="21"/>
      <c r="L240" s="20" t="s">
        <v>500</v>
      </c>
      <c r="M240" s="20" t="s">
        <v>354</v>
      </c>
      <c r="N240" s="20" t="s">
        <v>341</v>
      </c>
      <c r="O240" s="19">
        <v>0.59042957</v>
      </c>
      <c r="P240" s="19">
        <v>52.1063453</v>
      </c>
      <c r="Q240" s="20" t="s">
        <v>443</v>
      </c>
      <c r="R240" s="20" t="s">
        <v>1292</v>
      </c>
      <c r="S240" s="20" t="s">
        <v>1293</v>
      </c>
      <c r="T240" s="21"/>
      <c r="U240" s="20" t="s">
        <v>1127</v>
      </c>
      <c r="V240" s="22">
        <v>130.5</v>
      </c>
      <c r="W240" s="22">
        <v>68.0</v>
      </c>
      <c r="X240" s="22">
        <v>24.0</v>
      </c>
      <c r="Y240" s="22">
        <v>340.0</v>
      </c>
      <c r="Z240" s="22">
        <v>0.521</v>
      </c>
    </row>
    <row r="241">
      <c r="A241" s="19">
        <v>1154.0</v>
      </c>
      <c r="B241" s="20" t="s">
        <v>1294</v>
      </c>
      <c r="C241" s="20" t="s">
        <v>439</v>
      </c>
      <c r="D241" s="20" t="s">
        <v>439</v>
      </c>
      <c r="E241" s="20" t="s">
        <v>542</v>
      </c>
      <c r="F241" s="20" t="s">
        <v>441</v>
      </c>
      <c r="G241" s="19">
        <v>1.0</v>
      </c>
      <c r="H241" s="21"/>
      <c r="I241" s="21"/>
      <c r="J241" s="21"/>
      <c r="K241" s="19">
        <v>1.0</v>
      </c>
      <c r="L241" s="20" t="s">
        <v>500</v>
      </c>
      <c r="M241" s="20" t="s">
        <v>354</v>
      </c>
      <c r="N241" s="20" t="s">
        <v>341</v>
      </c>
      <c r="O241" s="19">
        <v>0.59042957</v>
      </c>
      <c r="P241" s="19">
        <v>52.1063453</v>
      </c>
      <c r="Q241" s="20" t="s">
        <v>443</v>
      </c>
      <c r="R241" s="20" t="s">
        <v>1295</v>
      </c>
      <c r="S241" s="20" t="s">
        <v>1296</v>
      </c>
      <c r="T241" s="21"/>
      <c r="U241" s="20" t="s">
        <v>1106</v>
      </c>
      <c r="V241" s="22">
        <v>129.0</v>
      </c>
      <c r="W241" s="22">
        <v>64.0</v>
      </c>
      <c r="X241" s="22">
        <v>25.0</v>
      </c>
      <c r="Y241" s="22">
        <v>269.0</v>
      </c>
      <c r="Z241" s="22">
        <v>0.496</v>
      </c>
    </row>
    <row r="242">
      <c r="A242" s="19">
        <v>1155.0</v>
      </c>
      <c r="B242" s="20" t="s">
        <v>1297</v>
      </c>
      <c r="C242" s="20" t="s">
        <v>439</v>
      </c>
      <c r="D242" s="20" t="s">
        <v>439</v>
      </c>
      <c r="E242" s="20" t="s">
        <v>440</v>
      </c>
      <c r="F242" s="20" t="s">
        <v>441</v>
      </c>
      <c r="G242" s="19">
        <v>1.0</v>
      </c>
      <c r="H242" s="21"/>
      <c r="I242" s="21"/>
      <c r="J242" s="21"/>
      <c r="K242" s="19">
        <v>1.0</v>
      </c>
      <c r="L242" s="20" t="s">
        <v>500</v>
      </c>
      <c r="M242" s="20" t="s">
        <v>354</v>
      </c>
      <c r="N242" s="20" t="s">
        <v>341</v>
      </c>
      <c r="O242" s="19">
        <v>0.59042957</v>
      </c>
      <c r="P242" s="19">
        <v>52.1063453</v>
      </c>
      <c r="Q242" s="20" t="s">
        <v>443</v>
      </c>
      <c r="R242" s="20" t="s">
        <v>1298</v>
      </c>
      <c r="S242" s="20" t="s">
        <v>1299</v>
      </c>
      <c r="T242" s="21"/>
      <c r="U242" s="20" t="s">
        <v>854</v>
      </c>
      <c r="V242" s="22">
        <v>127.0</v>
      </c>
      <c r="W242" s="23"/>
      <c r="X242" s="23"/>
      <c r="Y242" s="23"/>
      <c r="Z242" s="23"/>
    </row>
    <row r="243">
      <c r="A243" s="19">
        <v>1159.0</v>
      </c>
      <c r="B243" s="20" t="s">
        <v>1300</v>
      </c>
      <c r="C243" s="20" t="s">
        <v>165</v>
      </c>
      <c r="D243" s="20" t="s">
        <v>165</v>
      </c>
      <c r="E243" s="20" t="s">
        <v>955</v>
      </c>
      <c r="F243" s="20" t="s">
        <v>203</v>
      </c>
      <c r="G243" s="19">
        <v>0.0</v>
      </c>
      <c r="H243" s="21"/>
      <c r="I243" s="21"/>
      <c r="J243" s="21"/>
      <c r="K243" s="21"/>
      <c r="L243" s="20" t="s">
        <v>1301</v>
      </c>
      <c r="M243" s="20" t="s">
        <v>1188</v>
      </c>
      <c r="N243" s="20" t="s">
        <v>253</v>
      </c>
      <c r="O243" s="19">
        <v>-0.979625</v>
      </c>
      <c r="P243" s="19">
        <v>51.451542</v>
      </c>
      <c r="Q243" s="20" t="s">
        <v>171</v>
      </c>
      <c r="R243" s="20" t="s">
        <v>1302</v>
      </c>
      <c r="S243" s="20" t="s">
        <v>1303</v>
      </c>
      <c r="T243" s="21"/>
      <c r="U243" s="20" t="s">
        <v>256</v>
      </c>
      <c r="V243" s="22">
        <v>128.0</v>
      </c>
      <c r="W243" s="22">
        <v>70.0</v>
      </c>
      <c r="X243" s="22">
        <v>31.0</v>
      </c>
      <c r="Y243" s="22">
        <v>377.1</v>
      </c>
      <c r="Z243" s="22">
        <v>0.547</v>
      </c>
    </row>
    <row r="244">
      <c r="A244" s="19">
        <v>1160.0</v>
      </c>
      <c r="B244" s="20" t="s">
        <v>1304</v>
      </c>
      <c r="C244" s="20" t="s">
        <v>439</v>
      </c>
      <c r="D244" s="20" t="s">
        <v>439</v>
      </c>
      <c r="E244" s="20" t="s">
        <v>440</v>
      </c>
      <c r="F244" s="20" t="s">
        <v>441</v>
      </c>
      <c r="G244" s="19">
        <v>1.0</v>
      </c>
      <c r="H244" s="21"/>
      <c r="I244" s="21"/>
      <c r="J244" s="21"/>
      <c r="K244" s="19">
        <v>1.0</v>
      </c>
      <c r="L244" s="20" t="s">
        <v>1305</v>
      </c>
      <c r="M244" s="20" t="s">
        <v>311</v>
      </c>
      <c r="N244" s="20" t="s">
        <v>253</v>
      </c>
      <c r="O244" s="19">
        <v>-0.4349884</v>
      </c>
      <c r="P244" s="19">
        <v>53.2572249</v>
      </c>
      <c r="Q244" s="20" t="s">
        <v>443</v>
      </c>
      <c r="R244" s="20" t="s">
        <v>1306</v>
      </c>
      <c r="S244" s="20" t="s">
        <v>1307</v>
      </c>
      <c r="T244" s="21"/>
      <c r="U244" s="20" t="s">
        <v>1308</v>
      </c>
      <c r="V244" s="22">
        <v>121.0</v>
      </c>
      <c r="W244" s="22">
        <v>68.0</v>
      </c>
      <c r="X244" s="22">
        <v>21.0</v>
      </c>
      <c r="Y244" s="22">
        <v>269.0</v>
      </c>
      <c r="Z244" s="22">
        <v>0.562</v>
      </c>
    </row>
    <row r="245">
      <c r="A245" s="19">
        <v>1167.0</v>
      </c>
      <c r="B245" s="20" t="s">
        <v>1309</v>
      </c>
      <c r="C245" s="20" t="s">
        <v>176</v>
      </c>
      <c r="D245" s="20" t="s">
        <v>176</v>
      </c>
      <c r="E245" s="20" t="s">
        <v>177</v>
      </c>
      <c r="F245" s="20" t="s">
        <v>178</v>
      </c>
      <c r="G245" s="19">
        <v>0.0</v>
      </c>
      <c r="H245" s="21"/>
      <c r="I245" s="21"/>
      <c r="J245" s="21"/>
      <c r="K245" s="21"/>
      <c r="L245" s="20" t="s">
        <v>1310</v>
      </c>
      <c r="M245" s="20" t="s">
        <v>311</v>
      </c>
      <c r="N245" s="20" t="s">
        <v>253</v>
      </c>
      <c r="O245" s="19">
        <v>-0.3628193</v>
      </c>
      <c r="P245" s="19">
        <v>53.0858964</v>
      </c>
      <c r="Q245" s="20" t="s">
        <v>180</v>
      </c>
      <c r="R245" s="20" t="s">
        <v>1311</v>
      </c>
      <c r="S245" s="20" t="s">
        <v>1312</v>
      </c>
      <c r="T245" s="21"/>
      <c r="U245" s="20" t="s">
        <v>1313</v>
      </c>
      <c r="V245" s="22">
        <v>162.0</v>
      </c>
      <c r="W245" s="23"/>
      <c r="X245" s="23"/>
      <c r="Y245" s="23"/>
      <c r="Z245" s="23"/>
    </row>
    <row r="246">
      <c r="A246" s="19">
        <v>1168.0</v>
      </c>
      <c r="B246" s="20" t="s">
        <v>1314</v>
      </c>
      <c r="C246" s="20" t="s">
        <v>165</v>
      </c>
      <c r="D246" s="20" t="s">
        <v>165</v>
      </c>
      <c r="E246" s="20" t="s">
        <v>359</v>
      </c>
      <c r="F246" s="20" t="s">
        <v>178</v>
      </c>
      <c r="G246" s="19">
        <v>0.0</v>
      </c>
      <c r="H246" s="21"/>
      <c r="I246" s="21"/>
      <c r="J246" s="21"/>
      <c r="K246" s="21"/>
      <c r="L246" s="20" t="s">
        <v>1310</v>
      </c>
      <c r="M246" s="20" t="s">
        <v>311</v>
      </c>
      <c r="N246" s="20" t="s">
        <v>253</v>
      </c>
      <c r="O246" s="19">
        <v>-0.3628193</v>
      </c>
      <c r="P246" s="19">
        <v>53.0858964</v>
      </c>
      <c r="Q246" s="23"/>
      <c r="R246" s="20" t="s">
        <v>1315</v>
      </c>
      <c r="S246" s="20" t="s">
        <v>1316</v>
      </c>
      <c r="T246" s="21"/>
      <c r="U246" s="20" t="s">
        <v>363</v>
      </c>
      <c r="V246" s="22">
        <v>167.0</v>
      </c>
      <c r="W246" s="23"/>
      <c r="X246" s="23"/>
      <c r="Y246" s="23"/>
      <c r="Z246" s="23"/>
    </row>
    <row r="247">
      <c r="A247" s="19">
        <v>1169.0</v>
      </c>
      <c r="B247" s="20" t="s">
        <v>1317</v>
      </c>
      <c r="C247" s="20" t="s">
        <v>176</v>
      </c>
      <c r="D247" s="20" t="s">
        <v>176</v>
      </c>
      <c r="E247" s="20" t="s">
        <v>264</v>
      </c>
      <c r="F247" s="20" t="s">
        <v>203</v>
      </c>
      <c r="G247" s="19">
        <v>0.0</v>
      </c>
      <c r="H247" s="21"/>
      <c r="I247" s="21"/>
      <c r="J247" s="21"/>
      <c r="K247" s="21"/>
      <c r="L247" s="20" t="s">
        <v>689</v>
      </c>
      <c r="M247" s="20" t="s">
        <v>95</v>
      </c>
      <c r="N247" s="20" t="s">
        <v>341</v>
      </c>
      <c r="O247" s="19">
        <v>1.27791072</v>
      </c>
      <c r="P247" s="19">
        <v>52.6506648</v>
      </c>
      <c r="Q247" s="20" t="s">
        <v>180</v>
      </c>
      <c r="R247" s="20" t="s">
        <v>1318</v>
      </c>
      <c r="S247" s="20" t="s">
        <v>1319</v>
      </c>
      <c r="T247" s="21"/>
      <c r="U247" s="20" t="s">
        <v>1320</v>
      </c>
      <c r="V247" s="22">
        <v>149.0</v>
      </c>
      <c r="W247" s="22">
        <v>84.0</v>
      </c>
      <c r="X247" s="23"/>
      <c r="Y247" s="22">
        <v>406.0</v>
      </c>
      <c r="Z247" s="22">
        <v>0.564</v>
      </c>
    </row>
    <row r="248">
      <c r="A248" s="19">
        <v>1170.0</v>
      </c>
      <c r="B248" s="20" t="s">
        <v>1321</v>
      </c>
      <c r="C248" s="20" t="s">
        <v>439</v>
      </c>
      <c r="D248" s="20" t="s">
        <v>439</v>
      </c>
      <c r="E248" s="20" t="s">
        <v>458</v>
      </c>
      <c r="F248" s="20" t="s">
        <v>441</v>
      </c>
      <c r="G248" s="21"/>
      <c r="H248" s="19">
        <v>1.0</v>
      </c>
      <c r="I248" s="21"/>
      <c r="J248" s="21"/>
      <c r="K248" s="21"/>
      <c r="L248" s="20" t="s">
        <v>700</v>
      </c>
      <c r="M248" s="20" t="s">
        <v>95</v>
      </c>
      <c r="N248" s="20" t="s">
        <v>341</v>
      </c>
      <c r="O248" s="19">
        <v>1.40911245</v>
      </c>
      <c r="P248" s="19">
        <v>52.6881062</v>
      </c>
      <c r="Q248" s="20" t="s">
        <v>443</v>
      </c>
      <c r="R248" s="20" t="s">
        <v>1322</v>
      </c>
      <c r="S248" s="20" t="s">
        <v>1323</v>
      </c>
      <c r="T248" s="21"/>
      <c r="U248" s="20" t="s">
        <v>619</v>
      </c>
      <c r="V248" s="22">
        <v>95.5</v>
      </c>
      <c r="W248" s="22">
        <v>45.0</v>
      </c>
      <c r="X248" s="22">
        <v>21.0</v>
      </c>
      <c r="Y248" s="22">
        <v>164.0</v>
      </c>
      <c r="Z248" s="22">
        <v>0.471</v>
      </c>
    </row>
    <row r="249">
      <c r="A249" s="19">
        <v>1171.0</v>
      </c>
      <c r="B249" s="20" t="s">
        <v>1324</v>
      </c>
      <c r="C249" s="20" t="s">
        <v>439</v>
      </c>
      <c r="D249" s="20" t="s">
        <v>439</v>
      </c>
      <c r="E249" s="20" t="s">
        <v>542</v>
      </c>
      <c r="F249" s="20" t="s">
        <v>441</v>
      </c>
      <c r="G249" s="19">
        <v>1.0</v>
      </c>
      <c r="H249" s="21"/>
      <c r="I249" s="19">
        <v>1.0</v>
      </c>
      <c r="J249" s="21"/>
      <c r="K249" s="21"/>
      <c r="L249" s="20" t="s">
        <v>1325</v>
      </c>
      <c r="M249" s="20" t="s">
        <v>595</v>
      </c>
      <c r="N249" s="20" t="s">
        <v>170</v>
      </c>
      <c r="O249" s="19">
        <v>-1.7944525</v>
      </c>
      <c r="P249" s="19">
        <v>51.0646545</v>
      </c>
      <c r="Q249" s="20" t="s">
        <v>443</v>
      </c>
      <c r="R249" s="20" t="s">
        <v>1326</v>
      </c>
      <c r="S249" s="20" t="s">
        <v>1327</v>
      </c>
      <c r="T249" s="21"/>
      <c r="U249" s="20" t="s">
        <v>859</v>
      </c>
      <c r="V249" s="22">
        <v>118.0</v>
      </c>
      <c r="W249" s="23"/>
      <c r="X249" s="23"/>
      <c r="Y249" s="23"/>
      <c r="Z249" s="23"/>
    </row>
    <row r="250">
      <c r="A250" s="19">
        <v>1172.0</v>
      </c>
      <c r="B250" s="20" t="s">
        <v>1328</v>
      </c>
      <c r="C250" s="20" t="s">
        <v>439</v>
      </c>
      <c r="D250" s="20" t="s">
        <v>439</v>
      </c>
      <c r="E250" s="20" t="s">
        <v>458</v>
      </c>
      <c r="F250" s="20" t="s">
        <v>441</v>
      </c>
      <c r="G250" s="21"/>
      <c r="H250" s="19">
        <v>1.0</v>
      </c>
      <c r="I250" s="21"/>
      <c r="J250" s="19">
        <v>1.0</v>
      </c>
      <c r="K250" s="21"/>
      <c r="L250" s="20" t="s">
        <v>1329</v>
      </c>
      <c r="M250" s="20" t="s">
        <v>595</v>
      </c>
      <c r="N250" s="20" t="s">
        <v>170</v>
      </c>
      <c r="O250" s="19">
        <v>-1.809</v>
      </c>
      <c r="P250" s="19">
        <v>51.155</v>
      </c>
      <c r="Q250" s="20" t="s">
        <v>443</v>
      </c>
      <c r="R250" s="20" t="s">
        <v>1330</v>
      </c>
      <c r="S250" s="20" t="s">
        <v>1331</v>
      </c>
      <c r="T250" s="21"/>
      <c r="U250" s="20" t="s">
        <v>462</v>
      </c>
      <c r="V250" s="22">
        <v>112.5</v>
      </c>
      <c r="W250" s="22">
        <v>61.0</v>
      </c>
      <c r="X250" s="22">
        <v>21.0</v>
      </c>
      <c r="Y250" s="22">
        <v>244.4</v>
      </c>
      <c r="Z250" s="22">
        <v>0.542</v>
      </c>
    </row>
    <row r="251">
      <c r="A251" s="19">
        <v>1173.0</v>
      </c>
      <c r="B251" s="20" t="s">
        <v>1332</v>
      </c>
      <c r="C251" s="20" t="s">
        <v>439</v>
      </c>
      <c r="D251" s="20" t="s">
        <v>439</v>
      </c>
      <c r="E251" s="20" t="s">
        <v>458</v>
      </c>
      <c r="F251" s="20" t="s">
        <v>441</v>
      </c>
      <c r="G251" s="21"/>
      <c r="H251" s="19">
        <v>1.0</v>
      </c>
      <c r="I251" s="21"/>
      <c r="J251" s="19">
        <v>1.0</v>
      </c>
      <c r="K251" s="21"/>
      <c r="L251" s="20" t="s">
        <v>1333</v>
      </c>
      <c r="M251" s="20" t="s">
        <v>554</v>
      </c>
      <c r="N251" s="20" t="s">
        <v>253</v>
      </c>
      <c r="O251" s="19">
        <v>-1.8303834</v>
      </c>
      <c r="P251" s="19">
        <v>50.9361679</v>
      </c>
      <c r="Q251" s="20" t="s">
        <v>443</v>
      </c>
      <c r="R251" s="20" t="s">
        <v>1334</v>
      </c>
      <c r="S251" s="20" t="s">
        <v>1335</v>
      </c>
      <c r="T251" s="21"/>
      <c r="U251" s="20" t="s">
        <v>1033</v>
      </c>
      <c r="V251" s="22">
        <v>143.0</v>
      </c>
      <c r="W251" s="23"/>
      <c r="X251" s="23"/>
      <c r="Y251" s="22">
        <v>283.5</v>
      </c>
      <c r="Z251" s="23"/>
    </row>
    <row r="252">
      <c r="A252" s="19">
        <v>1176.0</v>
      </c>
      <c r="B252" s="20" t="s">
        <v>1336</v>
      </c>
      <c r="C252" s="20" t="s">
        <v>176</v>
      </c>
      <c r="D252" s="20" t="s">
        <v>176</v>
      </c>
      <c r="E252" s="20" t="s">
        <v>177</v>
      </c>
      <c r="F252" s="20" t="s">
        <v>178</v>
      </c>
      <c r="G252" s="19">
        <v>0.0</v>
      </c>
      <c r="H252" s="21"/>
      <c r="I252" s="21"/>
      <c r="J252" s="21"/>
      <c r="K252" s="21"/>
      <c r="L252" s="20" t="s">
        <v>1337</v>
      </c>
      <c r="M252" s="20" t="s">
        <v>340</v>
      </c>
      <c r="N252" s="20" t="s">
        <v>341</v>
      </c>
      <c r="O252" s="19">
        <v>0.38894163</v>
      </c>
      <c r="P252" s="19">
        <v>52.4343223</v>
      </c>
      <c r="Q252" s="20" t="s">
        <v>180</v>
      </c>
      <c r="R252" s="20" t="s">
        <v>1338</v>
      </c>
      <c r="S252" s="20" t="s">
        <v>1339</v>
      </c>
      <c r="T252" s="21"/>
      <c r="U252" s="20" t="s">
        <v>1340</v>
      </c>
      <c r="V252" s="22">
        <v>140.5</v>
      </c>
      <c r="W252" s="23"/>
      <c r="X252" s="23"/>
      <c r="Y252" s="23"/>
      <c r="Z252" s="23"/>
    </row>
    <row r="253">
      <c r="A253" s="19">
        <v>1177.0</v>
      </c>
      <c r="B253" s="20" t="s">
        <v>1341</v>
      </c>
      <c r="C253" s="20" t="s">
        <v>165</v>
      </c>
      <c r="D253" s="20" t="s">
        <v>165</v>
      </c>
      <c r="E253" s="20" t="s">
        <v>282</v>
      </c>
      <c r="F253" s="20" t="s">
        <v>203</v>
      </c>
      <c r="G253" s="19">
        <v>0.0</v>
      </c>
      <c r="H253" s="21"/>
      <c r="I253" s="21"/>
      <c r="J253" s="21"/>
      <c r="K253" s="21"/>
      <c r="L253" s="20" t="s">
        <v>1342</v>
      </c>
      <c r="M253" s="20" t="s">
        <v>354</v>
      </c>
      <c r="N253" s="20" t="s">
        <v>341</v>
      </c>
      <c r="O253" s="19">
        <v>1.45576075</v>
      </c>
      <c r="P253" s="19">
        <v>52.2752704</v>
      </c>
      <c r="Q253" s="20" t="s">
        <v>205</v>
      </c>
      <c r="R253" s="20" t="s">
        <v>1343</v>
      </c>
      <c r="S253" s="20" t="s">
        <v>1344</v>
      </c>
      <c r="T253" s="21"/>
      <c r="U253" s="20" t="s">
        <v>377</v>
      </c>
      <c r="V253" s="22">
        <v>187.0</v>
      </c>
      <c r="W253" s="23"/>
      <c r="X253" s="23"/>
      <c r="Y253" s="23"/>
      <c r="Z253" s="23"/>
    </row>
    <row r="254">
      <c r="A254" s="19">
        <v>1178.0</v>
      </c>
      <c r="B254" s="20" t="s">
        <v>1345</v>
      </c>
      <c r="C254" s="20" t="s">
        <v>165</v>
      </c>
      <c r="D254" s="20" t="s">
        <v>165</v>
      </c>
      <c r="E254" s="20" t="s">
        <v>408</v>
      </c>
      <c r="F254" s="20" t="s">
        <v>167</v>
      </c>
      <c r="G254" s="19">
        <v>0.0</v>
      </c>
      <c r="H254" s="21"/>
      <c r="I254" s="21"/>
      <c r="J254" s="21"/>
      <c r="K254" s="21"/>
      <c r="L254" s="20" t="s">
        <v>1346</v>
      </c>
      <c r="M254" s="20" t="s">
        <v>277</v>
      </c>
      <c r="N254" s="20" t="s">
        <v>170</v>
      </c>
      <c r="O254" s="19">
        <v>-1.9069539</v>
      </c>
      <c r="P254" s="19">
        <v>51.8920159</v>
      </c>
      <c r="Q254" s="20" t="s">
        <v>171</v>
      </c>
      <c r="R254" s="20" t="s">
        <v>1347</v>
      </c>
      <c r="S254" s="20" t="s">
        <v>1348</v>
      </c>
      <c r="T254" s="21"/>
      <c r="U254" s="20" t="s">
        <v>412</v>
      </c>
      <c r="V254" s="22">
        <v>76.0</v>
      </c>
      <c r="W254" s="23"/>
      <c r="X254" s="23"/>
      <c r="Y254" s="23"/>
      <c r="Z254" s="23"/>
    </row>
    <row r="255">
      <c r="A255" s="19">
        <v>1181.0</v>
      </c>
      <c r="B255" s="20" t="s">
        <v>1349</v>
      </c>
      <c r="C255" s="20" t="s">
        <v>165</v>
      </c>
      <c r="D255" s="20" t="s">
        <v>165</v>
      </c>
      <c r="E255" s="20" t="s">
        <v>203</v>
      </c>
      <c r="F255" s="20" t="s">
        <v>203</v>
      </c>
      <c r="G255" s="19">
        <v>0.0</v>
      </c>
      <c r="H255" s="21"/>
      <c r="I255" s="21"/>
      <c r="J255" s="21"/>
      <c r="K255" s="21"/>
      <c r="L255" s="20" t="s">
        <v>1350</v>
      </c>
      <c r="M255" s="20" t="s">
        <v>311</v>
      </c>
      <c r="N255" s="20" t="s">
        <v>253</v>
      </c>
      <c r="O255" s="19">
        <v>-0.2807926</v>
      </c>
      <c r="P255" s="19">
        <v>53.0590728</v>
      </c>
      <c r="Q255" s="23"/>
      <c r="R255" s="20" t="s">
        <v>1351</v>
      </c>
      <c r="S255" s="20" t="s">
        <v>1352</v>
      </c>
      <c r="T255" s="21"/>
      <c r="U255" s="20" t="s">
        <v>1353</v>
      </c>
      <c r="V255" s="22">
        <v>110.0</v>
      </c>
      <c r="W255" s="22">
        <v>57.0</v>
      </c>
      <c r="X255" s="22">
        <v>22.0</v>
      </c>
      <c r="Y255" s="23"/>
      <c r="Z255" s="22">
        <v>0.518</v>
      </c>
    </row>
    <row r="256">
      <c r="A256" s="19">
        <v>1191.0</v>
      </c>
      <c r="B256" s="20" t="s">
        <v>1354</v>
      </c>
      <c r="C256" s="20" t="s">
        <v>165</v>
      </c>
      <c r="D256" s="20" t="s">
        <v>165</v>
      </c>
      <c r="E256" s="20" t="s">
        <v>955</v>
      </c>
      <c r="F256" s="20" t="s">
        <v>203</v>
      </c>
      <c r="G256" s="19">
        <v>0.0</v>
      </c>
      <c r="H256" s="21"/>
      <c r="I256" s="21"/>
      <c r="J256" s="21"/>
      <c r="K256" s="21"/>
      <c r="L256" s="20" t="s">
        <v>1355</v>
      </c>
      <c r="M256" s="20" t="s">
        <v>366</v>
      </c>
      <c r="N256" s="20" t="s">
        <v>253</v>
      </c>
      <c r="O256" s="19">
        <v>0.07769454</v>
      </c>
      <c r="P256" s="19">
        <v>50.8035439</v>
      </c>
      <c r="Q256" s="20" t="s">
        <v>171</v>
      </c>
      <c r="R256" s="20" t="s">
        <v>1356</v>
      </c>
      <c r="S256" s="20" t="s">
        <v>1357</v>
      </c>
      <c r="T256" s="21"/>
      <c r="U256" s="20" t="s">
        <v>256</v>
      </c>
      <c r="V256" s="22">
        <v>112.0</v>
      </c>
      <c r="W256" s="23"/>
      <c r="X256" s="23"/>
      <c r="Y256" s="23"/>
      <c r="Z256" s="23"/>
    </row>
    <row r="257">
      <c r="A257" s="19">
        <v>1192.0</v>
      </c>
      <c r="B257" s="20" t="s">
        <v>1358</v>
      </c>
      <c r="C257" s="20" t="s">
        <v>439</v>
      </c>
      <c r="D257" s="20" t="s">
        <v>439</v>
      </c>
      <c r="E257" s="20" t="s">
        <v>458</v>
      </c>
      <c r="F257" s="20" t="s">
        <v>441</v>
      </c>
      <c r="G257" s="21"/>
      <c r="H257" s="19">
        <v>1.0</v>
      </c>
      <c r="I257" s="21"/>
      <c r="J257" s="19">
        <v>1.0</v>
      </c>
      <c r="K257" s="21"/>
      <c r="L257" s="20" t="s">
        <v>1359</v>
      </c>
      <c r="M257" s="20" t="s">
        <v>340</v>
      </c>
      <c r="N257" s="20" t="s">
        <v>341</v>
      </c>
      <c r="O257" s="19">
        <v>0.31310612</v>
      </c>
      <c r="P257" s="19">
        <v>52.3908708</v>
      </c>
      <c r="Q257" s="20" t="s">
        <v>443</v>
      </c>
      <c r="R257" s="20" t="s">
        <v>1360</v>
      </c>
      <c r="S257" s="20" t="s">
        <v>1361</v>
      </c>
      <c r="T257" s="21"/>
      <c r="U257" s="20" t="s">
        <v>462</v>
      </c>
      <c r="V257" s="22">
        <v>161.0</v>
      </c>
      <c r="W257" s="23"/>
      <c r="X257" s="23"/>
      <c r="Y257" s="23"/>
      <c r="Z257" s="23"/>
    </row>
    <row r="258">
      <c r="A258" s="19">
        <v>1196.0</v>
      </c>
      <c r="B258" s="20" t="s">
        <v>1362</v>
      </c>
      <c r="C258" s="20" t="s">
        <v>165</v>
      </c>
      <c r="D258" s="20" t="s">
        <v>165</v>
      </c>
      <c r="E258" s="20" t="s">
        <v>309</v>
      </c>
      <c r="F258" s="20" t="s">
        <v>203</v>
      </c>
      <c r="G258" s="19">
        <v>0.0</v>
      </c>
      <c r="H258" s="21"/>
      <c r="I258" s="21"/>
      <c r="J258" s="21"/>
      <c r="K258" s="21"/>
      <c r="L258" s="20" t="s">
        <v>1363</v>
      </c>
      <c r="M258" s="20" t="s">
        <v>595</v>
      </c>
      <c r="N258" s="20" t="s">
        <v>170</v>
      </c>
      <c r="O258" s="19">
        <v>-1.8713534</v>
      </c>
      <c r="P258" s="19">
        <v>51.3799302</v>
      </c>
      <c r="Q258" s="20" t="s">
        <v>205</v>
      </c>
      <c r="R258" s="20" t="s">
        <v>1364</v>
      </c>
      <c r="S258" s="20" t="s">
        <v>1365</v>
      </c>
      <c r="T258" s="21"/>
      <c r="U258" s="20" t="s">
        <v>314</v>
      </c>
      <c r="V258" s="22">
        <v>80.3</v>
      </c>
      <c r="W258" s="23"/>
      <c r="X258" s="23"/>
      <c r="Y258" s="22">
        <v>67.6</v>
      </c>
      <c r="Z258" s="23"/>
    </row>
    <row r="259">
      <c r="A259" s="19">
        <v>1198.0</v>
      </c>
      <c r="B259" s="20" t="s">
        <v>1366</v>
      </c>
      <c r="C259" s="20" t="s">
        <v>176</v>
      </c>
      <c r="D259" s="20" t="s">
        <v>176</v>
      </c>
      <c r="E259" s="20" t="s">
        <v>414</v>
      </c>
      <c r="F259" s="20" t="s">
        <v>178</v>
      </c>
      <c r="G259" s="19">
        <v>0.0</v>
      </c>
      <c r="H259" s="21"/>
      <c r="I259" s="21"/>
      <c r="J259" s="21"/>
      <c r="K259" s="21"/>
      <c r="L259" s="20" t="s">
        <v>1367</v>
      </c>
      <c r="M259" s="20" t="s">
        <v>311</v>
      </c>
      <c r="N259" s="20" t="s">
        <v>253</v>
      </c>
      <c r="O259" s="19">
        <v>-0.1793961</v>
      </c>
      <c r="P259" s="19">
        <v>53.1155966</v>
      </c>
      <c r="Q259" s="20" t="s">
        <v>180</v>
      </c>
      <c r="R259" s="20" t="s">
        <v>1368</v>
      </c>
      <c r="S259" s="20" t="s">
        <v>1369</v>
      </c>
      <c r="T259" s="21"/>
      <c r="U259" s="20" t="s">
        <v>1370</v>
      </c>
      <c r="V259" s="22">
        <v>141.0</v>
      </c>
      <c r="W259" s="23"/>
      <c r="X259" s="23"/>
      <c r="Y259" s="23"/>
      <c r="Z259" s="23"/>
    </row>
    <row r="260">
      <c r="A260" s="19">
        <v>1200.0</v>
      </c>
      <c r="B260" s="20" t="s">
        <v>1371</v>
      </c>
      <c r="C260" s="20" t="s">
        <v>165</v>
      </c>
      <c r="D260" s="20" t="s">
        <v>165</v>
      </c>
      <c r="E260" s="20" t="s">
        <v>1372</v>
      </c>
      <c r="F260" s="20" t="s">
        <v>178</v>
      </c>
      <c r="G260" s="19">
        <v>0.0</v>
      </c>
      <c r="H260" s="21"/>
      <c r="I260" s="21"/>
      <c r="J260" s="21"/>
      <c r="K260" s="21"/>
      <c r="L260" s="20" t="s">
        <v>1373</v>
      </c>
      <c r="M260" s="20" t="s">
        <v>595</v>
      </c>
      <c r="N260" s="20" t="s">
        <v>170</v>
      </c>
      <c r="O260" s="19">
        <v>-2.0163795</v>
      </c>
      <c r="P260" s="19">
        <v>51.1174373</v>
      </c>
      <c r="Q260" s="20" t="s">
        <v>205</v>
      </c>
      <c r="R260" s="20" t="s">
        <v>1374</v>
      </c>
      <c r="S260" s="20" t="s">
        <v>1375</v>
      </c>
      <c r="T260" s="21"/>
      <c r="U260" s="20" t="s">
        <v>293</v>
      </c>
      <c r="V260" s="22">
        <v>115.5</v>
      </c>
      <c r="W260" s="23"/>
      <c r="X260" s="23"/>
      <c r="Y260" s="22">
        <v>567.0</v>
      </c>
      <c r="Z260" s="23"/>
    </row>
    <row r="261">
      <c r="A261" s="19">
        <v>1202.0</v>
      </c>
      <c r="B261" s="20" t="s">
        <v>1376</v>
      </c>
      <c r="C261" s="20" t="s">
        <v>165</v>
      </c>
      <c r="D261" s="20" t="s">
        <v>165</v>
      </c>
      <c r="E261" s="20" t="s">
        <v>185</v>
      </c>
      <c r="F261" s="20" t="s">
        <v>167</v>
      </c>
      <c r="G261" s="19">
        <v>0.0</v>
      </c>
      <c r="H261" s="21"/>
      <c r="I261" s="21"/>
      <c r="J261" s="21"/>
      <c r="K261" s="21"/>
      <c r="L261" s="20" t="s">
        <v>1377</v>
      </c>
      <c r="M261" s="20" t="s">
        <v>715</v>
      </c>
      <c r="N261" s="20" t="s">
        <v>253</v>
      </c>
      <c r="O261" s="19">
        <v>-2.5264443</v>
      </c>
      <c r="P261" s="19">
        <v>52.6730349</v>
      </c>
      <c r="Q261" s="20" t="s">
        <v>171</v>
      </c>
      <c r="R261" s="20" t="s">
        <v>1378</v>
      </c>
      <c r="S261" s="20" t="s">
        <v>1379</v>
      </c>
      <c r="T261" s="21"/>
      <c r="U261" s="20" t="s">
        <v>1380</v>
      </c>
      <c r="V261" s="22">
        <v>128.5</v>
      </c>
      <c r="W261" s="22">
        <v>73.0</v>
      </c>
      <c r="X261" s="22">
        <v>35.0</v>
      </c>
      <c r="Y261" s="23"/>
      <c r="Z261" s="22">
        <v>0.568</v>
      </c>
    </row>
    <row r="262">
      <c r="A262" s="19">
        <v>1203.0</v>
      </c>
      <c r="B262" s="20" t="s">
        <v>1381</v>
      </c>
      <c r="C262" s="20" t="s">
        <v>165</v>
      </c>
      <c r="D262" s="20" t="s">
        <v>165</v>
      </c>
      <c r="E262" s="20" t="s">
        <v>238</v>
      </c>
      <c r="F262" s="20" t="s">
        <v>203</v>
      </c>
      <c r="G262" s="19">
        <v>0.0</v>
      </c>
      <c r="H262" s="21"/>
      <c r="I262" s="21"/>
      <c r="J262" s="21"/>
      <c r="K262" s="21"/>
      <c r="L262" s="20" t="s">
        <v>1382</v>
      </c>
      <c r="M262" s="20" t="s">
        <v>95</v>
      </c>
      <c r="N262" s="20" t="s">
        <v>341</v>
      </c>
      <c r="O262" s="19">
        <v>0.541579</v>
      </c>
      <c r="P262" s="19">
        <v>52.5300535</v>
      </c>
      <c r="Q262" s="20" t="s">
        <v>205</v>
      </c>
      <c r="R262" s="20" t="s">
        <v>1383</v>
      </c>
      <c r="S262" s="20" t="s">
        <v>1384</v>
      </c>
      <c r="T262" s="21"/>
      <c r="U262" s="20" t="s">
        <v>394</v>
      </c>
      <c r="V262" s="22">
        <v>132.5</v>
      </c>
      <c r="W262" s="23"/>
      <c r="X262" s="23"/>
      <c r="Y262" s="23"/>
      <c r="Z262" s="23"/>
    </row>
    <row r="263">
      <c r="A263" s="19">
        <v>1204.0</v>
      </c>
      <c r="B263" s="20" t="s">
        <v>1385</v>
      </c>
      <c r="C263" s="20" t="s">
        <v>439</v>
      </c>
      <c r="D263" s="20" t="s">
        <v>439</v>
      </c>
      <c r="E263" s="20" t="s">
        <v>499</v>
      </c>
      <c r="F263" s="20" t="s">
        <v>441</v>
      </c>
      <c r="G263" s="21"/>
      <c r="H263" s="19">
        <v>1.0</v>
      </c>
      <c r="I263" s="21"/>
      <c r="J263" s="21"/>
      <c r="K263" s="21"/>
      <c r="L263" s="20" t="s">
        <v>1386</v>
      </c>
      <c r="M263" s="20" t="s">
        <v>311</v>
      </c>
      <c r="N263" s="20" t="s">
        <v>253</v>
      </c>
      <c r="O263" s="19">
        <v>-0.4605337</v>
      </c>
      <c r="P263" s="19">
        <v>53.4431919</v>
      </c>
      <c r="Q263" s="20" t="s">
        <v>443</v>
      </c>
      <c r="R263" s="20" t="s">
        <v>1387</v>
      </c>
      <c r="S263" s="20" t="s">
        <v>1388</v>
      </c>
      <c r="T263" s="21"/>
      <c r="U263" s="20" t="s">
        <v>822</v>
      </c>
      <c r="V263" s="22">
        <v>96.0</v>
      </c>
      <c r="W263" s="22">
        <v>52.5</v>
      </c>
      <c r="X263" s="22">
        <v>19.0</v>
      </c>
      <c r="Y263" s="23"/>
      <c r="Z263" s="22">
        <v>0.547</v>
      </c>
    </row>
    <row r="264">
      <c r="A264" s="19">
        <v>1205.0</v>
      </c>
      <c r="B264" s="20" t="s">
        <v>1389</v>
      </c>
      <c r="C264" s="20" t="s">
        <v>439</v>
      </c>
      <c r="D264" s="20" t="s">
        <v>439</v>
      </c>
      <c r="E264" s="20" t="s">
        <v>1054</v>
      </c>
      <c r="F264" s="20" t="s">
        <v>441</v>
      </c>
      <c r="G264" s="19">
        <v>1.0</v>
      </c>
      <c r="H264" s="21"/>
      <c r="I264" s="21"/>
      <c r="J264" s="21"/>
      <c r="K264" s="21"/>
      <c r="L264" s="20" t="s">
        <v>1386</v>
      </c>
      <c r="M264" s="20" t="s">
        <v>311</v>
      </c>
      <c r="N264" s="20" t="s">
        <v>253</v>
      </c>
      <c r="O264" s="19">
        <v>-0.4605337</v>
      </c>
      <c r="P264" s="19">
        <v>53.4431919</v>
      </c>
      <c r="Q264" s="20" t="s">
        <v>443</v>
      </c>
      <c r="R264" s="20" t="s">
        <v>1390</v>
      </c>
      <c r="S264" s="20" t="s">
        <v>1391</v>
      </c>
      <c r="T264" s="21"/>
      <c r="U264" s="20" t="s">
        <v>899</v>
      </c>
      <c r="V264" s="22">
        <v>96.0</v>
      </c>
      <c r="W264" s="22">
        <v>52.5</v>
      </c>
      <c r="X264" s="22">
        <v>19.0</v>
      </c>
      <c r="Y264" s="23"/>
      <c r="Z264" s="22">
        <v>0.547</v>
      </c>
    </row>
    <row r="265">
      <c r="A265" s="19">
        <v>1207.0</v>
      </c>
      <c r="B265" s="20" t="s">
        <v>1392</v>
      </c>
      <c r="C265" s="20" t="s">
        <v>165</v>
      </c>
      <c r="D265" s="20" t="s">
        <v>165</v>
      </c>
      <c r="E265" s="20" t="s">
        <v>414</v>
      </c>
      <c r="F265" s="20" t="s">
        <v>178</v>
      </c>
      <c r="G265" s="19">
        <v>0.0</v>
      </c>
      <c r="H265" s="21"/>
      <c r="I265" s="21"/>
      <c r="J265" s="21"/>
      <c r="K265" s="21"/>
      <c r="L265" s="20" t="s">
        <v>768</v>
      </c>
      <c r="M265" s="20" t="s">
        <v>715</v>
      </c>
      <c r="N265" s="20" t="s">
        <v>253</v>
      </c>
      <c r="O265" s="19">
        <v>-2.6015847</v>
      </c>
      <c r="P265" s="19">
        <v>52.3827492</v>
      </c>
      <c r="Q265" s="20" t="s">
        <v>180</v>
      </c>
      <c r="R265" s="20" t="s">
        <v>1393</v>
      </c>
      <c r="S265" s="20" t="s">
        <v>1394</v>
      </c>
      <c r="T265" s="19">
        <v>54.0</v>
      </c>
      <c r="U265" s="20" t="s">
        <v>1395</v>
      </c>
      <c r="V265" s="22">
        <v>204.5</v>
      </c>
      <c r="W265" s="22">
        <v>122.0</v>
      </c>
      <c r="X265" s="23"/>
      <c r="Y265" s="23"/>
      <c r="Z265" s="22">
        <v>0.597</v>
      </c>
    </row>
    <row r="266">
      <c r="A266" s="19">
        <v>1208.0</v>
      </c>
      <c r="B266" s="20" t="s">
        <v>1396</v>
      </c>
      <c r="C266" s="20" t="s">
        <v>165</v>
      </c>
      <c r="D266" s="20" t="s">
        <v>165</v>
      </c>
      <c r="E266" s="20" t="s">
        <v>414</v>
      </c>
      <c r="F266" s="20" t="s">
        <v>178</v>
      </c>
      <c r="G266" s="19">
        <v>0.0</v>
      </c>
      <c r="H266" s="21"/>
      <c r="I266" s="21"/>
      <c r="J266" s="21"/>
      <c r="K266" s="21"/>
      <c r="L266" s="20" t="s">
        <v>1397</v>
      </c>
      <c r="M266" s="20" t="s">
        <v>169</v>
      </c>
      <c r="N266" s="20" t="s">
        <v>170</v>
      </c>
      <c r="O266" s="19">
        <v>-4.810001</v>
      </c>
      <c r="P266" s="19">
        <v>50.329438</v>
      </c>
      <c r="Q266" s="20" t="s">
        <v>180</v>
      </c>
      <c r="R266" s="20" t="s">
        <v>1398</v>
      </c>
      <c r="S266" s="20" t="s">
        <v>1399</v>
      </c>
      <c r="T266" s="21"/>
      <c r="U266" s="20" t="s">
        <v>1400</v>
      </c>
      <c r="V266" s="22">
        <v>156.0</v>
      </c>
      <c r="W266" s="23"/>
      <c r="X266" s="23"/>
      <c r="Y266" s="22">
        <v>415.0</v>
      </c>
      <c r="Z266" s="23"/>
    </row>
    <row r="267">
      <c r="A267" s="19">
        <v>1209.0</v>
      </c>
      <c r="B267" s="20" t="s">
        <v>1401</v>
      </c>
      <c r="C267" s="20" t="s">
        <v>176</v>
      </c>
      <c r="D267" s="20" t="s">
        <v>176</v>
      </c>
      <c r="E267" s="20" t="s">
        <v>1402</v>
      </c>
      <c r="F267" s="20" t="s">
        <v>178</v>
      </c>
      <c r="G267" s="19">
        <v>0.0</v>
      </c>
      <c r="H267" s="21"/>
      <c r="I267" s="21"/>
      <c r="J267" s="21"/>
      <c r="K267" s="21"/>
      <c r="L267" s="20" t="s">
        <v>1403</v>
      </c>
      <c r="M267" s="20" t="s">
        <v>169</v>
      </c>
      <c r="N267" s="20" t="s">
        <v>170</v>
      </c>
      <c r="O267" s="19">
        <v>-4.727978</v>
      </c>
      <c r="P267" s="19">
        <v>50.344886</v>
      </c>
      <c r="Q267" s="20" t="s">
        <v>180</v>
      </c>
      <c r="R267" s="20" t="s">
        <v>1404</v>
      </c>
      <c r="S267" s="20" t="s">
        <v>1405</v>
      </c>
      <c r="T267" s="21"/>
      <c r="U267" s="20" t="s">
        <v>183</v>
      </c>
      <c r="V267" s="22">
        <v>208.0</v>
      </c>
      <c r="W267" s="23"/>
      <c r="X267" s="23"/>
      <c r="Y267" s="22">
        <v>556.0</v>
      </c>
      <c r="Z267" s="23"/>
    </row>
    <row r="268">
      <c r="A268" s="19">
        <v>1210.0</v>
      </c>
      <c r="B268" s="20" t="s">
        <v>1406</v>
      </c>
      <c r="C268" s="20" t="s">
        <v>176</v>
      </c>
      <c r="D268" s="20" t="s">
        <v>176</v>
      </c>
      <c r="E268" s="20" t="s">
        <v>178</v>
      </c>
      <c r="F268" s="20" t="s">
        <v>178</v>
      </c>
      <c r="G268" s="19">
        <v>0.0</v>
      </c>
      <c r="H268" s="21"/>
      <c r="I268" s="21"/>
      <c r="J268" s="21"/>
      <c r="K268" s="21"/>
      <c r="L268" s="20" t="s">
        <v>1403</v>
      </c>
      <c r="M268" s="20" t="s">
        <v>169</v>
      </c>
      <c r="N268" s="20" t="s">
        <v>170</v>
      </c>
      <c r="O268" s="19">
        <v>-4.727978</v>
      </c>
      <c r="P268" s="19">
        <v>50.344886</v>
      </c>
      <c r="Q268" s="20" t="s">
        <v>180</v>
      </c>
      <c r="R268" s="20" t="s">
        <v>1407</v>
      </c>
      <c r="S268" s="24" t="s">
        <v>1408</v>
      </c>
      <c r="T268" s="21"/>
      <c r="U268" s="20" t="s">
        <v>1409</v>
      </c>
      <c r="V268" s="22">
        <v>147.0</v>
      </c>
      <c r="W268" s="23"/>
      <c r="X268" s="23"/>
      <c r="Y268" s="22">
        <v>245.0</v>
      </c>
      <c r="Z268" s="23"/>
    </row>
    <row r="269">
      <c r="A269" s="19">
        <v>1216.0</v>
      </c>
      <c r="B269" s="20" t="s">
        <v>1410</v>
      </c>
      <c r="C269" s="20" t="s">
        <v>176</v>
      </c>
      <c r="D269" s="20" t="s">
        <v>176</v>
      </c>
      <c r="E269" s="20" t="s">
        <v>177</v>
      </c>
      <c r="F269" s="20" t="s">
        <v>178</v>
      </c>
      <c r="G269" s="19">
        <v>0.0</v>
      </c>
      <c r="H269" s="21"/>
      <c r="I269" s="21"/>
      <c r="J269" s="21"/>
      <c r="K269" s="21"/>
      <c r="L269" s="20" t="s">
        <v>1411</v>
      </c>
      <c r="M269" s="20" t="s">
        <v>311</v>
      </c>
      <c r="N269" s="20" t="s">
        <v>253</v>
      </c>
      <c r="O269" s="19">
        <v>-0.3357832</v>
      </c>
      <c r="P269" s="19">
        <v>53.0900165</v>
      </c>
      <c r="Q269" s="20" t="s">
        <v>180</v>
      </c>
      <c r="R269" s="20" t="s">
        <v>1412</v>
      </c>
      <c r="S269" s="20" t="s">
        <v>1413</v>
      </c>
      <c r="T269" s="21"/>
      <c r="U269" s="20" t="s">
        <v>183</v>
      </c>
      <c r="V269" s="22">
        <v>139.0</v>
      </c>
      <c r="W269" s="22">
        <v>75.5</v>
      </c>
      <c r="X269" s="22">
        <v>25.5</v>
      </c>
      <c r="Y269" s="23"/>
      <c r="Z269" s="22">
        <v>0.543</v>
      </c>
    </row>
    <row r="270">
      <c r="A270" s="19">
        <v>1217.0</v>
      </c>
      <c r="B270" s="20" t="s">
        <v>1414</v>
      </c>
      <c r="C270" s="20" t="s">
        <v>165</v>
      </c>
      <c r="D270" s="20" t="s">
        <v>233</v>
      </c>
      <c r="E270" s="20" t="s">
        <v>1415</v>
      </c>
      <c r="F270" s="20" t="s">
        <v>167</v>
      </c>
      <c r="G270" s="19">
        <v>0.0</v>
      </c>
      <c r="H270" s="21"/>
      <c r="I270" s="21"/>
      <c r="J270" s="21"/>
      <c r="K270" s="21"/>
      <c r="L270" s="20" t="s">
        <v>1416</v>
      </c>
      <c r="M270" s="20" t="s">
        <v>1188</v>
      </c>
      <c r="N270" s="20" t="s">
        <v>253</v>
      </c>
      <c r="O270" s="19">
        <v>-1.1278817</v>
      </c>
      <c r="P270" s="19">
        <v>51.6011004</v>
      </c>
      <c r="Q270" s="23"/>
      <c r="R270" s="20" t="s">
        <v>1417</v>
      </c>
      <c r="S270" s="20" t="s">
        <v>1418</v>
      </c>
      <c r="T270" s="21"/>
      <c r="U270" s="20" t="s">
        <v>174</v>
      </c>
      <c r="V270" s="22">
        <v>67.0</v>
      </c>
      <c r="W270" s="23"/>
      <c r="X270" s="23"/>
      <c r="Y270" s="22">
        <v>70.0</v>
      </c>
      <c r="Z270" s="23"/>
    </row>
    <row r="271">
      <c r="A271" s="19">
        <v>1223.0</v>
      </c>
      <c r="B271" s="20" t="s">
        <v>1419</v>
      </c>
      <c r="C271" s="20" t="s">
        <v>165</v>
      </c>
      <c r="D271" s="20" t="s">
        <v>165</v>
      </c>
      <c r="E271" s="20" t="s">
        <v>464</v>
      </c>
      <c r="F271" s="20" t="s">
        <v>178</v>
      </c>
      <c r="G271" s="19">
        <v>0.0</v>
      </c>
      <c r="H271" s="21"/>
      <c r="I271" s="21"/>
      <c r="J271" s="21"/>
      <c r="K271" s="21"/>
      <c r="L271" s="20" t="s">
        <v>1420</v>
      </c>
      <c r="M271" s="20" t="s">
        <v>616</v>
      </c>
      <c r="N271" s="20" t="s">
        <v>341</v>
      </c>
      <c r="O271" s="19">
        <v>1.14743727</v>
      </c>
      <c r="P271" s="19">
        <v>51.3012831</v>
      </c>
      <c r="Q271" s="20" t="s">
        <v>180</v>
      </c>
      <c r="R271" s="20" t="s">
        <v>1421</v>
      </c>
      <c r="S271" s="20" t="s">
        <v>1422</v>
      </c>
      <c r="T271" s="21"/>
      <c r="U271" s="20" t="s">
        <v>1195</v>
      </c>
      <c r="V271" s="22">
        <v>74.0</v>
      </c>
      <c r="W271" s="23"/>
      <c r="X271" s="23"/>
      <c r="Y271" s="23"/>
      <c r="Z271" s="23"/>
    </row>
    <row r="272">
      <c r="A272" s="19">
        <v>1224.0</v>
      </c>
      <c r="B272" s="20" t="s">
        <v>1423</v>
      </c>
      <c r="C272" s="20" t="s">
        <v>439</v>
      </c>
      <c r="D272" s="20" t="s">
        <v>439</v>
      </c>
      <c r="E272" s="20" t="s">
        <v>1424</v>
      </c>
      <c r="F272" s="20" t="s">
        <v>441</v>
      </c>
      <c r="G272" s="21"/>
      <c r="H272" s="21"/>
      <c r="I272" s="21"/>
      <c r="J272" s="21"/>
      <c r="K272" s="21"/>
      <c r="L272" s="20" t="s">
        <v>1425</v>
      </c>
      <c r="M272" s="20" t="s">
        <v>277</v>
      </c>
      <c r="N272" s="20" t="s">
        <v>170</v>
      </c>
      <c r="O272" s="19">
        <v>-2.6389948</v>
      </c>
      <c r="P272" s="19">
        <v>51.4936652</v>
      </c>
      <c r="Q272" s="20" t="s">
        <v>443</v>
      </c>
      <c r="R272" s="20" t="s">
        <v>1426</v>
      </c>
      <c r="S272" s="20" t="s">
        <v>1427</v>
      </c>
      <c r="T272" s="21"/>
      <c r="U272" s="20" t="s">
        <v>1428</v>
      </c>
      <c r="V272" s="22">
        <v>142.0</v>
      </c>
      <c r="W272" s="22">
        <v>85.0</v>
      </c>
      <c r="X272" s="22">
        <v>23.0</v>
      </c>
      <c r="Y272" s="22">
        <v>375.0</v>
      </c>
      <c r="Z272" s="22">
        <v>0.599</v>
      </c>
    </row>
    <row r="273">
      <c r="A273" s="19">
        <v>1225.0</v>
      </c>
      <c r="B273" s="20" t="s">
        <v>1429</v>
      </c>
      <c r="C273" s="20" t="s">
        <v>439</v>
      </c>
      <c r="D273" s="20" t="s">
        <v>439</v>
      </c>
      <c r="E273" s="20" t="s">
        <v>458</v>
      </c>
      <c r="F273" s="20" t="s">
        <v>441</v>
      </c>
      <c r="G273" s="19">
        <v>1.0</v>
      </c>
      <c r="H273" s="19">
        <v>1.0</v>
      </c>
      <c r="I273" s="19">
        <v>1.0</v>
      </c>
      <c r="J273" s="19">
        <v>1.0</v>
      </c>
      <c r="K273" s="21"/>
      <c r="L273" s="20" t="s">
        <v>1425</v>
      </c>
      <c r="M273" s="20" t="s">
        <v>277</v>
      </c>
      <c r="N273" s="20" t="s">
        <v>170</v>
      </c>
      <c r="O273" s="19">
        <v>-2.6389948</v>
      </c>
      <c r="P273" s="19">
        <v>51.4936652</v>
      </c>
      <c r="Q273" s="20" t="s">
        <v>443</v>
      </c>
      <c r="R273" s="20" t="s">
        <v>1430</v>
      </c>
      <c r="S273" s="20" t="s">
        <v>1431</v>
      </c>
      <c r="T273" s="21"/>
      <c r="U273" s="20" t="s">
        <v>1432</v>
      </c>
      <c r="V273" s="22">
        <v>129.0</v>
      </c>
      <c r="W273" s="22">
        <v>72.0</v>
      </c>
      <c r="X273" s="22">
        <v>25.0</v>
      </c>
      <c r="Y273" s="22">
        <v>350.0</v>
      </c>
      <c r="Z273" s="22">
        <v>0.558</v>
      </c>
    </row>
    <row r="274">
      <c r="A274" s="19">
        <v>1226.0</v>
      </c>
      <c r="B274" s="20" t="s">
        <v>1433</v>
      </c>
      <c r="C274" s="20" t="s">
        <v>439</v>
      </c>
      <c r="D274" s="20" t="s">
        <v>439</v>
      </c>
      <c r="E274" s="20" t="s">
        <v>559</v>
      </c>
      <c r="F274" s="20" t="s">
        <v>441</v>
      </c>
      <c r="G274" s="21"/>
      <c r="H274" s="21"/>
      <c r="I274" s="21"/>
      <c r="J274" s="21"/>
      <c r="K274" s="21"/>
      <c r="L274" s="20" t="s">
        <v>1425</v>
      </c>
      <c r="M274" s="20" t="s">
        <v>277</v>
      </c>
      <c r="N274" s="20" t="s">
        <v>170</v>
      </c>
      <c r="O274" s="19">
        <v>-2.6389948</v>
      </c>
      <c r="P274" s="19">
        <v>51.4936652</v>
      </c>
      <c r="Q274" s="20" t="s">
        <v>443</v>
      </c>
      <c r="R274" s="20" t="s">
        <v>1434</v>
      </c>
      <c r="S274" s="20" t="s">
        <v>1435</v>
      </c>
      <c r="T274" s="21"/>
      <c r="U274" s="20" t="s">
        <v>1436</v>
      </c>
      <c r="V274" s="22">
        <v>96.0</v>
      </c>
      <c r="W274" s="22">
        <v>51.0</v>
      </c>
      <c r="X274" s="22">
        <v>18.0</v>
      </c>
      <c r="Y274" s="22">
        <v>149.0</v>
      </c>
      <c r="Z274" s="22">
        <v>0.531</v>
      </c>
    </row>
    <row r="275">
      <c r="A275" s="19">
        <v>1227.0</v>
      </c>
      <c r="B275" s="20" t="s">
        <v>1437</v>
      </c>
      <c r="C275" s="20" t="s">
        <v>439</v>
      </c>
      <c r="D275" s="20" t="s">
        <v>439</v>
      </c>
      <c r="E275" s="20" t="s">
        <v>559</v>
      </c>
      <c r="F275" s="20" t="s">
        <v>441</v>
      </c>
      <c r="G275" s="19">
        <v>1.0</v>
      </c>
      <c r="H275" s="21"/>
      <c r="I275" s="21"/>
      <c r="J275" s="21"/>
      <c r="K275" s="19">
        <v>1.0</v>
      </c>
      <c r="L275" s="20" t="s">
        <v>1438</v>
      </c>
      <c r="M275" s="20" t="s">
        <v>318</v>
      </c>
      <c r="N275" s="20" t="s">
        <v>253</v>
      </c>
      <c r="O275" s="19">
        <v>-0.4567924</v>
      </c>
      <c r="P275" s="19">
        <v>51.378384</v>
      </c>
      <c r="Q275" s="20" t="s">
        <v>443</v>
      </c>
      <c r="R275" s="20" t="s">
        <v>1439</v>
      </c>
      <c r="S275" s="20" t="s">
        <v>1440</v>
      </c>
      <c r="T275" s="21"/>
      <c r="U275" s="20" t="s">
        <v>1048</v>
      </c>
      <c r="V275" s="22">
        <v>101.0</v>
      </c>
      <c r="W275" s="22">
        <v>57.0</v>
      </c>
      <c r="X275" s="22">
        <v>23.0</v>
      </c>
      <c r="Y275" s="23"/>
      <c r="Z275" s="22">
        <v>0.564</v>
      </c>
    </row>
    <row r="276">
      <c r="A276" s="19">
        <v>1230.0</v>
      </c>
      <c r="B276" s="20" t="s">
        <v>1441</v>
      </c>
      <c r="C276" s="20" t="s">
        <v>439</v>
      </c>
      <c r="D276" s="20" t="s">
        <v>439</v>
      </c>
      <c r="E276" s="20" t="s">
        <v>845</v>
      </c>
      <c r="F276" s="20" t="s">
        <v>441</v>
      </c>
      <c r="G276" s="21"/>
      <c r="H276" s="19">
        <v>1.0</v>
      </c>
      <c r="I276" s="21"/>
      <c r="J276" s="21"/>
      <c r="K276" s="21"/>
      <c r="L276" s="20" t="s">
        <v>1442</v>
      </c>
      <c r="M276" s="20" t="s">
        <v>340</v>
      </c>
      <c r="N276" s="20" t="s">
        <v>341</v>
      </c>
      <c r="O276" s="19">
        <v>-0.1205911</v>
      </c>
      <c r="P276" s="19">
        <v>52.5604051</v>
      </c>
      <c r="Q276" s="20" t="s">
        <v>443</v>
      </c>
      <c r="R276" s="20" t="s">
        <v>1443</v>
      </c>
      <c r="S276" s="20" t="s">
        <v>1444</v>
      </c>
      <c r="T276" s="21"/>
      <c r="U276" s="20" t="s">
        <v>1445</v>
      </c>
      <c r="V276" s="22">
        <v>96.0</v>
      </c>
      <c r="W276" s="22">
        <v>51.0</v>
      </c>
      <c r="X276" s="22">
        <v>21.0</v>
      </c>
      <c r="Y276" s="23"/>
      <c r="Z276" s="22">
        <v>0.531</v>
      </c>
    </row>
    <row r="277">
      <c r="A277" s="19">
        <v>1231.0</v>
      </c>
      <c r="B277" s="20" t="s">
        <v>1446</v>
      </c>
      <c r="C277" s="20" t="s">
        <v>176</v>
      </c>
      <c r="D277" s="20" t="s">
        <v>176</v>
      </c>
      <c r="E277" s="20" t="s">
        <v>177</v>
      </c>
      <c r="F277" s="20" t="s">
        <v>178</v>
      </c>
      <c r="G277" s="19">
        <v>0.0</v>
      </c>
      <c r="H277" s="21"/>
      <c r="I277" s="21"/>
      <c r="J277" s="21"/>
      <c r="K277" s="21"/>
      <c r="L277" s="20" t="s">
        <v>1447</v>
      </c>
      <c r="M277" s="20" t="s">
        <v>340</v>
      </c>
      <c r="N277" s="20" t="s">
        <v>341</v>
      </c>
      <c r="O277" s="19">
        <v>0.2653787</v>
      </c>
      <c r="P277" s="19">
        <v>52.31986</v>
      </c>
      <c r="Q277" s="20" t="s">
        <v>180</v>
      </c>
      <c r="R277" s="20" t="s">
        <v>1448</v>
      </c>
      <c r="S277" s="20" t="s">
        <v>1449</v>
      </c>
      <c r="T277" s="21"/>
      <c r="U277" s="20" t="s">
        <v>183</v>
      </c>
      <c r="V277" s="22">
        <v>96.0</v>
      </c>
      <c r="W277" s="22">
        <v>51.0</v>
      </c>
      <c r="X277" s="22">
        <v>21.0</v>
      </c>
      <c r="Y277" s="23"/>
      <c r="Z277" s="22">
        <v>0.531</v>
      </c>
    </row>
    <row r="278">
      <c r="A278" s="19">
        <v>1233.0</v>
      </c>
      <c r="B278" s="20" t="s">
        <v>1450</v>
      </c>
      <c r="C278" s="20" t="s">
        <v>439</v>
      </c>
      <c r="D278" s="20" t="s">
        <v>439</v>
      </c>
      <c r="E278" s="20" t="s">
        <v>1211</v>
      </c>
      <c r="F278" s="20" t="s">
        <v>441</v>
      </c>
      <c r="G278" s="21"/>
      <c r="H278" s="19">
        <v>1.0</v>
      </c>
      <c r="I278" s="21"/>
      <c r="J278" s="21"/>
      <c r="K278" s="21"/>
      <c r="L278" s="20" t="s">
        <v>1451</v>
      </c>
      <c r="M278" s="20" t="s">
        <v>354</v>
      </c>
      <c r="N278" s="20" t="s">
        <v>341</v>
      </c>
      <c r="O278" s="19">
        <v>0.50279045</v>
      </c>
      <c r="P278" s="19">
        <v>52.3793618</v>
      </c>
      <c r="Q278" s="20" t="s">
        <v>443</v>
      </c>
      <c r="R278" s="20" t="s">
        <v>1452</v>
      </c>
      <c r="S278" s="20" t="s">
        <v>1453</v>
      </c>
      <c r="T278" s="21"/>
      <c r="U278" s="20" t="s">
        <v>899</v>
      </c>
      <c r="V278" s="22">
        <v>147.0</v>
      </c>
      <c r="W278" s="22">
        <v>40.0</v>
      </c>
      <c r="X278" s="22">
        <v>22.0</v>
      </c>
      <c r="Y278" s="22">
        <v>241.0</v>
      </c>
      <c r="Z278" s="22">
        <v>0.272</v>
      </c>
    </row>
    <row r="279">
      <c r="A279" s="19">
        <v>1236.0</v>
      </c>
      <c r="B279" s="20" t="s">
        <v>1454</v>
      </c>
      <c r="C279" s="20" t="s">
        <v>176</v>
      </c>
      <c r="D279" s="20" t="s">
        <v>384</v>
      </c>
      <c r="E279" s="20" t="s">
        <v>637</v>
      </c>
      <c r="F279" s="20" t="s">
        <v>178</v>
      </c>
      <c r="G279" s="19">
        <v>0.0</v>
      </c>
      <c r="H279" s="21"/>
      <c r="I279" s="21"/>
      <c r="J279" s="21"/>
      <c r="K279" s="21"/>
      <c r="L279" s="20" t="s">
        <v>1455</v>
      </c>
      <c r="M279" s="20" t="s">
        <v>595</v>
      </c>
      <c r="N279" s="20" t="s">
        <v>170</v>
      </c>
      <c r="O279" s="19">
        <v>-1.8307204</v>
      </c>
      <c r="P279" s="19">
        <v>51.1569263</v>
      </c>
      <c r="Q279" s="20" t="s">
        <v>180</v>
      </c>
      <c r="R279" s="20" t="s">
        <v>1456</v>
      </c>
      <c r="S279" s="20" t="s">
        <v>1457</v>
      </c>
      <c r="T279" s="21"/>
      <c r="U279" s="20" t="s">
        <v>1191</v>
      </c>
      <c r="V279" s="22">
        <v>54.5</v>
      </c>
      <c r="W279" s="23"/>
      <c r="X279" s="23"/>
      <c r="Y279" s="23"/>
      <c r="Z279" s="23"/>
    </row>
    <row r="280">
      <c r="A280" s="19">
        <v>1237.0</v>
      </c>
      <c r="B280" s="20" t="s">
        <v>1458</v>
      </c>
      <c r="C280" s="20" t="s">
        <v>439</v>
      </c>
      <c r="D280" s="20" t="s">
        <v>439</v>
      </c>
      <c r="E280" s="20" t="s">
        <v>441</v>
      </c>
      <c r="F280" s="20" t="s">
        <v>441</v>
      </c>
      <c r="G280" s="21"/>
      <c r="H280" s="19">
        <v>1.0</v>
      </c>
      <c r="I280" s="21"/>
      <c r="J280" s="21"/>
      <c r="K280" s="19">
        <v>1.0</v>
      </c>
      <c r="L280" s="20" t="s">
        <v>1459</v>
      </c>
      <c r="M280" s="20" t="s">
        <v>554</v>
      </c>
      <c r="N280" s="20" t="s">
        <v>253</v>
      </c>
      <c r="O280" s="19">
        <v>-1.30777</v>
      </c>
      <c r="P280" s="19">
        <v>51.0609118</v>
      </c>
      <c r="Q280" s="20" t="s">
        <v>443</v>
      </c>
      <c r="R280" s="20" t="s">
        <v>1460</v>
      </c>
      <c r="S280" s="20" t="s">
        <v>1461</v>
      </c>
      <c r="T280" s="21"/>
      <c r="U280" s="20" t="s">
        <v>899</v>
      </c>
      <c r="V280" s="22">
        <v>54.5</v>
      </c>
      <c r="W280" s="23"/>
      <c r="X280" s="23"/>
      <c r="Y280" s="23"/>
      <c r="Z280" s="23"/>
    </row>
    <row r="281">
      <c r="A281" s="19">
        <v>1238.0</v>
      </c>
      <c r="B281" s="20" t="s">
        <v>1462</v>
      </c>
      <c r="C281" s="20" t="s">
        <v>165</v>
      </c>
      <c r="D281" s="20" t="s">
        <v>165</v>
      </c>
      <c r="E281" s="20" t="s">
        <v>275</v>
      </c>
      <c r="F281" s="20" t="s">
        <v>203</v>
      </c>
      <c r="G281" s="19">
        <v>0.0</v>
      </c>
      <c r="H281" s="21"/>
      <c r="I281" s="21"/>
      <c r="J281" s="21"/>
      <c r="K281" s="21"/>
      <c r="L281" s="20" t="s">
        <v>1463</v>
      </c>
      <c r="M281" s="20" t="s">
        <v>1188</v>
      </c>
      <c r="N281" s="20" t="s">
        <v>253</v>
      </c>
      <c r="O281" s="19">
        <v>-0.6128888</v>
      </c>
      <c r="P281" s="19">
        <v>51.4432811</v>
      </c>
      <c r="Q281" s="20" t="s">
        <v>205</v>
      </c>
      <c r="R281" s="20" t="s">
        <v>1464</v>
      </c>
      <c r="S281" s="20" t="s">
        <v>1465</v>
      </c>
      <c r="T281" s="21"/>
      <c r="U281" s="20" t="s">
        <v>336</v>
      </c>
      <c r="V281" s="22">
        <v>141.5</v>
      </c>
      <c r="W281" s="23"/>
      <c r="X281" s="23"/>
      <c r="Y281" s="22">
        <v>500.0</v>
      </c>
      <c r="Z281" s="23"/>
    </row>
    <row r="282">
      <c r="A282" s="19">
        <v>1242.0</v>
      </c>
      <c r="B282" s="20" t="s">
        <v>1466</v>
      </c>
      <c r="C282" s="20" t="s">
        <v>176</v>
      </c>
      <c r="D282" s="20" t="s">
        <v>176</v>
      </c>
      <c r="E282" s="20" t="s">
        <v>177</v>
      </c>
      <c r="F282" s="20" t="s">
        <v>178</v>
      </c>
      <c r="G282" s="19">
        <v>1.0</v>
      </c>
      <c r="H282" s="21"/>
      <c r="I282" s="21"/>
      <c r="J282" s="21"/>
      <c r="K282" s="21"/>
      <c r="L282" s="20" t="s">
        <v>1467</v>
      </c>
      <c r="M282" s="20" t="s">
        <v>1188</v>
      </c>
      <c r="N282" s="20" t="s">
        <v>253</v>
      </c>
      <c r="O282" s="19">
        <v>-1.1961513</v>
      </c>
      <c r="P282" s="19">
        <v>51.4673878</v>
      </c>
      <c r="Q282" s="20" t="s">
        <v>180</v>
      </c>
      <c r="R282" s="20" t="s">
        <v>1468</v>
      </c>
      <c r="S282" s="20" t="s">
        <v>1469</v>
      </c>
      <c r="T282" s="21"/>
      <c r="U282" s="20" t="s">
        <v>330</v>
      </c>
      <c r="V282" s="22">
        <v>120.0</v>
      </c>
      <c r="W282" s="23"/>
      <c r="X282" s="23"/>
      <c r="Y282" s="22">
        <v>290.0</v>
      </c>
      <c r="Z282" s="23"/>
    </row>
    <row r="283">
      <c r="A283" s="19">
        <v>5154.0</v>
      </c>
      <c r="B283" s="20" t="s">
        <v>1470</v>
      </c>
      <c r="C283" s="20" t="s">
        <v>165</v>
      </c>
      <c r="D283" s="20" t="s">
        <v>165</v>
      </c>
      <c r="E283" s="20" t="s">
        <v>177</v>
      </c>
      <c r="F283" s="20" t="s">
        <v>178</v>
      </c>
      <c r="G283" s="19">
        <v>0.0</v>
      </c>
      <c r="H283" s="21"/>
      <c r="I283" s="21"/>
      <c r="J283" s="21"/>
      <c r="K283" s="21"/>
      <c r="L283" s="20" t="s">
        <v>1471</v>
      </c>
      <c r="M283" s="20" t="s">
        <v>616</v>
      </c>
      <c r="N283" s="20" t="s">
        <v>341</v>
      </c>
      <c r="O283" s="19">
        <v>0.91045363</v>
      </c>
      <c r="P283" s="19">
        <v>50.956632</v>
      </c>
      <c r="Q283" s="20" t="s">
        <v>180</v>
      </c>
      <c r="R283" s="20" t="s">
        <v>1472</v>
      </c>
      <c r="S283" s="20" t="s">
        <v>1473</v>
      </c>
      <c r="T283" s="21"/>
      <c r="U283" s="20" t="s">
        <v>1474</v>
      </c>
      <c r="V283" s="22">
        <v>174.5</v>
      </c>
      <c r="W283" s="22">
        <v>88.4</v>
      </c>
      <c r="X283" s="22">
        <v>24.8</v>
      </c>
      <c r="Y283" s="22">
        <v>427.7</v>
      </c>
      <c r="Z283" s="23"/>
    </row>
    <row r="284">
      <c r="A284" s="19">
        <v>5155.0</v>
      </c>
      <c r="B284" s="20" t="s">
        <v>1475</v>
      </c>
      <c r="C284" s="20" t="s">
        <v>165</v>
      </c>
      <c r="D284" s="20" t="s">
        <v>165</v>
      </c>
      <c r="E284" s="20" t="s">
        <v>177</v>
      </c>
      <c r="F284" s="20" t="s">
        <v>178</v>
      </c>
      <c r="G284" s="19">
        <v>0.0</v>
      </c>
      <c r="H284" s="21"/>
      <c r="I284" s="21"/>
      <c r="J284" s="21"/>
      <c r="K284" s="21"/>
      <c r="L284" s="20" t="s">
        <v>1471</v>
      </c>
      <c r="M284" s="20" t="s">
        <v>616</v>
      </c>
      <c r="N284" s="20" t="s">
        <v>341</v>
      </c>
      <c r="O284" s="19">
        <v>0.91045363</v>
      </c>
      <c r="P284" s="19">
        <v>50.956632</v>
      </c>
      <c r="Q284" s="20" t="s">
        <v>180</v>
      </c>
      <c r="R284" s="20" t="s">
        <v>1476</v>
      </c>
      <c r="S284" s="20" t="s">
        <v>1477</v>
      </c>
      <c r="T284" s="21"/>
      <c r="U284" s="20" t="s">
        <v>1474</v>
      </c>
      <c r="V284" s="22">
        <v>167.2</v>
      </c>
      <c r="W284" s="22">
        <v>81.0</v>
      </c>
      <c r="X284" s="22">
        <v>30.0</v>
      </c>
      <c r="Y284" s="22">
        <v>473.4</v>
      </c>
      <c r="Z284" s="23"/>
    </row>
    <row r="285">
      <c r="A285" s="19">
        <v>5156.0</v>
      </c>
      <c r="B285" s="20" t="s">
        <v>1478</v>
      </c>
      <c r="C285" s="20" t="s">
        <v>165</v>
      </c>
      <c r="D285" s="20" t="s">
        <v>165</v>
      </c>
      <c r="E285" s="20" t="s">
        <v>177</v>
      </c>
      <c r="F285" s="20" t="s">
        <v>178</v>
      </c>
      <c r="G285" s="19">
        <v>0.0</v>
      </c>
      <c r="H285" s="21"/>
      <c r="I285" s="21"/>
      <c r="J285" s="21"/>
      <c r="K285" s="21"/>
      <c r="L285" s="20" t="s">
        <v>1471</v>
      </c>
      <c r="M285" s="20" t="s">
        <v>616</v>
      </c>
      <c r="N285" s="20" t="s">
        <v>341</v>
      </c>
      <c r="O285" s="19">
        <v>0.91045363</v>
      </c>
      <c r="P285" s="19">
        <v>50.956632</v>
      </c>
      <c r="Q285" s="20" t="s">
        <v>180</v>
      </c>
      <c r="R285" s="20" t="s">
        <v>1479</v>
      </c>
      <c r="S285" s="20" t="s">
        <v>1480</v>
      </c>
      <c r="T285" s="21"/>
      <c r="U285" s="20" t="s">
        <v>1474</v>
      </c>
      <c r="V285" s="22">
        <v>170.5</v>
      </c>
      <c r="W285" s="22">
        <v>77.3</v>
      </c>
      <c r="X285" s="22">
        <v>22.9</v>
      </c>
      <c r="Y285" s="22">
        <v>511.7</v>
      </c>
      <c r="Z285" s="23"/>
    </row>
    <row r="286">
      <c r="A286" s="19">
        <v>5157.0</v>
      </c>
      <c r="B286" s="20" t="s">
        <v>1481</v>
      </c>
      <c r="C286" s="20" t="s">
        <v>165</v>
      </c>
      <c r="D286" s="20" t="s">
        <v>165</v>
      </c>
      <c r="E286" s="20" t="s">
        <v>1482</v>
      </c>
      <c r="F286" s="20" t="s">
        <v>178</v>
      </c>
      <c r="G286" s="19">
        <v>0.0</v>
      </c>
      <c r="H286" s="21"/>
      <c r="I286" s="21"/>
      <c r="J286" s="21"/>
      <c r="K286" s="21"/>
      <c r="L286" s="20" t="s">
        <v>1471</v>
      </c>
      <c r="M286" s="20" t="s">
        <v>616</v>
      </c>
      <c r="N286" s="20" t="s">
        <v>341</v>
      </c>
      <c r="O286" s="19">
        <v>0.91045363</v>
      </c>
      <c r="P286" s="19">
        <v>50.956632</v>
      </c>
      <c r="Q286" s="20" t="s">
        <v>180</v>
      </c>
      <c r="R286" s="20" t="s">
        <v>1483</v>
      </c>
      <c r="S286" s="20" t="s">
        <v>1484</v>
      </c>
      <c r="T286" s="21"/>
      <c r="U286" s="20" t="s">
        <v>1485</v>
      </c>
      <c r="V286" s="22">
        <v>176.5</v>
      </c>
      <c r="W286" s="22">
        <v>84.2</v>
      </c>
      <c r="X286" s="22">
        <v>29.8</v>
      </c>
      <c r="Y286" s="22">
        <v>518.8</v>
      </c>
      <c r="Z286" s="23"/>
    </row>
    <row r="287">
      <c r="A287" s="19">
        <v>5158.0</v>
      </c>
      <c r="B287" s="20" t="s">
        <v>1486</v>
      </c>
      <c r="C287" s="20" t="s">
        <v>165</v>
      </c>
      <c r="D287" s="20" t="s">
        <v>165</v>
      </c>
      <c r="E287" s="20" t="s">
        <v>1402</v>
      </c>
      <c r="F287" s="20" t="s">
        <v>178</v>
      </c>
      <c r="G287" s="19">
        <v>0.0</v>
      </c>
      <c r="H287" s="21"/>
      <c r="I287" s="21"/>
      <c r="J287" s="21"/>
      <c r="K287" s="21"/>
      <c r="L287" s="20" t="s">
        <v>1471</v>
      </c>
      <c r="M287" s="20" t="s">
        <v>616</v>
      </c>
      <c r="N287" s="20" t="s">
        <v>341</v>
      </c>
      <c r="O287" s="19">
        <v>0.91045363</v>
      </c>
      <c r="P287" s="19">
        <v>50.956632</v>
      </c>
      <c r="Q287" s="20" t="s">
        <v>180</v>
      </c>
      <c r="R287" s="20" t="s">
        <v>1487</v>
      </c>
      <c r="S287" s="20" t="s">
        <v>1488</v>
      </c>
      <c r="T287" s="21"/>
      <c r="U287" s="20" t="s">
        <v>1485</v>
      </c>
      <c r="V287" s="22">
        <v>136.5</v>
      </c>
      <c r="W287" s="22">
        <v>66.7</v>
      </c>
      <c r="X287" s="22">
        <v>23.4</v>
      </c>
      <c r="Y287" s="22">
        <v>260.7</v>
      </c>
      <c r="Z287" s="23"/>
    </row>
    <row r="288">
      <c r="A288" s="19">
        <v>5500.0</v>
      </c>
      <c r="B288" s="20" t="s">
        <v>1489</v>
      </c>
      <c r="C288" s="20" t="s">
        <v>176</v>
      </c>
      <c r="D288" s="20" t="s">
        <v>176</v>
      </c>
      <c r="E288" s="20" t="s">
        <v>177</v>
      </c>
      <c r="F288" s="20" t="s">
        <v>178</v>
      </c>
      <c r="G288" s="19">
        <v>0.0</v>
      </c>
      <c r="H288" s="21"/>
      <c r="I288" s="21"/>
      <c r="J288" s="21"/>
      <c r="K288" s="21"/>
      <c r="L288" s="20" t="s">
        <v>1490</v>
      </c>
      <c r="M288" s="20" t="s">
        <v>323</v>
      </c>
      <c r="N288" s="20" t="s">
        <v>253</v>
      </c>
      <c r="O288" s="19">
        <v>-0.3530296</v>
      </c>
      <c r="P288" s="19">
        <v>51.4668956</v>
      </c>
      <c r="Q288" s="20" t="s">
        <v>180</v>
      </c>
      <c r="R288" s="20" t="s">
        <v>1491</v>
      </c>
      <c r="S288" s="20" t="s">
        <v>1492</v>
      </c>
      <c r="T288" s="21"/>
      <c r="U288" s="20" t="s">
        <v>183</v>
      </c>
      <c r="V288" s="22">
        <v>115.04</v>
      </c>
      <c r="W288" s="22">
        <v>55.93</v>
      </c>
      <c r="X288" s="23"/>
      <c r="Y288" s="22">
        <v>209.2</v>
      </c>
      <c r="Z288" s="22">
        <v>0.486</v>
      </c>
    </row>
    <row r="289">
      <c r="A289" s="19">
        <v>6295.0</v>
      </c>
      <c r="B289" s="20" t="s">
        <v>1493</v>
      </c>
      <c r="C289" s="20" t="s">
        <v>439</v>
      </c>
      <c r="D289" s="20" t="s">
        <v>439</v>
      </c>
      <c r="E289" s="20" t="s">
        <v>458</v>
      </c>
      <c r="F289" s="20" t="s">
        <v>441</v>
      </c>
      <c r="G289" s="19">
        <v>1.0</v>
      </c>
      <c r="H289" s="19">
        <v>1.0</v>
      </c>
      <c r="I289" s="19">
        <v>1.0</v>
      </c>
      <c r="J289" s="19">
        <v>1.0</v>
      </c>
      <c r="K289" s="21"/>
      <c r="L289" s="20" t="s">
        <v>1494</v>
      </c>
      <c r="M289" s="20" t="s">
        <v>222</v>
      </c>
      <c r="N289" s="20" t="s">
        <v>170</v>
      </c>
      <c r="O289" s="19">
        <v>-2.8313392</v>
      </c>
      <c r="P289" s="19">
        <v>50.7921003</v>
      </c>
      <c r="Q289" s="20" t="s">
        <v>443</v>
      </c>
      <c r="R289" s="20" t="s">
        <v>1495</v>
      </c>
      <c r="S289" s="20" t="s">
        <v>1496</v>
      </c>
      <c r="T289" s="21"/>
      <c r="U289" s="20" t="s">
        <v>462</v>
      </c>
      <c r="V289" s="22">
        <v>126.0</v>
      </c>
      <c r="W289" s="22">
        <v>77.0</v>
      </c>
      <c r="X289" s="22">
        <v>24.0</v>
      </c>
      <c r="Y289" s="22">
        <v>333.0</v>
      </c>
      <c r="Z289" s="22">
        <v>0.611</v>
      </c>
    </row>
    <row r="290">
      <c r="A290" s="19">
        <v>6398.0</v>
      </c>
      <c r="B290" s="20" t="s">
        <v>1497</v>
      </c>
      <c r="C290" s="20" t="s">
        <v>439</v>
      </c>
      <c r="D290" s="20" t="s">
        <v>439</v>
      </c>
      <c r="E290" s="20" t="s">
        <v>542</v>
      </c>
      <c r="F290" s="20" t="s">
        <v>441</v>
      </c>
      <c r="G290" s="19">
        <v>1.0</v>
      </c>
      <c r="H290" s="21"/>
      <c r="I290" s="19">
        <v>1.0</v>
      </c>
      <c r="J290" s="21"/>
      <c r="K290" s="21"/>
      <c r="L290" s="20" t="s">
        <v>1498</v>
      </c>
      <c r="M290" s="20" t="s">
        <v>323</v>
      </c>
      <c r="N290" s="20" t="s">
        <v>253</v>
      </c>
      <c r="O290" s="19">
        <v>-0.3095288</v>
      </c>
      <c r="P290" s="19">
        <v>51.4752689</v>
      </c>
      <c r="Q290" s="20" t="s">
        <v>443</v>
      </c>
      <c r="R290" s="20" t="s">
        <v>1499</v>
      </c>
      <c r="S290" s="20" t="s">
        <v>1500</v>
      </c>
      <c r="T290" s="21"/>
      <c r="U290" s="20" t="s">
        <v>859</v>
      </c>
      <c r="V290" s="22">
        <v>125.0</v>
      </c>
      <c r="W290" s="22">
        <v>71.0</v>
      </c>
      <c r="X290" s="22">
        <v>24.0</v>
      </c>
      <c r="Y290" s="22">
        <v>226.0</v>
      </c>
      <c r="Z290" s="22">
        <v>0.568</v>
      </c>
    </row>
    <row r="291">
      <c r="A291" s="19">
        <v>6606.0</v>
      </c>
      <c r="B291" s="20" t="s">
        <v>1501</v>
      </c>
      <c r="C291" s="20" t="s">
        <v>439</v>
      </c>
      <c r="D291" s="20" t="s">
        <v>698</v>
      </c>
      <c r="E291" s="20" t="s">
        <v>736</v>
      </c>
      <c r="F291" s="20" t="s">
        <v>441</v>
      </c>
      <c r="G291" s="21"/>
      <c r="H291" s="19">
        <v>1.0</v>
      </c>
      <c r="I291" s="21"/>
      <c r="J291" s="21"/>
      <c r="K291" s="19">
        <v>1.0</v>
      </c>
      <c r="L291" s="20" t="s">
        <v>1502</v>
      </c>
      <c r="M291" s="20" t="s">
        <v>746</v>
      </c>
      <c r="N291" s="20" t="s">
        <v>304</v>
      </c>
      <c r="O291" s="19">
        <v>-0.6030698</v>
      </c>
      <c r="P291" s="19">
        <v>53.6188834</v>
      </c>
      <c r="Q291" s="20" t="s">
        <v>443</v>
      </c>
      <c r="R291" s="20" t="s">
        <v>1503</v>
      </c>
      <c r="S291" s="20" t="s">
        <v>1504</v>
      </c>
      <c r="T291" s="21"/>
      <c r="U291" s="20" t="s">
        <v>1505</v>
      </c>
      <c r="V291" s="22">
        <v>94.0</v>
      </c>
      <c r="W291" s="22">
        <v>33.0</v>
      </c>
      <c r="X291" s="22">
        <v>12.5</v>
      </c>
      <c r="Y291" s="22">
        <v>99.0</v>
      </c>
      <c r="Z291" s="22">
        <v>0.351</v>
      </c>
    </row>
    <row r="292">
      <c r="A292" s="19">
        <v>6730.0</v>
      </c>
      <c r="B292" s="20" t="s">
        <v>1506</v>
      </c>
      <c r="C292" s="20" t="s">
        <v>439</v>
      </c>
      <c r="D292" s="20" t="s">
        <v>628</v>
      </c>
      <c r="E292" s="20" t="s">
        <v>614</v>
      </c>
      <c r="F292" s="20" t="s">
        <v>441</v>
      </c>
      <c r="G292" s="21"/>
      <c r="H292" s="19">
        <v>1.0</v>
      </c>
      <c r="I292" s="21"/>
      <c r="J292" s="19">
        <v>1.0</v>
      </c>
      <c r="K292" s="21"/>
      <c r="L292" s="20" t="s">
        <v>1507</v>
      </c>
      <c r="M292" s="20" t="s">
        <v>354</v>
      </c>
      <c r="N292" s="20" t="s">
        <v>341</v>
      </c>
      <c r="O292" s="19">
        <v>0.60995957</v>
      </c>
      <c r="P292" s="19">
        <v>52.352763</v>
      </c>
      <c r="Q292" s="20" t="s">
        <v>443</v>
      </c>
      <c r="R292" s="20" t="s">
        <v>1508</v>
      </c>
      <c r="S292" s="20" t="s">
        <v>1509</v>
      </c>
      <c r="T292" s="21"/>
      <c r="U292" s="20" t="s">
        <v>812</v>
      </c>
      <c r="V292" s="22">
        <v>72.0</v>
      </c>
      <c r="W292" s="22">
        <v>33.0</v>
      </c>
      <c r="X292" s="22">
        <v>19.0</v>
      </c>
      <c r="Y292" s="22">
        <v>78.0</v>
      </c>
      <c r="Z292" s="22">
        <v>0.458</v>
      </c>
    </row>
    <row r="293">
      <c r="A293" s="19">
        <v>6796.0</v>
      </c>
      <c r="B293" s="20" t="s">
        <v>1510</v>
      </c>
      <c r="C293" s="20" t="s">
        <v>439</v>
      </c>
      <c r="D293" s="20" t="s">
        <v>628</v>
      </c>
      <c r="E293" s="20" t="s">
        <v>510</v>
      </c>
      <c r="F293" s="20" t="s">
        <v>441</v>
      </c>
      <c r="G293" s="21"/>
      <c r="H293" s="19">
        <v>1.0</v>
      </c>
      <c r="I293" s="21"/>
      <c r="J293" s="21"/>
      <c r="K293" s="21"/>
      <c r="L293" s="20" t="s">
        <v>1511</v>
      </c>
      <c r="M293" s="20" t="s">
        <v>595</v>
      </c>
      <c r="N293" s="20" t="s">
        <v>170</v>
      </c>
      <c r="O293" s="19">
        <v>-1.7939738</v>
      </c>
      <c r="P293" s="19">
        <v>51.1725584</v>
      </c>
      <c r="Q293" s="20" t="s">
        <v>443</v>
      </c>
      <c r="R293" s="20" t="s">
        <v>1512</v>
      </c>
      <c r="S293" s="20" t="s">
        <v>1513</v>
      </c>
      <c r="T293" s="21"/>
      <c r="U293" s="20" t="s">
        <v>1514</v>
      </c>
      <c r="V293" s="22">
        <v>80.0</v>
      </c>
      <c r="W293" s="22">
        <v>50.0</v>
      </c>
      <c r="X293" s="22">
        <v>22.0</v>
      </c>
      <c r="Y293" s="22">
        <v>113.7</v>
      </c>
      <c r="Z293" s="22">
        <v>0.625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22" width="6.88"/>
    <col customWidth="1" min="23" max="24" width="9.0"/>
  </cols>
  <sheetData>
    <row r="1">
      <c r="C1" s="13"/>
      <c r="D1" s="13">
        <v>93.0</v>
      </c>
      <c r="E1" s="13" t="s">
        <v>70</v>
      </c>
      <c r="F1" s="13" t="s">
        <v>82</v>
      </c>
      <c r="G1" s="13" t="s">
        <v>79</v>
      </c>
      <c r="H1" s="13">
        <v>87.0</v>
      </c>
      <c r="I1" s="13">
        <v>370.0</v>
      </c>
      <c r="J1" s="13">
        <v>77.0</v>
      </c>
    </row>
    <row r="2" ht="39.0" customHeight="1">
      <c r="D2" s="8"/>
      <c r="E2" s="8"/>
      <c r="F2" s="8"/>
      <c r="G2" s="8"/>
      <c r="H2" s="8"/>
      <c r="I2" s="8"/>
      <c r="J2" s="8"/>
    </row>
    <row r="3" ht="39.0" customHeight="1">
      <c r="A3" s="30" t="s">
        <v>1515</v>
      </c>
      <c r="B3" s="7">
        <v>595.0</v>
      </c>
      <c r="C3" s="8"/>
      <c r="O3" s="8"/>
      <c r="P3" s="8"/>
      <c r="Q3" s="8"/>
      <c r="R3" s="8"/>
      <c r="T3" s="8"/>
      <c r="U3" s="8"/>
      <c r="V3" s="8"/>
    </row>
    <row r="4" ht="39.0" customHeight="1">
      <c r="B4" s="7">
        <v>628.0</v>
      </c>
      <c r="C4" s="8"/>
      <c r="O4" s="8"/>
      <c r="P4" s="8"/>
      <c r="Q4" s="8"/>
      <c r="R4" s="8"/>
      <c r="T4" s="8"/>
      <c r="U4" s="8"/>
    </row>
    <row r="5" ht="39.0" customHeight="1">
      <c r="B5" s="7">
        <v>616.0</v>
      </c>
      <c r="C5" s="8"/>
      <c r="O5" s="8"/>
      <c r="P5" s="8"/>
      <c r="Q5" s="8"/>
      <c r="R5" s="8"/>
      <c r="T5" s="8"/>
      <c r="U5" s="8"/>
    </row>
    <row r="6" ht="39.0" customHeight="1">
      <c r="B6" s="7">
        <v>622.0</v>
      </c>
      <c r="C6" s="8"/>
    </row>
    <row r="7" ht="39.0" customHeight="1">
      <c r="B7" s="7">
        <v>627.0</v>
      </c>
      <c r="C7" s="8"/>
      <c r="O7" s="8"/>
      <c r="P7" s="8"/>
      <c r="Q7" s="8"/>
      <c r="R7" s="8"/>
      <c r="T7" s="8"/>
      <c r="U7" s="8"/>
      <c r="V7" s="8"/>
      <c r="W7" s="8"/>
      <c r="X7" s="8"/>
    </row>
    <row r="8" ht="39.0" customHeight="1">
      <c r="B8" s="7">
        <v>603.0</v>
      </c>
      <c r="C8" s="8"/>
      <c r="O8" s="8"/>
      <c r="P8" s="8"/>
      <c r="Q8" s="8"/>
      <c r="R8" s="8"/>
      <c r="T8" s="8"/>
      <c r="U8" s="8"/>
      <c r="V8" s="8"/>
      <c r="W8" s="8"/>
      <c r="X8" s="8"/>
    </row>
    <row r="9" ht="39.0" customHeight="1">
      <c r="B9" s="7">
        <v>608.0</v>
      </c>
      <c r="C9" s="8"/>
      <c r="O9" s="8"/>
      <c r="P9" s="8"/>
      <c r="Q9" s="8"/>
      <c r="R9" s="8"/>
      <c r="T9" s="8"/>
      <c r="U9" s="8"/>
      <c r="V9" s="8"/>
      <c r="W9" s="8"/>
      <c r="X9" s="8"/>
    </row>
    <row r="10" ht="39.0" customHeight="1">
      <c r="B10" s="7">
        <v>610.0</v>
      </c>
      <c r="C10" s="8"/>
      <c r="G10" s="8"/>
      <c r="J10" s="8"/>
      <c r="T10" s="8"/>
      <c r="U10" s="8"/>
      <c r="V10" s="8"/>
      <c r="W10" s="8"/>
    </row>
    <row r="11" ht="39.0" customHeight="1">
      <c r="B11" s="7">
        <v>617.0</v>
      </c>
      <c r="C11" s="8"/>
    </row>
    <row r="12" ht="39.0" customHeight="1">
      <c r="B12" s="7">
        <v>620.0</v>
      </c>
      <c r="C12" s="8"/>
    </row>
    <row r="13" ht="39.0" customHeight="1">
      <c r="B13" s="7">
        <v>624.0</v>
      </c>
      <c r="C13" s="8"/>
    </row>
    <row r="14" ht="39.0" customHeight="1">
      <c r="B14" s="7">
        <v>636.0</v>
      </c>
      <c r="C14" s="8"/>
      <c r="D14" s="8"/>
      <c r="E14" s="8"/>
      <c r="H14" s="8"/>
    </row>
    <row r="15" ht="39.0" customHeight="1"/>
    <row r="16" ht="39.0" customHeight="1">
      <c r="D16" s="13">
        <v>93.0</v>
      </c>
      <c r="E16" s="13" t="s">
        <v>70</v>
      </c>
      <c r="F16" s="13" t="s">
        <v>82</v>
      </c>
      <c r="G16" s="13" t="s">
        <v>79</v>
      </c>
      <c r="H16" s="13">
        <v>77.0</v>
      </c>
      <c r="I16" s="13">
        <v>81.0</v>
      </c>
      <c r="J16" s="13">
        <v>83.0</v>
      </c>
      <c r="K16" s="13">
        <v>85.0</v>
      </c>
      <c r="L16" s="13">
        <v>89.0</v>
      </c>
      <c r="M16" s="13">
        <v>94.0</v>
      </c>
      <c r="N16" s="13">
        <v>96.0</v>
      </c>
      <c r="O16" s="13" t="s">
        <v>101</v>
      </c>
      <c r="P16" s="13" t="s">
        <v>104</v>
      </c>
      <c r="Q16" s="13" t="s">
        <v>105</v>
      </c>
      <c r="R16" s="13" t="s">
        <v>109</v>
      </c>
      <c r="S16" s="13" t="s">
        <v>114</v>
      </c>
      <c r="T16" s="13" t="s">
        <v>112</v>
      </c>
      <c r="U16" s="13" t="s">
        <v>116</v>
      </c>
      <c r="V16" s="13" t="s">
        <v>117</v>
      </c>
    </row>
    <row r="17" ht="39.0" customHeight="1">
      <c r="A17" s="7" t="s">
        <v>1516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</row>
    <row r="18" ht="39.0" customHeight="1">
      <c r="B18" s="7">
        <v>595.0</v>
      </c>
      <c r="C18" s="8"/>
    </row>
    <row r="19" ht="39.0" customHeight="1">
      <c r="B19" s="7">
        <v>628.0</v>
      </c>
      <c r="C19" s="8"/>
    </row>
    <row r="20" ht="39.0" customHeight="1">
      <c r="B20" s="7">
        <v>616.0</v>
      </c>
      <c r="C20" s="8"/>
    </row>
    <row r="21" ht="39.0" customHeight="1">
      <c r="B21" s="7">
        <v>619.0</v>
      </c>
      <c r="C21" s="8"/>
    </row>
    <row r="22" ht="39.0" customHeight="1">
      <c r="B22" s="7">
        <v>597.0</v>
      </c>
      <c r="C22" s="8"/>
    </row>
    <row r="23" ht="39.0" customHeight="1">
      <c r="B23" s="7">
        <v>609.0</v>
      </c>
      <c r="C23" s="8"/>
    </row>
    <row r="24" ht="39.0" customHeight="1">
      <c r="B24" s="7">
        <v>607.0</v>
      </c>
      <c r="C24" s="8"/>
    </row>
    <row r="25" ht="39.0" customHeight="1">
      <c r="B25" s="7">
        <v>596.0</v>
      </c>
      <c r="C25" s="8"/>
    </row>
    <row r="26" ht="39.0" customHeight="1">
      <c r="B26" s="7">
        <v>614.0</v>
      </c>
      <c r="C26" s="8"/>
    </row>
    <row r="27" ht="39.0" customHeight="1">
      <c r="B27" s="7">
        <v>626.0</v>
      </c>
      <c r="C27" s="8"/>
    </row>
    <row r="28" ht="39.0" customHeight="1">
      <c r="B28" s="7">
        <v>601.0</v>
      </c>
      <c r="C28" s="8"/>
    </row>
    <row r="29" ht="39.0" customHeight="1">
      <c r="B29" s="7">
        <v>720.0</v>
      </c>
      <c r="C29" s="8"/>
    </row>
    <row r="30" ht="39.0" customHeight="1">
      <c r="B30" s="7">
        <v>637.0</v>
      </c>
      <c r="C30" s="8"/>
    </row>
    <row r="37">
      <c r="B37" s="7">
        <v>622.0</v>
      </c>
      <c r="C37" s="8"/>
      <c r="F37" s="13">
        <v>2.0</v>
      </c>
      <c r="G37" s="8"/>
    </row>
    <row r="38">
      <c r="B38" s="7">
        <v>627.0</v>
      </c>
      <c r="C38" s="8"/>
      <c r="F38" s="13">
        <v>21.0</v>
      </c>
      <c r="G38" s="8"/>
    </row>
    <row r="39">
      <c r="B39" s="7">
        <v>619.0</v>
      </c>
      <c r="C39" s="8"/>
      <c r="F39" s="13">
        <v>25.0</v>
      </c>
      <c r="G39" s="8"/>
    </row>
    <row r="40">
      <c r="B40" s="7">
        <v>602.0</v>
      </c>
      <c r="C40" s="8"/>
      <c r="F40" s="13">
        <v>28.0</v>
      </c>
      <c r="G40" s="8"/>
    </row>
    <row r="41">
      <c r="B41" s="7">
        <v>604.0</v>
      </c>
      <c r="C41" s="8"/>
      <c r="F41" s="13">
        <v>36.0</v>
      </c>
      <c r="G41" s="8"/>
    </row>
    <row r="42">
      <c r="B42" s="7">
        <v>613.0</v>
      </c>
      <c r="C42" s="8"/>
      <c r="F42" s="13">
        <v>42.0</v>
      </c>
      <c r="G42" s="8"/>
    </row>
    <row r="43">
      <c r="B43" s="7">
        <v>615.0</v>
      </c>
      <c r="C43" s="8"/>
      <c r="F43" s="13">
        <v>97.0</v>
      </c>
      <c r="G43" s="8"/>
    </row>
    <row r="44">
      <c r="B44" s="7">
        <v>621.0</v>
      </c>
      <c r="C44" s="8"/>
      <c r="F44" s="13">
        <v>426.0</v>
      </c>
      <c r="G44" s="8"/>
    </row>
    <row r="45">
      <c r="B45" s="7">
        <v>623.0</v>
      </c>
      <c r="F45" s="13" t="s">
        <v>139</v>
      </c>
      <c r="G45" s="8"/>
    </row>
    <row r="46">
      <c r="B46" s="7">
        <v>625.0</v>
      </c>
      <c r="F46" s="13" t="s">
        <v>140</v>
      </c>
      <c r="G46" s="8"/>
    </row>
    <row r="47">
      <c r="B47" s="7">
        <v>629.0</v>
      </c>
      <c r="F47" s="7" t="s">
        <v>20</v>
      </c>
      <c r="G47" s="8"/>
    </row>
    <row r="48">
      <c r="B48" s="7">
        <v>631.0</v>
      </c>
      <c r="F48" s="7" t="s">
        <v>21</v>
      </c>
      <c r="G48" s="8"/>
    </row>
    <row r="49">
      <c r="B49" s="7">
        <v>632.0</v>
      </c>
      <c r="F49" s="7" t="s">
        <v>22</v>
      </c>
      <c r="G49" s="8"/>
    </row>
    <row r="50">
      <c r="B50" s="7">
        <v>634.0</v>
      </c>
      <c r="F50" s="7" t="s">
        <v>23</v>
      </c>
      <c r="G50" s="8"/>
    </row>
    <row r="51">
      <c r="B51" s="7" t="s">
        <v>20</v>
      </c>
      <c r="C51" s="8"/>
    </row>
    <row r="52">
      <c r="B52" s="7" t="s">
        <v>21</v>
      </c>
      <c r="C52" s="8"/>
    </row>
    <row r="53">
      <c r="B53" s="7" t="s">
        <v>22</v>
      </c>
      <c r="C53" s="8"/>
    </row>
    <row r="54">
      <c r="B54" s="7" t="s">
        <v>23</v>
      </c>
      <c r="C54" s="8"/>
    </row>
    <row r="55">
      <c r="B55" s="7" t="s">
        <v>24</v>
      </c>
      <c r="C55" s="8"/>
    </row>
    <row r="56">
      <c r="B56" s="7" t="s">
        <v>25</v>
      </c>
      <c r="C56" s="8"/>
    </row>
    <row r="61">
      <c r="B61" s="7">
        <v>627.0</v>
      </c>
      <c r="C61" s="8"/>
      <c r="F61" s="13">
        <v>2.0</v>
      </c>
      <c r="G61" s="8"/>
    </row>
    <row r="62">
      <c r="B62" s="7">
        <v>623.0</v>
      </c>
      <c r="C62" s="8"/>
      <c r="F62" s="13">
        <v>97.0</v>
      </c>
      <c r="G62" s="8"/>
    </row>
    <row r="63">
      <c r="B63" s="7">
        <v>625.0</v>
      </c>
      <c r="C63" s="8"/>
      <c r="F63" s="13">
        <v>426.0</v>
      </c>
      <c r="G63" s="8"/>
    </row>
    <row r="64">
      <c r="B64" s="7">
        <v>629.0</v>
      </c>
      <c r="C64" s="8"/>
      <c r="F64" s="13" t="s">
        <v>139</v>
      </c>
      <c r="G64" s="8"/>
    </row>
    <row r="65">
      <c r="B65" s="7">
        <v>631.0</v>
      </c>
      <c r="C65" s="8"/>
      <c r="F65" s="13" t="s">
        <v>140</v>
      </c>
      <c r="G65" s="8"/>
    </row>
    <row r="66">
      <c r="B66" s="7">
        <v>632.0</v>
      </c>
      <c r="C66" s="8"/>
      <c r="F66" s="13" t="s">
        <v>1517</v>
      </c>
      <c r="G66" s="8"/>
    </row>
    <row r="67">
      <c r="B67" s="7">
        <v>620.0</v>
      </c>
      <c r="C67" s="8"/>
    </row>
    <row r="68">
      <c r="B68" s="7">
        <v>624.0</v>
      </c>
      <c r="C68" s="8"/>
    </row>
    <row r="69">
      <c r="B69" s="7">
        <v>605.0</v>
      </c>
      <c r="C69" s="8"/>
    </row>
    <row r="70">
      <c r="B70" s="7">
        <v>612.0</v>
      </c>
      <c r="C70" s="8"/>
    </row>
    <row r="71">
      <c r="B71" s="7">
        <v>638.0</v>
      </c>
      <c r="C71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.13"/>
  </cols>
  <sheetData>
    <row r="1" ht="67.5" customHeight="1">
      <c r="A1" s="8"/>
      <c r="B1" s="14"/>
      <c r="C1" s="8"/>
      <c r="D1" s="8"/>
      <c r="E1" s="8"/>
      <c r="G1" s="8"/>
      <c r="H1" s="8"/>
      <c r="I1" s="8"/>
    </row>
    <row r="2" ht="67.5" customHeight="1">
      <c r="A2" s="8"/>
      <c r="B2" s="14"/>
      <c r="C2" s="8"/>
      <c r="D2" s="8"/>
      <c r="E2" s="8"/>
      <c r="G2" s="8"/>
      <c r="H2" s="8"/>
      <c r="I2" s="8"/>
    </row>
    <row r="3" ht="67.5" customHeight="1">
      <c r="A3" s="8"/>
      <c r="B3" s="14"/>
      <c r="C3" s="8"/>
      <c r="D3" s="8"/>
      <c r="E3" s="8"/>
      <c r="G3" s="8"/>
      <c r="H3" s="8"/>
    </row>
    <row r="4" ht="67.5" customHeight="1">
      <c r="B4" s="14"/>
    </row>
    <row r="5" ht="67.5" customHeight="1">
      <c r="A5" s="8"/>
      <c r="B5" s="14"/>
      <c r="C5" s="8"/>
      <c r="D5" s="8"/>
      <c r="E5" s="8"/>
      <c r="G5" s="8"/>
      <c r="H5" s="8"/>
      <c r="I5" s="8"/>
      <c r="J5" s="8"/>
      <c r="K5" s="8"/>
      <c r="L5" s="8"/>
    </row>
    <row r="6" ht="67.5" customHeight="1">
      <c r="A6" s="8"/>
      <c r="B6" s="14"/>
      <c r="C6" s="8"/>
      <c r="D6" s="8"/>
      <c r="E6" s="8"/>
      <c r="G6" s="8"/>
      <c r="H6" s="8"/>
      <c r="I6" s="8"/>
      <c r="J6" s="8"/>
      <c r="K6" s="8"/>
      <c r="L6" s="8"/>
    </row>
    <row r="7" ht="67.5" customHeight="1">
      <c r="A7" s="8"/>
      <c r="B7" s="14"/>
      <c r="C7" s="8"/>
      <c r="D7" s="8"/>
      <c r="E7" s="8"/>
      <c r="G7" s="8"/>
      <c r="H7" s="8"/>
      <c r="I7" s="8"/>
      <c r="J7" s="8"/>
      <c r="K7" s="8"/>
      <c r="L7" s="8"/>
    </row>
    <row r="8" ht="67.5" customHeight="1">
      <c r="B8" s="14"/>
    </row>
    <row r="9">
      <c r="B9" s="14"/>
    </row>
    <row r="10" ht="54.0" customHeight="1">
      <c r="A10" s="8"/>
      <c r="B10" s="14"/>
      <c r="C10" s="8"/>
      <c r="D10" s="8"/>
      <c r="E10" s="8"/>
      <c r="F10" s="8"/>
      <c r="H10" s="8"/>
      <c r="I10" s="8"/>
      <c r="J10" s="8"/>
      <c r="K10" s="8"/>
    </row>
    <row r="11" ht="54.0" customHeight="1">
      <c r="A11" s="8"/>
      <c r="B11" s="14"/>
      <c r="C11" s="8"/>
      <c r="D11" s="8"/>
      <c r="E11" s="8"/>
      <c r="F11" s="8"/>
      <c r="H11" s="8"/>
      <c r="I11" s="8"/>
      <c r="J11" s="8"/>
      <c r="K11" s="8"/>
    </row>
    <row r="12" ht="54.0" customHeight="1">
      <c r="A12" s="8"/>
      <c r="B12" s="14"/>
      <c r="C12" s="8"/>
      <c r="D12" s="8"/>
      <c r="E12" s="8"/>
      <c r="H12" s="8"/>
      <c r="I12" s="8"/>
      <c r="J12" s="8"/>
    </row>
    <row r="13" ht="54.0" customHeight="1">
      <c r="A13" s="8"/>
      <c r="B13" s="14"/>
      <c r="C13" s="8"/>
      <c r="D13" s="8"/>
      <c r="E13" s="8"/>
      <c r="F13" s="8"/>
      <c r="H13" s="8"/>
      <c r="I13" s="8"/>
      <c r="J13" s="8"/>
    </row>
    <row r="14" ht="54.0" customHeight="1">
      <c r="B14" s="14"/>
      <c r="F14" s="8"/>
    </row>
    <row r="15" ht="54.0" customHeight="1">
      <c r="B15" s="14"/>
    </row>
    <row r="16">
      <c r="B16" s="14"/>
    </row>
    <row r="17" ht="48.75" customHeight="1">
      <c r="A17" s="8"/>
      <c r="B17" s="14"/>
      <c r="C17" s="8"/>
      <c r="D17" s="8"/>
      <c r="E17" s="8"/>
      <c r="G17" s="8"/>
      <c r="H17" s="8"/>
    </row>
    <row r="18" ht="48.75" customHeight="1">
      <c r="A18" s="8"/>
      <c r="B18" s="14"/>
      <c r="C18" s="8"/>
      <c r="D18" s="8"/>
      <c r="E18" s="8"/>
      <c r="G18" s="8"/>
      <c r="H18" s="8"/>
    </row>
    <row r="19" ht="48.75" customHeight="1">
      <c r="A19" s="8"/>
      <c r="B19" s="14"/>
      <c r="C19" s="8"/>
      <c r="D19" s="8"/>
      <c r="G19" s="8"/>
      <c r="H19" s="8"/>
    </row>
    <row r="20" ht="48.75" customHeight="1">
      <c r="B20" s="14"/>
    </row>
    <row r="21">
      <c r="B21" s="14"/>
    </row>
    <row r="22">
      <c r="B22" s="14"/>
    </row>
    <row r="23" ht="53.25" customHeight="1">
      <c r="B23" s="13"/>
    </row>
    <row r="24" ht="53.25" customHeight="1">
      <c r="B24" s="14"/>
      <c r="I24" s="7" t="s">
        <v>1518</v>
      </c>
    </row>
    <row r="25" ht="53.25" customHeight="1">
      <c r="B25" s="14"/>
      <c r="I25" s="7" t="s">
        <v>1518</v>
      </c>
    </row>
    <row r="26" ht="53.25" customHeight="1">
      <c r="B26" s="14"/>
      <c r="I26" s="7" t="s">
        <v>1518</v>
      </c>
    </row>
    <row r="27" ht="82.5" customHeight="1">
      <c r="B27" s="14"/>
    </row>
    <row r="28" ht="42.75" customHeight="1">
      <c r="A28" s="31"/>
      <c r="B28" s="32"/>
      <c r="C28" s="33" t="s">
        <v>1519</v>
      </c>
      <c r="D28" s="34"/>
      <c r="E28" s="35"/>
      <c r="F28" s="36"/>
      <c r="G28" s="33" t="s">
        <v>1520</v>
      </c>
      <c r="H28" s="34"/>
      <c r="I28" s="35"/>
    </row>
    <row r="29" ht="42.75" customHeight="1">
      <c r="A29" s="31"/>
      <c r="B29" s="37" t="s">
        <v>1521</v>
      </c>
      <c r="C29" s="38"/>
      <c r="D29" s="38"/>
      <c r="E29" s="38"/>
      <c r="F29" s="38"/>
      <c r="G29" s="38"/>
      <c r="H29" s="38"/>
      <c r="I29" s="38"/>
    </row>
    <row r="30" ht="42.75" customHeight="1">
      <c r="A30" s="31"/>
      <c r="B30" s="39"/>
      <c r="C30" s="38"/>
      <c r="D30" s="38"/>
      <c r="E30" s="38"/>
      <c r="F30" s="38"/>
      <c r="G30" s="38"/>
      <c r="H30" s="38"/>
      <c r="I30" s="38"/>
    </row>
    <row r="31" ht="42.75" customHeight="1">
      <c r="A31" s="40"/>
      <c r="B31" s="41"/>
      <c r="C31" s="42"/>
      <c r="D31" s="42"/>
      <c r="E31" s="42"/>
      <c r="F31" s="42"/>
      <c r="G31" s="42"/>
      <c r="H31" s="42"/>
      <c r="I31" s="42"/>
    </row>
    <row r="32" ht="9.75" customHeight="1">
      <c r="A32" s="43"/>
      <c r="B32" s="44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</row>
    <row r="33" ht="42.75" customHeight="1">
      <c r="A33" s="45"/>
      <c r="B33" s="46" t="s">
        <v>1522</v>
      </c>
      <c r="C33" s="47"/>
      <c r="D33" s="47"/>
      <c r="E33" s="47"/>
      <c r="F33" s="47"/>
      <c r="G33" s="47"/>
      <c r="H33" s="47"/>
      <c r="I33" s="47"/>
    </row>
    <row r="34" ht="42.75" customHeight="1">
      <c r="A34" s="31"/>
      <c r="B34" s="39"/>
      <c r="C34" s="38"/>
      <c r="D34" s="38"/>
      <c r="E34" s="38"/>
      <c r="F34" s="38"/>
      <c r="G34" s="38"/>
      <c r="H34" s="38"/>
      <c r="I34" s="38"/>
    </row>
    <row r="35" ht="42.75" customHeight="1">
      <c r="A35" s="40"/>
      <c r="B35" s="41"/>
      <c r="C35" s="42"/>
      <c r="D35" s="42"/>
      <c r="E35" s="42"/>
      <c r="F35" s="42"/>
      <c r="G35" s="42"/>
      <c r="H35" s="42"/>
      <c r="I35" s="42"/>
    </row>
    <row r="36" ht="11.25" customHeight="1">
      <c r="A36" s="43"/>
      <c r="B36" s="44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</row>
    <row r="37" ht="42.75" customHeight="1">
      <c r="A37" s="45"/>
      <c r="B37" s="46" t="s">
        <v>1516</v>
      </c>
      <c r="C37" s="47"/>
      <c r="D37" s="47"/>
      <c r="E37" s="47"/>
      <c r="F37" s="47"/>
      <c r="G37" s="47"/>
      <c r="H37" s="47"/>
      <c r="I37" s="47"/>
    </row>
    <row r="38" ht="42.75" customHeight="1">
      <c r="A38" s="31"/>
      <c r="B38" s="39"/>
      <c r="C38" s="38"/>
      <c r="D38" s="38"/>
      <c r="E38" s="38"/>
      <c r="F38" s="38"/>
      <c r="G38" s="38"/>
      <c r="H38" s="38"/>
      <c r="I38" s="38"/>
    </row>
    <row r="39" ht="40.5" customHeight="1">
      <c r="A39" s="40"/>
      <c r="B39" s="41"/>
      <c r="C39" s="42"/>
      <c r="D39" s="42"/>
      <c r="E39" s="42"/>
      <c r="F39" s="42"/>
      <c r="G39" s="42"/>
      <c r="H39" s="42"/>
      <c r="I39" s="42"/>
    </row>
    <row r="40" ht="12.75" customHeight="1">
      <c r="A40" s="43"/>
      <c r="B40" s="44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</row>
    <row r="41" ht="42.75" customHeight="1">
      <c r="A41" s="45"/>
      <c r="B41" s="46" t="s">
        <v>54</v>
      </c>
      <c r="C41" s="47"/>
      <c r="D41" s="47"/>
      <c r="E41" s="47"/>
      <c r="F41" s="47"/>
      <c r="G41" s="47"/>
      <c r="H41" s="47"/>
      <c r="I41" s="47"/>
    </row>
    <row r="42" ht="42.75" customHeight="1">
      <c r="A42" s="31"/>
      <c r="B42" s="39"/>
      <c r="C42" s="38"/>
      <c r="D42" s="38"/>
      <c r="E42" s="38"/>
      <c r="F42" s="38"/>
      <c r="G42" s="38"/>
      <c r="H42" s="38"/>
      <c r="I42" s="38"/>
    </row>
    <row r="43" ht="42.75" customHeight="1">
      <c r="A43" s="31"/>
      <c r="B43" s="41"/>
      <c r="C43" s="38"/>
      <c r="D43" s="38"/>
      <c r="E43" s="38"/>
      <c r="F43" s="38"/>
      <c r="G43" s="38"/>
      <c r="H43" s="38"/>
      <c r="I43" s="38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</sheetData>
  <mergeCells count="6">
    <mergeCell ref="C28:E28"/>
    <mergeCell ref="G28:I28"/>
    <mergeCell ref="B29:B31"/>
    <mergeCell ref="B33:B35"/>
    <mergeCell ref="B37:B39"/>
    <mergeCell ref="B41:B4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1523</v>
      </c>
      <c r="D1" s="1" t="s">
        <v>2</v>
      </c>
      <c r="E1" s="1" t="s">
        <v>3</v>
      </c>
      <c r="F1" s="1" t="s">
        <v>1524</v>
      </c>
      <c r="G1" s="1" t="s">
        <v>1525</v>
      </c>
      <c r="H1" s="1" t="s">
        <v>1526</v>
      </c>
      <c r="I1" s="48" t="s">
        <v>1527</v>
      </c>
      <c r="J1" s="1" t="s">
        <v>1528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39.75" customHeight="1">
      <c r="A2" s="7">
        <v>53.0</v>
      </c>
      <c r="B2" s="7">
        <v>596.0</v>
      </c>
      <c r="D2" s="7">
        <v>1.0</v>
      </c>
      <c r="E2" s="7">
        <v>1.0</v>
      </c>
      <c r="G2" s="49">
        <v>1.0</v>
      </c>
      <c r="H2" s="49">
        <v>109110.0</v>
      </c>
      <c r="I2" s="50"/>
      <c r="J2" s="8"/>
      <c r="K2" s="8"/>
    </row>
    <row r="3" ht="39.75" customHeight="1">
      <c r="A3" s="7">
        <v>53.0</v>
      </c>
      <c r="B3" s="7">
        <v>597.0</v>
      </c>
      <c r="C3" s="7" t="s">
        <v>1529</v>
      </c>
      <c r="D3" s="7">
        <v>1.0</v>
      </c>
      <c r="G3" s="7">
        <v>1.0</v>
      </c>
      <c r="H3" s="7" t="s">
        <v>1530</v>
      </c>
      <c r="I3" s="50"/>
      <c r="J3" s="8"/>
      <c r="K3" s="8"/>
      <c r="L3" s="8"/>
    </row>
    <row r="4" ht="39.75" customHeight="1">
      <c r="A4" s="7">
        <v>53.0</v>
      </c>
      <c r="B4" s="7">
        <v>601.0</v>
      </c>
      <c r="D4" s="7">
        <v>1.0</v>
      </c>
      <c r="E4" s="7">
        <v>1.0</v>
      </c>
      <c r="G4" s="49">
        <v>1.0</v>
      </c>
      <c r="H4" s="49">
        <v>109110.0</v>
      </c>
      <c r="I4" s="50"/>
      <c r="J4" s="8"/>
      <c r="K4" s="8"/>
    </row>
    <row r="5" ht="39.75" customHeight="1">
      <c r="A5" s="7">
        <v>53.0</v>
      </c>
      <c r="B5" s="7">
        <v>605.0</v>
      </c>
      <c r="G5" s="7">
        <v>1.0</v>
      </c>
      <c r="H5" s="7" t="s">
        <v>141</v>
      </c>
      <c r="I5" s="50"/>
    </row>
    <row r="6" ht="39.75" customHeight="1">
      <c r="A6" s="7">
        <v>53.0</v>
      </c>
      <c r="B6" s="7">
        <v>613.0</v>
      </c>
      <c r="G6" s="7">
        <v>1.0</v>
      </c>
      <c r="H6" s="7" t="s">
        <v>1531</v>
      </c>
      <c r="I6" s="50"/>
      <c r="J6" s="8"/>
      <c r="K6" s="8"/>
      <c r="L6" s="8"/>
    </row>
    <row r="7" ht="39.75" customHeight="1">
      <c r="A7" s="7">
        <v>53.0</v>
      </c>
      <c r="B7" s="7">
        <v>614.0</v>
      </c>
      <c r="D7" s="7">
        <v>1.0</v>
      </c>
      <c r="G7" s="7">
        <v>1.0</v>
      </c>
      <c r="H7" s="7" t="s">
        <v>1532</v>
      </c>
      <c r="I7" s="50"/>
      <c r="J7" s="8"/>
      <c r="K7" s="8"/>
    </row>
    <row r="8" ht="39.75" customHeight="1">
      <c r="A8" s="7">
        <v>53.0</v>
      </c>
      <c r="B8" s="7">
        <v>618.0</v>
      </c>
      <c r="E8" s="7">
        <v>1.0</v>
      </c>
      <c r="G8" s="49">
        <v>1.0</v>
      </c>
      <c r="H8" s="49">
        <v>109110.0</v>
      </c>
      <c r="I8" s="50"/>
      <c r="J8" s="8"/>
      <c r="K8" s="8"/>
    </row>
    <row r="9" ht="39.75" customHeight="1">
      <c r="A9" s="7">
        <v>53.0</v>
      </c>
      <c r="B9" s="7">
        <v>619.0</v>
      </c>
      <c r="D9" s="7">
        <v>1.0</v>
      </c>
      <c r="G9" s="7">
        <v>1.0</v>
      </c>
      <c r="I9" s="50"/>
    </row>
    <row r="10" ht="39.75" customHeight="1">
      <c r="A10" s="7">
        <v>53.0</v>
      </c>
      <c r="B10" s="7">
        <v>622.0</v>
      </c>
      <c r="G10" s="7">
        <v>1.0</v>
      </c>
      <c r="I10" s="50"/>
    </row>
    <row r="11" ht="39.75" customHeight="1">
      <c r="A11" s="7">
        <v>53.0</v>
      </c>
      <c r="B11" s="7">
        <v>626.0</v>
      </c>
      <c r="D11" s="7">
        <v>1.0</v>
      </c>
      <c r="G11" s="7">
        <v>1.0</v>
      </c>
      <c r="H11" s="7" t="s">
        <v>1533</v>
      </c>
      <c r="I11" s="50"/>
      <c r="J11" s="8"/>
    </row>
    <row r="12" ht="39.75" customHeight="1">
      <c r="A12" s="7">
        <v>53.0</v>
      </c>
      <c r="B12" s="7">
        <v>628.0</v>
      </c>
      <c r="D12" s="7">
        <v>1.0</v>
      </c>
      <c r="G12" s="7">
        <v>1.0</v>
      </c>
      <c r="H12" s="7" t="s">
        <v>1533</v>
      </c>
      <c r="I12" s="50"/>
      <c r="J12" s="8"/>
    </row>
    <row r="13" ht="39.75" customHeight="1">
      <c r="A13" s="7">
        <v>53.0</v>
      </c>
      <c r="B13" s="7">
        <v>637.0</v>
      </c>
      <c r="D13" s="7">
        <v>1.0</v>
      </c>
      <c r="G13" s="7">
        <v>1.0</v>
      </c>
      <c r="H13" s="7" t="s">
        <v>1533</v>
      </c>
      <c r="I13" s="50"/>
      <c r="J13" s="8"/>
    </row>
    <row r="14" ht="39.75" customHeight="1">
      <c r="A14" s="7">
        <v>53.0</v>
      </c>
      <c r="B14" s="7">
        <v>638.0</v>
      </c>
      <c r="G14" s="7">
        <v>1.0</v>
      </c>
      <c r="I14" s="50"/>
    </row>
    <row r="15" ht="39.75" customHeight="1">
      <c r="A15" s="7">
        <v>53.0</v>
      </c>
      <c r="B15" s="7">
        <v>720.0</v>
      </c>
      <c r="D15" s="7">
        <v>1.0</v>
      </c>
      <c r="G15" s="7">
        <v>1.0</v>
      </c>
      <c r="I15" s="50"/>
    </row>
    <row r="16" ht="39.75" customHeight="1">
      <c r="A16" s="7">
        <v>53.0</v>
      </c>
      <c r="B16" s="7">
        <v>595.0</v>
      </c>
      <c r="C16" s="7" t="s">
        <v>1529</v>
      </c>
      <c r="D16" s="7">
        <v>1.0</v>
      </c>
      <c r="G16" s="7">
        <v>1.0</v>
      </c>
      <c r="H16" s="7" t="s">
        <v>1534</v>
      </c>
      <c r="I16" s="50"/>
      <c r="J16" s="8"/>
    </row>
    <row r="17" ht="39.75" customHeight="1">
      <c r="A17" s="7">
        <v>53.0</v>
      </c>
      <c r="B17" s="7">
        <v>600.0</v>
      </c>
      <c r="C17" s="7" t="s">
        <v>1535</v>
      </c>
      <c r="E17" s="7">
        <v>1.0</v>
      </c>
      <c r="G17" s="49"/>
      <c r="H17" s="49">
        <v>109110.0</v>
      </c>
      <c r="I17" s="50"/>
      <c r="J17" s="8"/>
      <c r="K17" s="8"/>
    </row>
    <row r="18" ht="39.75" customHeight="1">
      <c r="A18" s="7">
        <v>53.0</v>
      </c>
      <c r="B18" s="7">
        <v>602.0</v>
      </c>
      <c r="G18" s="7"/>
      <c r="H18" s="7" t="s">
        <v>116</v>
      </c>
      <c r="I18" s="50"/>
      <c r="J18" s="8"/>
    </row>
    <row r="19" ht="39.75" customHeight="1">
      <c r="A19" s="7">
        <v>53.0</v>
      </c>
      <c r="B19" s="7">
        <v>603.0</v>
      </c>
      <c r="F19" s="7" t="s">
        <v>1536</v>
      </c>
      <c r="G19" s="7"/>
      <c r="H19" s="7" t="s">
        <v>1537</v>
      </c>
      <c r="I19" s="50"/>
      <c r="J19" s="8"/>
      <c r="K19" s="8"/>
    </row>
    <row r="20" ht="39.75" customHeight="1">
      <c r="A20" s="7">
        <v>53.0</v>
      </c>
      <c r="B20" s="7">
        <v>604.0</v>
      </c>
      <c r="F20" s="7" t="s">
        <v>1538</v>
      </c>
      <c r="G20" s="7"/>
      <c r="H20" s="7" t="s">
        <v>1539</v>
      </c>
      <c r="I20" s="50"/>
      <c r="J20" s="8"/>
    </row>
    <row r="21" ht="39.75" customHeight="1">
      <c r="A21" s="7">
        <v>53.0</v>
      </c>
      <c r="B21" s="7">
        <v>606.0</v>
      </c>
      <c r="G21" s="7"/>
      <c r="H21" s="7" t="s">
        <v>1540</v>
      </c>
      <c r="I21" s="50"/>
      <c r="J21" s="8"/>
      <c r="K21" s="8"/>
      <c r="L21" s="8"/>
    </row>
    <row r="22" ht="39.75" customHeight="1">
      <c r="A22" s="7">
        <v>53.0</v>
      </c>
      <c r="B22" s="7">
        <v>607.0</v>
      </c>
      <c r="D22" s="7">
        <v>1.0</v>
      </c>
      <c r="G22" s="7"/>
      <c r="H22" s="7" t="s">
        <v>1541</v>
      </c>
      <c r="I22" s="50"/>
      <c r="J22" s="8"/>
      <c r="K22" s="8"/>
      <c r="L22" s="8"/>
      <c r="M22" s="8"/>
    </row>
    <row r="23" ht="39.75" customHeight="1">
      <c r="A23" s="7">
        <v>53.0</v>
      </c>
      <c r="B23" s="7">
        <v>608.0</v>
      </c>
      <c r="G23" s="7"/>
      <c r="H23" s="7" t="s">
        <v>1542</v>
      </c>
      <c r="I23" s="50"/>
      <c r="J23" s="8"/>
      <c r="K23" s="8"/>
    </row>
    <row r="24" ht="39.75" customHeight="1">
      <c r="A24" s="7">
        <v>53.0</v>
      </c>
      <c r="B24" s="7">
        <v>609.0</v>
      </c>
      <c r="D24" s="7">
        <v>1.0</v>
      </c>
      <c r="E24" s="7">
        <v>1.0</v>
      </c>
      <c r="G24" s="49"/>
      <c r="H24" s="49">
        <v>109110.0</v>
      </c>
      <c r="I24" s="50"/>
      <c r="J24" s="8"/>
      <c r="K24" s="8"/>
    </row>
    <row r="25" ht="39.75" customHeight="1">
      <c r="A25" s="7">
        <v>53.0</v>
      </c>
      <c r="B25" s="7">
        <v>610.0</v>
      </c>
      <c r="G25" s="7"/>
      <c r="H25" s="7" t="s">
        <v>1543</v>
      </c>
      <c r="I25" s="50"/>
      <c r="J25" s="8"/>
    </row>
    <row r="26" ht="39.75" customHeight="1">
      <c r="A26" s="7">
        <v>53.0</v>
      </c>
      <c r="B26" s="7">
        <v>611.0</v>
      </c>
      <c r="E26" s="7">
        <v>1.0</v>
      </c>
      <c r="G26" s="49"/>
      <c r="H26" s="49">
        <v>109110.0</v>
      </c>
      <c r="I26" s="50"/>
      <c r="J26" s="8"/>
      <c r="K26" s="8"/>
    </row>
    <row r="27" ht="39.75" customHeight="1">
      <c r="A27" s="7">
        <v>53.0</v>
      </c>
      <c r="B27" s="7">
        <v>612.0</v>
      </c>
      <c r="G27" s="7"/>
      <c r="H27" s="7" t="s">
        <v>1544</v>
      </c>
      <c r="I27" s="50"/>
      <c r="J27" s="8"/>
      <c r="K27" s="8"/>
      <c r="L27" s="8"/>
    </row>
    <row r="28" ht="39.75" customHeight="1">
      <c r="A28" s="7">
        <v>53.0</v>
      </c>
      <c r="B28" s="7">
        <v>615.0</v>
      </c>
      <c r="G28" s="7"/>
      <c r="H28" s="7" t="s">
        <v>1545</v>
      </c>
      <c r="I28" s="50"/>
      <c r="J28" s="8"/>
      <c r="K28" s="8"/>
      <c r="L28" s="8"/>
    </row>
    <row r="29" ht="39.75" customHeight="1">
      <c r="A29" s="7">
        <v>53.0</v>
      </c>
      <c r="B29" s="7">
        <v>616.0</v>
      </c>
      <c r="D29" s="7">
        <v>1.0</v>
      </c>
      <c r="G29" s="7"/>
      <c r="H29" s="7" t="s">
        <v>1546</v>
      </c>
      <c r="I29" s="50"/>
      <c r="J29" s="8"/>
      <c r="K29" s="8"/>
      <c r="L29" s="8"/>
    </row>
    <row r="30" ht="39.75" customHeight="1">
      <c r="A30" s="7">
        <v>53.0</v>
      </c>
      <c r="B30" s="7">
        <v>617.0</v>
      </c>
      <c r="G30" s="7"/>
      <c r="H30" s="7" t="s">
        <v>1547</v>
      </c>
      <c r="I30" s="50"/>
      <c r="J30" s="8"/>
      <c r="K30" s="8"/>
      <c r="L30" s="8"/>
      <c r="M30" s="8"/>
    </row>
    <row r="31" ht="39.75" customHeight="1">
      <c r="A31" s="7">
        <v>53.0</v>
      </c>
      <c r="B31" s="7">
        <v>620.0</v>
      </c>
      <c r="G31" s="49"/>
      <c r="H31" s="49" t="s">
        <v>1548</v>
      </c>
      <c r="I31" s="50"/>
      <c r="J31" s="8"/>
      <c r="K31" s="8"/>
      <c r="L31" s="8"/>
      <c r="M31" s="8"/>
    </row>
    <row r="32" ht="39.75" customHeight="1">
      <c r="A32" s="7">
        <v>53.0</v>
      </c>
      <c r="B32" s="7">
        <v>621.0</v>
      </c>
      <c r="H32" s="7" t="s">
        <v>1517</v>
      </c>
      <c r="I32" s="50"/>
      <c r="J32" s="8"/>
    </row>
    <row r="33" ht="39.75" customHeight="1">
      <c r="A33" s="7">
        <v>53.0</v>
      </c>
      <c r="B33" s="7">
        <v>623.0</v>
      </c>
      <c r="H33" s="7" t="s">
        <v>1517</v>
      </c>
      <c r="I33" s="50"/>
      <c r="J33" s="8"/>
    </row>
    <row r="34" ht="39.75" customHeight="1">
      <c r="A34" s="7">
        <v>53.0</v>
      </c>
      <c r="B34" s="7">
        <v>624.0</v>
      </c>
      <c r="I34" s="50"/>
    </row>
    <row r="35" ht="39.75" customHeight="1">
      <c r="A35" s="7">
        <v>53.0</v>
      </c>
      <c r="B35" s="7">
        <v>625.0</v>
      </c>
      <c r="I35" s="50"/>
    </row>
    <row r="36" ht="39.75" customHeight="1">
      <c r="A36" s="7">
        <v>53.0</v>
      </c>
      <c r="B36" s="7">
        <v>629.0</v>
      </c>
      <c r="I36" s="50"/>
    </row>
    <row r="37" ht="39.75" customHeight="1">
      <c r="A37" s="7">
        <v>53.0</v>
      </c>
      <c r="B37" s="7">
        <v>630.0</v>
      </c>
      <c r="I37" s="50"/>
    </row>
    <row r="38" ht="39.75" customHeight="1">
      <c r="A38" s="7">
        <v>53.0</v>
      </c>
      <c r="B38" s="7">
        <v>631.0</v>
      </c>
      <c r="I38" s="50"/>
    </row>
    <row r="39" ht="39.75" customHeight="1">
      <c r="A39" s="7">
        <v>53.0</v>
      </c>
      <c r="B39" s="7">
        <v>632.0</v>
      </c>
      <c r="I39" s="50"/>
    </row>
    <row r="40" ht="39.75" customHeight="1">
      <c r="A40" s="7">
        <v>53.0</v>
      </c>
      <c r="B40" s="7">
        <v>634.0</v>
      </c>
      <c r="I40" s="50"/>
    </row>
    <row r="41" ht="39.75" customHeight="1">
      <c r="A41" s="7">
        <v>53.0</v>
      </c>
      <c r="B41" s="7">
        <v>636.0</v>
      </c>
      <c r="I41" s="50"/>
    </row>
    <row r="42">
      <c r="I42" s="50"/>
    </row>
    <row r="43">
      <c r="I43" s="50"/>
    </row>
    <row r="44">
      <c r="I44" s="50"/>
    </row>
    <row r="45">
      <c r="I45" s="50"/>
    </row>
    <row r="46">
      <c r="I46" s="50"/>
    </row>
    <row r="47">
      <c r="I47" s="50"/>
    </row>
    <row r="48">
      <c r="I48" s="50"/>
    </row>
    <row r="49">
      <c r="I49" s="50"/>
    </row>
    <row r="50">
      <c r="I50" s="50"/>
    </row>
    <row r="51">
      <c r="I51" s="50"/>
    </row>
    <row r="52">
      <c r="I52" s="50"/>
    </row>
    <row r="53">
      <c r="I53" s="50"/>
    </row>
    <row r="54">
      <c r="I54" s="50"/>
    </row>
    <row r="55">
      <c r="I55" s="50"/>
    </row>
    <row r="56">
      <c r="I56" s="50"/>
    </row>
    <row r="57">
      <c r="I57" s="50"/>
    </row>
    <row r="58">
      <c r="I58" s="50"/>
    </row>
    <row r="59">
      <c r="I59" s="50"/>
    </row>
    <row r="60">
      <c r="I60" s="50"/>
    </row>
    <row r="61">
      <c r="I61" s="50"/>
    </row>
    <row r="62">
      <c r="I62" s="50"/>
    </row>
    <row r="63">
      <c r="I63" s="50"/>
    </row>
    <row r="64">
      <c r="I64" s="50"/>
    </row>
    <row r="65">
      <c r="I65" s="50"/>
    </row>
    <row r="66">
      <c r="I66" s="50"/>
    </row>
    <row r="67">
      <c r="I67" s="50"/>
    </row>
    <row r="68">
      <c r="I68" s="50"/>
    </row>
    <row r="69">
      <c r="I69" s="50"/>
    </row>
    <row r="70">
      <c r="I70" s="50"/>
    </row>
    <row r="71">
      <c r="I71" s="50"/>
    </row>
    <row r="72">
      <c r="I72" s="50"/>
    </row>
    <row r="73">
      <c r="I73" s="50"/>
    </row>
    <row r="74">
      <c r="I74" s="50"/>
    </row>
    <row r="75">
      <c r="I75" s="50"/>
    </row>
    <row r="76">
      <c r="I76" s="50"/>
    </row>
    <row r="77">
      <c r="I77" s="50"/>
    </row>
    <row r="78">
      <c r="I78" s="50"/>
    </row>
    <row r="79">
      <c r="I79" s="50"/>
    </row>
    <row r="80">
      <c r="I80" s="50"/>
    </row>
    <row r="81">
      <c r="I81" s="50"/>
    </row>
    <row r="82">
      <c r="I82" s="50"/>
    </row>
    <row r="83">
      <c r="I83" s="50"/>
    </row>
    <row r="84">
      <c r="I84" s="50"/>
    </row>
    <row r="85">
      <c r="I85" s="50"/>
    </row>
    <row r="86">
      <c r="I86" s="50"/>
    </row>
    <row r="87">
      <c r="I87" s="50"/>
    </row>
    <row r="88">
      <c r="I88" s="50"/>
    </row>
    <row r="89">
      <c r="I89" s="50"/>
    </row>
    <row r="90">
      <c r="I90" s="50"/>
    </row>
    <row r="91">
      <c r="I91" s="50"/>
    </row>
    <row r="92">
      <c r="I92" s="50"/>
    </row>
    <row r="93">
      <c r="I93" s="50"/>
    </row>
    <row r="94">
      <c r="I94" s="50"/>
    </row>
    <row r="95">
      <c r="I95" s="50"/>
    </row>
    <row r="96">
      <c r="I96" s="50"/>
    </row>
    <row r="97">
      <c r="I97" s="50"/>
    </row>
    <row r="98">
      <c r="I98" s="50"/>
    </row>
    <row r="99">
      <c r="I99" s="50"/>
    </row>
    <row r="100">
      <c r="I100" s="50"/>
    </row>
    <row r="101">
      <c r="I101" s="50"/>
    </row>
    <row r="102">
      <c r="I102" s="50"/>
    </row>
    <row r="103">
      <c r="I103" s="50"/>
    </row>
    <row r="104">
      <c r="I104" s="50"/>
    </row>
    <row r="105">
      <c r="I105" s="50"/>
    </row>
    <row r="106">
      <c r="I106" s="50"/>
    </row>
    <row r="107">
      <c r="I107" s="50"/>
    </row>
    <row r="108">
      <c r="I108" s="50"/>
    </row>
    <row r="109">
      <c r="I109" s="50"/>
    </row>
    <row r="110">
      <c r="I110" s="50"/>
    </row>
    <row r="111">
      <c r="I111" s="50"/>
    </row>
    <row r="112">
      <c r="I112" s="50"/>
    </row>
    <row r="113">
      <c r="I113" s="50"/>
    </row>
    <row r="114">
      <c r="I114" s="50"/>
    </row>
    <row r="115">
      <c r="I115" s="50"/>
    </row>
    <row r="116">
      <c r="I116" s="50"/>
    </row>
    <row r="117">
      <c r="I117" s="50"/>
    </row>
    <row r="118">
      <c r="I118" s="50"/>
    </row>
    <row r="119">
      <c r="I119" s="50"/>
    </row>
    <row r="120">
      <c r="I120" s="50"/>
    </row>
    <row r="121">
      <c r="I121" s="50"/>
    </row>
    <row r="122">
      <c r="I122" s="50"/>
    </row>
    <row r="123">
      <c r="I123" s="50"/>
    </row>
    <row r="124">
      <c r="I124" s="50"/>
    </row>
    <row r="125">
      <c r="I125" s="50"/>
    </row>
    <row r="126">
      <c r="I126" s="50"/>
    </row>
    <row r="127">
      <c r="I127" s="50"/>
    </row>
    <row r="128">
      <c r="I128" s="50"/>
    </row>
    <row r="129">
      <c r="I129" s="50"/>
    </row>
    <row r="130">
      <c r="I130" s="50"/>
    </row>
    <row r="131">
      <c r="I131" s="50"/>
    </row>
    <row r="132">
      <c r="I132" s="50"/>
    </row>
    <row r="133">
      <c r="I133" s="50"/>
    </row>
    <row r="134">
      <c r="I134" s="50"/>
    </row>
    <row r="135">
      <c r="I135" s="50"/>
    </row>
    <row r="136">
      <c r="I136" s="50"/>
    </row>
    <row r="137">
      <c r="I137" s="50"/>
    </row>
    <row r="138">
      <c r="I138" s="50"/>
    </row>
    <row r="139">
      <c r="I139" s="50"/>
    </row>
    <row r="140">
      <c r="I140" s="50"/>
    </row>
    <row r="141">
      <c r="I141" s="50"/>
    </row>
    <row r="142">
      <c r="I142" s="50"/>
    </row>
    <row r="143">
      <c r="I143" s="50"/>
    </row>
    <row r="144">
      <c r="I144" s="50"/>
    </row>
    <row r="145">
      <c r="I145" s="50"/>
    </row>
    <row r="146">
      <c r="I146" s="50"/>
    </row>
    <row r="147">
      <c r="I147" s="50"/>
    </row>
    <row r="148">
      <c r="I148" s="50"/>
    </row>
    <row r="149">
      <c r="I149" s="50"/>
    </row>
    <row r="150">
      <c r="I150" s="50"/>
    </row>
    <row r="151">
      <c r="I151" s="50"/>
    </row>
    <row r="152">
      <c r="I152" s="50"/>
    </row>
    <row r="153">
      <c r="I153" s="50"/>
    </row>
    <row r="154">
      <c r="I154" s="50"/>
    </row>
    <row r="155">
      <c r="I155" s="50"/>
    </row>
    <row r="156">
      <c r="I156" s="50"/>
    </row>
    <row r="157">
      <c r="I157" s="50"/>
    </row>
    <row r="158">
      <c r="I158" s="50"/>
    </row>
    <row r="159">
      <c r="I159" s="50"/>
    </row>
    <row r="160">
      <c r="I160" s="50"/>
    </row>
    <row r="161">
      <c r="I161" s="50"/>
    </row>
    <row r="162">
      <c r="I162" s="50"/>
    </row>
    <row r="163">
      <c r="I163" s="50"/>
    </row>
    <row r="164">
      <c r="I164" s="50"/>
    </row>
    <row r="165">
      <c r="I165" s="50"/>
    </row>
    <row r="166">
      <c r="I166" s="50"/>
    </row>
    <row r="167">
      <c r="I167" s="50"/>
    </row>
    <row r="168">
      <c r="I168" s="50"/>
    </row>
    <row r="169">
      <c r="I169" s="50"/>
    </row>
    <row r="170">
      <c r="I170" s="50"/>
    </row>
    <row r="171">
      <c r="I171" s="50"/>
    </row>
    <row r="172">
      <c r="I172" s="50"/>
    </row>
    <row r="173">
      <c r="I173" s="50"/>
    </row>
    <row r="174">
      <c r="I174" s="50"/>
    </row>
    <row r="175">
      <c r="I175" s="50"/>
    </row>
    <row r="176">
      <c r="I176" s="50"/>
    </row>
    <row r="177">
      <c r="I177" s="50"/>
    </row>
    <row r="178">
      <c r="I178" s="50"/>
    </row>
    <row r="179">
      <c r="I179" s="50"/>
    </row>
    <row r="180">
      <c r="I180" s="50"/>
    </row>
    <row r="181">
      <c r="I181" s="50"/>
    </row>
    <row r="182">
      <c r="I182" s="50"/>
    </row>
    <row r="183">
      <c r="I183" s="50"/>
    </row>
    <row r="184">
      <c r="I184" s="50"/>
    </row>
    <row r="185">
      <c r="I185" s="50"/>
    </row>
    <row r="186">
      <c r="I186" s="50"/>
    </row>
    <row r="187">
      <c r="I187" s="50"/>
    </row>
    <row r="188">
      <c r="I188" s="50"/>
    </row>
    <row r="189">
      <c r="I189" s="50"/>
    </row>
    <row r="190">
      <c r="I190" s="50"/>
    </row>
    <row r="191">
      <c r="I191" s="50"/>
    </row>
    <row r="192">
      <c r="I192" s="50"/>
    </row>
    <row r="193">
      <c r="I193" s="50"/>
    </row>
    <row r="194">
      <c r="I194" s="50"/>
    </row>
    <row r="195">
      <c r="I195" s="50"/>
    </row>
    <row r="196">
      <c r="I196" s="50"/>
    </row>
    <row r="197">
      <c r="I197" s="50"/>
    </row>
    <row r="198">
      <c r="I198" s="50"/>
    </row>
    <row r="199">
      <c r="I199" s="50"/>
    </row>
    <row r="200">
      <c r="I200" s="50"/>
    </row>
    <row r="201">
      <c r="I201" s="50"/>
    </row>
    <row r="202">
      <c r="I202" s="50"/>
    </row>
    <row r="203">
      <c r="I203" s="50"/>
    </row>
    <row r="204">
      <c r="I204" s="50"/>
    </row>
    <row r="205">
      <c r="I205" s="50"/>
    </row>
    <row r="206">
      <c r="I206" s="50"/>
    </row>
    <row r="207">
      <c r="I207" s="50"/>
    </row>
    <row r="208">
      <c r="I208" s="50"/>
    </row>
    <row r="209">
      <c r="I209" s="50"/>
    </row>
    <row r="210">
      <c r="I210" s="50"/>
    </row>
    <row r="211">
      <c r="I211" s="50"/>
    </row>
    <row r="212">
      <c r="I212" s="50"/>
    </row>
    <row r="213">
      <c r="I213" s="50"/>
    </row>
    <row r="214">
      <c r="I214" s="50"/>
    </row>
    <row r="215">
      <c r="I215" s="50"/>
    </row>
    <row r="216">
      <c r="I216" s="50"/>
    </row>
    <row r="217">
      <c r="I217" s="50"/>
    </row>
    <row r="218">
      <c r="I218" s="50"/>
    </row>
    <row r="219">
      <c r="I219" s="50"/>
    </row>
    <row r="220">
      <c r="I220" s="50"/>
    </row>
    <row r="221">
      <c r="I221" s="50"/>
    </row>
    <row r="222">
      <c r="I222" s="50"/>
    </row>
    <row r="223">
      <c r="I223" s="50"/>
    </row>
    <row r="224">
      <c r="I224" s="50"/>
    </row>
    <row r="225">
      <c r="I225" s="50"/>
    </row>
    <row r="226">
      <c r="I226" s="50"/>
    </row>
    <row r="227">
      <c r="I227" s="50"/>
    </row>
    <row r="228">
      <c r="I228" s="50"/>
    </row>
    <row r="229">
      <c r="I229" s="50"/>
    </row>
    <row r="230">
      <c r="I230" s="50"/>
    </row>
    <row r="231">
      <c r="I231" s="50"/>
    </row>
    <row r="232">
      <c r="I232" s="50"/>
    </row>
    <row r="233">
      <c r="I233" s="50"/>
    </row>
    <row r="234">
      <c r="I234" s="50"/>
    </row>
    <row r="235">
      <c r="I235" s="50"/>
    </row>
    <row r="236">
      <c r="I236" s="50"/>
    </row>
    <row r="237">
      <c r="I237" s="50"/>
    </row>
    <row r="238">
      <c r="I238" s="50"/>
    </row>
    <row r="239">
      <c r="I239" s="50"/>
    </row>
    <row r="240">
      <c r="I240" s="50"/>
    </row>
    <row r="241">
      <c r="I241" s="50"/>
    </row>
    <row r="242">
      <c r="I242" s="50"/>
    </row>
    <row r="243">
      <c r="I243" s="50"/>
    </row>
    <row r="244">
      <c r="I244" s="50"/>
    </row>
    <row r="245">
      <c r="I245" s="50"/>
    </row>
    <row r="246">
      <c r="I246" s="50"/>
    </row>
    <row r="247">
      <c r="I247" s="50"/>
    </row>
    <row r="248">
      <c r="I248" s="50"/>
    </row>
    <row r="249">
      <c r="I249" s="50"/>
    </row>
    <row r="250">
      <c r="I250" s="50"/>
    </row>
    <row r="251">
      <c r="I251" s="50"/>
    </row>
    <row r="252">
      <c r="I252" s="50"/>
    </row>
    <row r="253">
      <c r="I253" s="50"/>
    </row>
    <row r="254">
      <c r="I254" s="50"/>
    </row>
    <row r="255">
      <c r="I255" s="50"/>
    </row>
    <row r="256">
      <c r="I256" s="50"/>
    </row>
    <row r="257">
      <c r="I257" s="50"/>
    </row>
    <row r="258">
      <c r="I258" s="50"/>
    </row>
    <row r="259">
      <c r="I259" s="50"/>
    </row>
    <row r="260">
      <c r="I260" s="50"/>
    </row>
    <row r="261">
      <c r="I261" s="50"/>
    </row>
    <row r="262">
      <c r="I262" s="50"/>
    </row>
    <row r="263">
      <c r="I263" s="50"/>
    </row>
    <row r="264">
      <c r="I264" s="50"/>
    </row>
    <row r="265">
      <c r="I265" s="50"/>
    </row>
    <row r="266">
      <c r="I266" s="50"/>
    </row>
    <row r="267">
      <c r="I267" s="50"/>
    </row>
    <row r="268">
      <c r="I268" s="50"/>
    </row>
    <row r="269">
      <c r="I269" s="50"/>
    </row>
    <row r="270">
      <c r="I270" s="50"/>
    </row>
    <row r="271">
      <c r="I271" s="50"/>
    </row>
    <row r="272">
      <c r="I272" s="50"/>
    </row>
    <row r="273">
      <c r="I273" s="50"/>
    </row>
    <row r="274">
      <c r="I274" s="50"/>
    </row>
    <row r="275">
      <c r="I275" s="50"/>
    </row>
    <row r="276">
      <c r="I276" s="50"/>
    </row>
    <row r="277">
      <c r="I277" s="50"/>
    </row>
    <row r="278">
      <c r="I278" s="50"/>
    </row>
    <row r="279">
      <c r="I279" s="50"/>
    </row>
    <row r="280">
      <c r="I280" s="50"/>
    </row>
    <row r="281">
      <c r="I281" s="50"/>
    </row>
    <row r="282">
      <c r="I282" s="50"/>
    </row>
    <row r="283">
      <c r="I283" s="50"/>
    </row>
    <row r="284">
      <c r="I284" s="50"/>
    </row>
    <row r="285">
      <c r="I285" s="50"/>
    </row>
    <row r="286">
      <c r="I286" s="50"/>
    </row>
    <row r="287">
      <c r="I287" s="50"/>
    </row>
    <row r="288">
      <c r="I288" s="50"/>
    </row>
    <row r="289">
      <c r="I289" s="50"/>
    </row>
    <row r="290">
      <c r="I290" s="50"/>
    </row>
    <row r="291">
      <c r="I291" s="50"/>
    </row>
    <row r="292">
      <c r="I292" s="50"/>
    </row>
    <row r="293">
      <c r="I293" s="50"/>
    </row>
    <row r="294">
      <c r="I294" s="50"/>
    </row>
    <row r="295">
      <c r="I295" s="50"/>
    </row>
    <row r="296">
      <c r="I296" s="50"/>
    </row>
    <row r="297">
      <c r="I297" s="50"/>
    </row>
    <row r="298">
      <c r="I298" s="50"/>
    </row>
    <row r="299">
      <c r="I299" s="50"/>
    </row>
    <row r="300">
      <c r="I300" s="50"/>
    </row>
    <row r="301">
      <c r="I301" s="50"/>
    </row>
    <row r="302">
      <c r="I302" s="50"/>
    </row>
    <row r="303">
      <c r="I303" s="50"/>
    </row>
    <row r="304">
      <c r="I304" s="50"/>
    </row>
    <row r="305">
      <c r="I305" s="50"/>
    </row>
    <row r="306">
      <c r="I306" s="50"/>
    </row>
    <row r="307">
      <c r="I307" s="50"/>
    </row>
    <row r="308">
      <c r="I308" s="50"/>
    </row>
    <row r="309">
      <c r="I309" s="50"/>
    </row>
    <row r="310">
      <c r="I310" s="50"/>
    </row>
    <row r="311">
      <c r="I311" s="50"/>
    </row>
    <row r="312">
      <c r="I312" s="50"/>
    </row>
    <row r="313">
      <c r="I313" s="50"/>
    </row>
    <row r="314">
      <c r="I314" s="50"/>
    </row>
    <row r="315">
      <c r="I315" s="50"/>
    </row>
    <row r="316">
      <c r="I316" s="50"/>
    </row>
    <row r="317">
      <c r="I317" s="50"/>
    </row>
    <row r="318">
      <c r="I318" s="50"/>
    </row>
    <row r="319">
      <c r="I319" s="50"/>
    </row>
    <row r="320">
      <c r="I320" s="50"/>
    </row>
    <row r="321">
      <c r="I321" s="50"/>
    </row>
    <row r="322">
      <c r="I322" s="50"/>
    </row>
    <row r="323">
      <c r="I323" s="50"/>
    </row>
    <row r="324">
      <c r="I324" s="50"/>
    </row>
    <row r="325">
      <c r="I325" s="50"/>
    </row>
    <row r="326">
      <c r="I326" s="50"/>
    </row>
    <row r="327">
      <c r="I327" s="50"/>
    </row>
    <row r="328">
      <c r="I328" s="50"/>
    </row>
    <row r="329">
      <c r="I329" s="50"/>
    </row>
    <row r="330">
      <c r="I330" s="50"/>
    </row>
    <row r="331">
      <c r="I331" s="50"/>
    </row>
    <row r="332">
      <c r="I332" s="50"/>
    </row>
    <row r="333">
      <c r="I333" s="50"/>
    </row>
    <row r="334">
      <c r="I334" s="50"/>
    </row>
    <row r="335">
      <c r="I335" s="50"/>
    </row>
    <row r="336">
      <c r="I336" s="50"/>
    </row>
    <row r="337">
      <c r="I337" s="50"/>
    </row>
    <row r="338">
      <c r="I338" s="50"/>
    </row>
    <row r="339">
      <c r="I339" s="50"/>
    </row>
    <row r="340">
      <c r="I340" s="50"/>
    </row>
    <row r="341">
      <c r="I341" s="50"/>
    </row>
    <row r="342">
      <c r="I342" s="50"/>
    </row>
    <row r="343">
      <c r="I343" s="50"/>
    </row>
    <row r="344">
      <c r="I344" s="50"/>
    </row>
    <row r="345">
      <c r="I345" s="50"/>
    </row>
    <row r="346">
      <c r="I346" s="50"/>
    </row>
    <row r="347">
      <c r="I347" s="50"/>
    </row>
    <row r="348">
      <c r="I348" s="50"/>
    </row>
    <row r="349">
      <c r="I349" s="50"/>
    </row>
    <row r="350">
      <c r="I350" s="50"/>
    </row>
    <row r="351">
      <c r="I351" s="50"/>
    </row>
    <row r="352">
      <c r="I352" s="50"/>
    </row>
    <row r="353">
      <c r="I353" s="50"/>
    </row>
    <row r="354">
      <c r="I354" s="50"/>
    </row>
    <row r="355">
      <c r="I355" s="50"/>
    </row>
    <row r="356">
      <c r="I356" s="50"/>
    </row>
    <row r="357">
      <c r="I357" s="50"/>
    </row>
    <row r="358">
      <c r="I358" s="50"/>
    </row>
    <row r="359">
      <c r="I359" s="50"/>
    </row>
    <row r="360">
      <c r="I360" s="50"/>
    </row>
    <row r="361">
      <c r="I361" s="50"/>
    </row>
    <row r="362">
      <c r="I362" s="50"/>
    </row>
    <row r="363">
      <c r="I363" s="50"/>
    </row>
    <row r="364">
      <c r="I364" s="50"/>
    </row>
    <row r="365">
      <c r="I365" s="50"/>
    </row>
    <row r="366">
      <c r="I366" s="50"/>
    </row>
    <row r="367">
      <c r="I367" s="50"/>
    </row>
    <row r="368">
      <c r="I368" s="50"/>
    </row>
    <row r="369">
      <c r="I369" s="50"/>
    </row>
    <row r="370">
      <c r="I370" s="50"/>
    </row>
    <row r="371">
      <c r="I371" s="50"/>
    </row>
    <row r="372">
      <c r="I372" s="50"/>
    </row>
    <row r="373">
      <c r="I373" s="50"/>
    </row>
    <row r="374">
      <c r="I374" s="50"/>
    </row>
    <row r="375">
      <c r="I375" s="50"/>
    </row>
    <row r="376">
      <c r="I376" s="50"/>
    </row>
    <row r="377">
      <c r="I377" s="50"/>
    </row>
    <row r="378">
      <c r="I378" s="50"/>
    </row>
    <row r="379">
      <c r="I379" s="50"/>
    </row>
    <row r="380">
      <c r="I380" s="50"/>
    </row>
    <row r="381">
      <c r="I381" s="50"/>
    </row>
    <row r="382">
      <c r="I382" s="50"/>
    </row>
    <row r="383">
      <c r="I383" s="50"/>
    </row>
    <row r="384">
      <c r="I384" s="50"/>
    </row>
    <row r="385">
      <c r="I385" s="50"/>
    </row>
    <row r="386">
      <c r="I386" s="50"/>
    </row>
    <row r="387">
      <c r="I387" s="50"/>
    </row>
    <row r="388">
      <c r="I388" s="50"/>
    </row>
    <row r="389">
      <c r="I389" s="50"/>
    </row>
    <row r="390">
      <c r="I390" s="50"/>
    </row>
    <row r="391">
      <c r="I391" s="50"/>
    </row>
    <row r="392">
      <c r="I392" s="50"/>
    </row>
    <row r="393">
      <c r="I393" s="50"/>
    </row>
    <row r="394">
      <c r="I394" s="50"/>
    </row>
    <row r="395">
      <c r="I395" s="50"/>
    </row>
    <row r="396">
      <c r="I396" s="50"/>
    </row>
    <row r="397">
      <c r="I397" s="50"/>
    </row>
    <row r="398">
      <c r="I398" s="50"/>
    </row>
    <row r="399">
      <c r="I399" s="50"/>
    </row>
    <row r="400">
      <c r="I400" s="50"/>
    </row>
    <row r="401">
      <c r="I401" s="50"/>
    </row>
    <row r="402">
      <c r="I402" s="50"/>
    </row>
    <row r="403">
      <c r="I403" s="50"/>
    </row>
    <row r="404">
      <c r="I404" s="50"/>
    </row>
    <row r="405">
      <c r="I405" s="50"/>
    </row>
    <row r="406">
      <c r="I406" s="50"/>
    </row>
    <row r="407">
      <c r="I407" s="50"/>
    </row>
    <row r="408">
      <c r="I408" s="50"/>
    </row>
    <row r="409">
      <c r="I409" s="50"/>
    </row>
    <row r="410">
      <c r="I410" s="50"/>
    </row>
    <row r="411">
      <c r="I411" s="50"/>
    </row>
    <row r="412">
      <c r="I412" s="50"/>
    </row>
    <row r="413">
      <c r="I413" s="50"/>
    </row>
    <row r="414">
      <c r="I414" s="50"/>
    </row>
    <row r="415">
      <c r="I415" s="50"/>
    </row>
    <row r="416">
      <c r="I416" s="50"/>
    </row>
    <row r="417">
      <c r="I417" s="50"/>
    </row>
    <row r="418">
      <c r="I418" s="50"/>
    </row>
    <row r="419">
      <c r="I419" s="50"/>
    </row>
    <row r="420">
      <c r="I420" s="50"/>
    </row>
    <row r="421">
      <c r="I421" s="50"/>
    </row>
    <row r="422">
      <c r="I422" s="50"/>
    </row>
    <row r="423">
      <c r="I423" s="50"/>
    </row>
    <row r="424">
      <c r="I424" s="50"/>
    </row>
    <row r="425">
      <c r="I425" s="50"/>
    </row>
    <row r="426">
      <c r="I426" s="50"/>
    </row>
    <row r="427">
      <c r="I427" s="50"/>
    </row>
    <row r="428">
      <c r="I428" s="50"/>
    </row>
    <row r="429">
      <c r="I429" s="50"/>
    </row>
    <row r="430">
      <c r="I430" s="50"/>
    </row>
    <row r="431">
      <c r="I431" s="50"/>
    </row>
    <row r="432">
      <c r="I432" s="50"/>
    </row>
    <row r="433">
      <c r="I433" s="50"/>
    </row>
    <row r="434">
      <c r="I434" s="50"/>
    </row>
    <row r="435">
      <c r="I435" s="50"/>
    </row>
    <row r="436">
      <c r="I436" s="50"/>
    </row>
    <row r="437">
      <c r="I437" s="50"/>
    </row>
    <row r="438">
      <c r="I438" s="50"/>
    </row>
    <row r="439">
      <c r="I439" s="50"/>
    </row>
    <row r="440">
      <c r="I440" s="50"/>
    </row>
    <row r="441">
      <c r="I441" s="50"/>
    </row>
    <row r="442">
      <c r="I442" s="50"/>
    </row>
    <row r="443">
      <c r="I443" s="50"/>
    </row>
    <row r="444">
      <c r="I444" s="50"/>
    </row>
    <row r="445">
      <c r="I445" s="50"/>
    </row>
    <row r="446">
      <c r="I446" s="50"/>
    </row>
    <row r="447">
      <c r="I447" s="50"/>
    </row>
    <row r="448">
      <c r="I448" s="50"/>
    </row>
    <row r="449">
      <c r="I449" s="50"/>
    </row>
    <row r="450">
      <c r="I450" s="50"/>
    </row>
    <row r="451">
      <c r="I451" s="50"/>
    </row>
    <row r="452">
      <c r="I452" s="50"/>
    </row>
    <row r="453">
      <c r="I453" s="50"/>
    </row>
    <row r="454">
      <c r="I454" s="50"/>
    </row>
    <row r="455">
      <c r="I455" s="50"/>
    </row>
    <row r="456">
      <c r="I456" s="50"/>
    </row>
    <row r="457">
      <c r="I457" s="50"/>
    </row>
    <row r="458">
      <c r="I458" s="50"/>
    </row>
    <row r="459">
      <c r="I459" s="50"/>
    </row>
    <row r="460">
      <c r="I460" s="50"/>
    </row>
    <row r="461">
      <c r="I461" s="50"/>
    </row>
    <row r="462">
      <c r="I462" s="50"/>
    </row>
    <row r="463">
      <c r="I463" s="50"/>
    </row>
    <row r="464">
      <c r="I464" s="50"/>
    </row>
    <row r="465">
      <c r="I465" s="50"/>
    </row>
    <row r="466">
      <c r="I466" s="50"/>
    </row>
    <row r="467">
      <c r="I467" s="50"/>
    </row>
    <row r="468">
      <c r="I468" s="50"/>
    </row>
    <row r="469">
      <c r="I469" s="50"/>
    </row>
    <row r="470">
      <c r="I470" s="50"/>
    </row>
    <row r="471">
      <c r="I471" s="50"/>
    </row>
    <row r="472">
      <c r="I472" s="50"/>
    </row>
    <row r="473">
      <c r="I473" s="50"/>
    </row>
    <row r="474">
      <c r="I474" s="50"/>
    </row>
    <row r="475">
      <c r="I475" s="50"/>
    </row>
    <row r="476">
      <c r="I476" s="50"/>
    </row>
    <row r="477">
      <c r="I477" s="50"/>
    </row>
    <row r="478">
      <c r="I478" s="50"/>
    </row>
    <row r="479">
      <c r="I479" s="50"/>
    </row>
    <row r="480">
      <c r="I480" s="50"/>
    </row>
    <row r="481">
      <c r="I481" s="50"/>
    </row>
    <row r="482">
      <c r="I482" s="50"/>
    </row>
    <row r="483">
      <c r="I483" s="50"/>
    </row>
    <row r="484">
      <c r="I484" s="50"/>
    </row>
    <row r="485">
      <c r="I485" s="50"/>
    </row>
    <row r="486">
      <c r="I486" s="50"/>
    </row>
    <row r="487">
      <c r="I487" s="50"/>
    </row>
    <row r="488">
      <c r="I488" s="50"/>
    </row>
    <row r="489">
      <c r="I489" s="50"/>
    </row>
    <row r="490">
      <c r="I490" s="50"/>
    </row>
    <row r="491">
      <c r="I491" s="50"/>
    </row>
    <row r="492">
      <c r="I492" s="50"/>
    </row>
    <row r="493">
      <c r="I493" s="50"/>
    </row>
    <row r="494">
      <c r="I494" s="50"/>
    </row>
    <row r="495">
      <c r="I495" s="50"/>
    </row>
    <row r="496">
      <c r="I496" s="50"/>
    </row>
    <row r="497">
      <c r="I497" s="50"/>
    </row>
    <row r="498">
      <c r="I498" s="50"/>
    </row>
    <row r="499">
      <c r="I499" s="50"/>
    </row>
    <row r="500">
      <c r="I500" s="50"/>
    </row>
    <row r="501">
      <c r="I501" s="50"/>
    </row>
    <row r="502">
      <c r="I502" s="50"/>
    </row>
    <row r="503">
      <c r="I503" s="50"/>
    </row>
    <row r="504">
      <c r="I504" s="50"/>
    </row>
    <row r="505">
      <c r="I505" s="50"/>
    </row>
    <row r="506">
      <c r="I506" s="50"/>
    </row>
    <row r="507">
      <c r="I507" s="50"/>
    </row>
    <row r="508">
      <c r="I508" s="50"/>
    </row>
    <row r="509">
      <c r="I509" s="50"/>
    </row>
    <row r="510">
      <c r="I510" s="50"/>
    </row>
    <row r="511">
      <c r="I511" s="50"/>
    </row>
    <row r="512">
      <c r="I512" s="50"/>
    </row>
    <row r="513">
      <c r="I513" s="50"/>
    </row>
    <row r="514">
      <c r="I514" s="50"/>
    </row>
    <row r="515">
      <c r="I515" s="50"/>
    </row>
    <row r="516">
      <c r="I516" s="50"/>
    </row>
    <row r="517">
      <c r="I517" s="50"/>
    </row>
    <row r="518">
      <c r="I518" s="50"/>
    </row>
    <row r="519">
      <c r="I519" s="50"/>
    </row>
    <row r="520">
      <c r="I520" s="50"/>
    </row>
    <row r="521">
      <c r="I521" s="50"/>
    </row>
    <row r="522">
      <c r="I522" s="50"/>
    </row>
    <row r="523">
      <c r="I523" s="50"/>
    </row>
    <row r="524">
      <c r="I524" s="50"/>
    </row>
    <row r="525">
      <c r="I525" s="50"/>
    </row>
    <row r="526">
      <c r="I526" s="50"/>
    </row>
    <row r="527">
      <c r="I527" s="50"/>
    </row>
    <row r="528">
      <c r="I528" s="50"/>
    </row>
    <row r="529">
      <c r="I529" s="50"/>
    </row>
    <row r="530">
      <c r="I530" s="50"/>
    </row>
    <row r="531">
      <c r="I531" s="50"/>
    </row>
    <row r="532">
      <c r="I532" s="50"/>
    </row>
    <row r="533">
      <c r="I533" s="50"/>
    </row>
    <row r="534">
      <c r="I534" s="50"/>
    </row>
    <row r="535">
      <c r="I535" s="50"/>
    </row>
    <row r="536">
      <c r="I536" s="50"/>
    </row>
    <row r="537">
      <c r="I537" s="50"/>
    </row>
    <row r="538">
      <c r="I538" s="50"/>
    </row>
    <row r="539">
      <c r="I539" s="50"/>
    </row>
    <row r="540">
      <c r="I540" s="50"/>
    </row>
    <row r="541">
      <c r="I541" s="50"/>
    </row>
    <row r="542">
      <c r="I542" s="50"/>
    </row>
    <row r="543">
      <c r="I543" s="50"/>
    </row>
    <row r="544">
      <c r="I544" s="50"/>
    </row>
    <row r="545">
      <c r="I545" s="50"/>
    </row>
    <row r="546">
      <c r="I546" s="50"/>
    </row>
    <row r="547">
      <c r="I547" s="50"/>
    </row>
    <row r="548">
      <c r="I548" s="50"/>
    </row>
    <row r="549">
      <c r="I549" s="50"/>
    </row>
    <row r="550">
      <c r="I550" s="50"/>
    </row>
    <row r="551">
      <c r="I551" s="50"/>
    </row>
    <row r="552">
      <c r="I552" s="50"/>
    </row>
    <row r="553">
      <c r="I553" s="50"/>
    </row>
    <row r="554">
      <c r="I554" s="50"/>
    </row>
    <row r="555">
      <c r="I555" s="50"/>
    </row>
    <row r="556">
      <c r="I556" s="50"/>
    </row>
    <row r="557">
      <c r="I557" s="50"/>
    </row>
    <row r="558">
      <c r="I558" s="50"/>
    </row>
    <row r="559">
      <c r="I559" s="50"/>
    </row>
    <row r="560">
      <c r="I560" s="50"/>
    </row>
    <row r="561">
      <c r="I561" s="50"/>
    </row>
    <row r="562">
      <c r="I562" s="50"/>
    </row>
    <row r="563">
      <c r="I563" s="50"/>
    </row>
    <row r="564">
      <c r="I564" s="50"/>
    </row>
    <row r="565">
      <c r="I565" s="50"/>
    </row>
    <row r="566">
      <c r="I566" s="50"/>
    </row>
    <row r="567">
      <c r="I567" s="50"/>
    </row>
    <row r="568">
      <c r="I568" s="50"/>
    </row>
    <row r="569">
      <c r="I569" s="50"/>
    </row>
    <row r="570">
      <c r="I570" s="50"/>
    </row>
    <row r="571">
      <c r="I571" s="50"/>
    </row>
    <row r="572">
      <c r="I572" s="50"/>
    </row>
    <row r="573">
      <c r="I573" s="50"/>
    </row>
    <row r="574">
      <c r="I574" s="50"/>
    </row>
    <row r="575">
      <c r="I575" s="50"/>
    </row>
    <row r="576">
      <c r="I576" s="50"/>
    </row>
    <row r="577">
      <c r="I577" s="50"/>
    </row>
    <row r="578">
      <c r="I578" s="50"/>
    </row>
    <row r="579">
      <c r="I579" s="50"/>
    </row>
    <row r="580">
      <c r="I580" s="50"/>
    </row>
    <row r="581">
      <c r="I581" s="50"/>
    </row>
    <row r="582">
      <c r="I582" s="50"/>
    </row>
    <row r="583">
      <c r="I583" s="50"/>
    </row>
    <row r="584">
      <c r="I584" s="50"/>
    </row>
    <row r="585">
      <c r="I585" s="50"/>
    </row>
    <row r="586">
      <c r="I586" s="50"/>
    </row>
    <row r="587">
      <c r="I587" s="50"/>
    </row>
    <row r="588">
      <c r="I588" s="50"/>
    </row>
    <row r="589">
      <c r="I589" s="50"/>
    </row>
    <row r="590">
      <c r="I590" s="50"/>
    </row>
    <row r="591">
      <c r="I591" s="50"/>
    </row>
    <row r="592">
      <c r="I592" s="50"/>
    </row>
    <row r="593">
      <c r="I593" s="50"/>
    </row>
    <row r="594">
      <c r="I594" s="50"/>
    </row>
    <row r="595">
      <c r="I595" s="50"/>
    </row>
    <row r="596">
      <c r="I596" s="50"/>
    </row>
    <row r="597">
      <c r="I597" s="50"/>
    </row>
    <row r="598">
      <c r="I598" s="50"/>
    </row>
    <row r="599">
      <c r="I599" s="50"/>
    </row>
    <row r="600">
      <c r="I600" s="50"/>
    </row>
    <row r="601">
      <c r="I601" s="50"/>
    </row>
    <row r="602">
      <c r="I602" s="50"/>
    </row>
    <row r="603">
      <c r="I603" s="50"/>
    </row>
    <row r="604">
      <c r="I604" s="50"/>
    </row>
    <row r="605">
      <c r="I605" s="50"/>
    </row>
    <row r="606">
      <c r="I606" s="50"/>
    </row>
    <row r="607">
      <c r="I607" s="50"/>
    </row>
    <row r="608">
      <c r="I608" s="50"/>
    </row>
    <row r="609">
      <c r="I609" s="50"/>
    </row>
    <row r="610">
      <c r="I610" s="50"/>
    </row>
    <row r="611">
      <c r="I611" s="50"/>
    </row>
    <row r="612">
      <c r="I612" s="50"/>
    </row>
    <row r="613">
      <c r="I613" s="50"/>
    </row>
    <row r="614">
      <c r="I614" s="50"/>
    </row>
    <row r="615">
      <c r="I615" s="50"/>
    </row>
    <row r="616">
      <c r="I616" s="50"/>
    </row>
    <row r="617">
      <c r="I617" s="50"/>
    </row>
    <row r="618">
      <c r="I618" s="50"/>
    </row>
    <row r="619">
      <c r="I619" s="50"/>
    </row>
    <row r="620">
      <c r="I620" s="50"/>
    </row>
    <row r="621">
      <c r="I621" s="50"/>
    </row>
    <row r="622">
      <c r="I622" s="50"/>
    </row>
    <row r="623">
      <c r="I623" s="50"/>
    </row>
    <row r="624">
      <c r="I624" s="50"/>
    </row>
    <row r="625">
      <c r="I625" s="50"/>
    </row>
    <row r="626">
      <c r="I626" s="50"/>
    </row>
    <row r="627">
      <c r="I627" s="50"/>
    </row>
    <row r="628">
      <c r="I628" s="50"/>
    </row>
    <row r="629">
      <c r="I629" s="50"/>
    </row>
    <row r="630">
      <c r="I630" s="50"/>
    </row>
    <row r="631">
      <c r="I631" s="50"/>
    </row>
    <row r="632">
      <c r="I632" s="50"/>
    </row>
    <row r="633">
      <c r="I633" s="50"/>
    </row>
    <row r="634">
      <c r="I634" s="50"/>
    </row>
    <row r="635">
      <c r="I635" s="50"/>
    </row>
    <row r="636">
      <c r="I636" s="50"/>
    </row>
    <row r="637">
      <c r="I637" s="50"/>
    </row>
    <row r="638">
      <c r="I638" s="50"/>
    </row>
    <row r="639">
      <c r="I639" s="50"/>
    </row>
    <row r="640">
      <c r="I640" s="50"/>
    </row>
    <row r="641">
      <c r="I641" s="50"/>
    </row>
    <row r="642">
      <c r="I642" s="50"/>
    </row>
    <row r="643">
      <c r="I643" s="50"/>
    </row>
    <row r="644">
      <c r="I644" s="50"/>
    </row>
    <row r="645">
      <c r="I645" s="50"/>
    </row>
    <row r="646">
      <c r="I646" s="50"/>
    </row>
    <row r="647">
      <c r="I647" s="50"/>
    </row>
    <row r="648">
      <c r="I648" s="50"/>
    </row>
    <row r="649">
      <c r="I649" s="50"/>
    </row>
    <row r="650">
      <c r="I650" s="50"/>
    </row>
    <row r="651">
      <c r="I651" s="50"/>
    </row>
    <row r="652">
      <c r="I652" s="50"/>
    </row>
    <row r="653">
      <c r="I653" s="50"/>
    </row>
    <row r="654">
      <c r="I654" s="50"/>
    </row>
    <row r="655">
      <c r="I655" s="50"/>
    </row>
    <row r="656">
      <c r="I656" s="50"/>
    </row>
    <row r="657">
      <c r="I657" s="50"/>
    </row>
    <row r="658">
      <c r="I658" s="50"/>
    </row>
    <row r="659">
      <c r="I659" s="50"/>
    </row>
    <row r="660">
      <c r="I660" s="50"/>
    </row>
    <row r="661">
      <c r="I661" s="50"/>
    </row>
    <row r="662">
      <c r="I662" s="50"/>
    </row>
    <row r="663">
      <c r="I663" s="50"/>
    </row>
    <row r="664">
      <c r="I664" s="50"/>
    </row>
    <row r="665">
      <c r="I665" s="50"/>
    </row>
    <row r="666">
      <c r="I666" s="50"/>
    </row>
    <row r="667">
      <c r="I667" s="50"/>
    </row>
    <row r="668">
      <c r="I668" s="50"/>
    </row>
    <row r="669">
      <c r="I669" s="50"/>
    </row>
    <row r="670">
      <c r="I670" s="50"/>
    </row>
    <row r="671">
      <c r="I671" s="50"/>
    </row>
    <row r="672">
      <c r="I672" s="50"/>
    </row>
    <row r="673">
      <c r="I673" s="50"/>
    </row>
    <row r="674">
      <c r="I674" s="50"/>
    </row>
    <row r="675">
      <c r="I675" s="50"/>
    </row>
    <row r="676">
      <c r="I676" s="50"/>
    </row>
    <row r="677">
      <c r="I677" s="50"/>
    </row>
    <row r="678">
      <c r="I678" s="50"/>
    </row>
    <row r="679">
      <c r="I679" s="50"/>
    </row>
    <row r="680">
      <c r="I680" s="50"/>
    </row>
    <row r="681">
      <c r="I681" s="50"/>
    </row>
    <row r="682">
      <c r="I682" s="50"/>
    </row>
    <row r="683">
      <c r="I683" s="50"/>
    </row>
    <row r="684">
      <c r="I684" s="50"/>
    </row>
    <row r="685">
      <c r="I685" s="50"/>
    </row>
    <row r="686">
      <c r="I686" s="50"/>
    </row>
    <row r="687">
      <c r="I687" s="50"/>
    </row>
    <row r="688">
      <c r="I688" s="50"/>
    </row>
    <row r="689">
      <c r="I689" s="50"/>
    </row>
    <row r="690">
      <c r="I690" s="50"/>
    </row>
    <row r="691">
      <c r="I691" s="50"/>
    </row>
    <row r="692">
      <c r="I692" s="50"/>
    </row>
    <row r="693">
      <c r="I693" s="50"/>
    </row>
    <row r="694">
      <c r="I694" s="50"/>
    </row>
    <row r="695">
      <c r="I695" s="50"/>
    </row>
    <row r="696">
      <c r="I696" s="50"/>
    </row>
    <row r="697">
      <c r="I697" s="50"/>
    </row>
    <row r="698">
      <c r="I698" s="50"/>
    </row>
    <row r="699">
      <c r="I699" s="50"/>
    </row>
    <row r="700">
      <c r="I700" s="50"/>
    </row>
    <row r="701">
      <c r="I701" s="50"/>
    </row>
    <row r="702">
      <c r="I702" s="50"/>
    </row>
    <row r="703">
      <c r="I703" s="50"/>
    </row>
    <row r="704">
      <c r="I704" s="50"/>
    </row>
    <row r="705">
      <c r="I705" s="50"/>
    </row>
    <row r="706">
      <c r="I706" s="50"/>
    </row>
    <row r="707">
      <c r="I707" s="50"/>
    </row>
    <row r="708">
      <c r="I708" s="50"/>
    </row>
    <row r="709">
      <c r="I709" s="50"/>
    </row>
    <row r="710">
      <c r="I710" s="50"/>
    </row>
    <row r="711">
      <c r="I711" s="50"/>
    </row>
    <row r="712">
      <c r="I712" s="50"/>
    </row>
    <row r="713">
      <c r="I713" s="50"/>
    </row>
    <row r="714">
      <c r="I714" s="50"/>
    </row>
    <row r="715">
      <c r="I715" s="50"/>
    </row>
    <row r="716">
      <c r="I716" s="50"/>
    </row>
    <row r="717">
      <c r="I717" s="50"/>
    </row>
    <row r="718">
      <c r="I718" s="50"/>
    </row>
    <row r="719">
      <c r="I719" s="50"/>
    </row>
    <row r="720">
      <c r="I720" s="50"/>
    </row>
    <row r="721">
      <c r="I721" s="50"/>
    </row>
    <row r="722">
      <c r="I722" s="50"/>
    </row>
    <row r="723">
      <c r="I723" s="50"/>
    </row>
    <row r="724">
      <c r="I724" s="50"/>
    </row>
    <row r="725">
      <c r="I725" s="50"/>
    </row>
    <row r="726">
      <c r="I726" s="50"/>
    </row>
    <row r="727">
      <c r="I727" s="50"/>
    </row>
    <row r="728">
      <c r="I728" s="50"/>
    </row>
    <row r="729">
      <c r="I729" s="50"/>
    </row>
    <row r="730">
      <c r="I730" s="50"/>
    </row>
    <row r="731">
      <c r="I731" s="50"/>
    </row>
    <row r="732">
      <c r="I732" s="50"/>
    </row>
    <row r="733">
      <c r="I733" s="50"/>
    </row>
    <row r="734">
      <c r="I734" s="50"/>
    </row>
    <row r="735">
      <c r="I735" s="50"/>
    </row>
    <row r="736">
      <c r="I736" s="50"/>
    </row>
    <row r="737">
      <c r="I737" s="50"/>
    </row>
    <row r="738">
      <c r="I738" s="50"/>
    </row>
    <row r="739">
      <c r="I739" s="50"/>
    </row>
    <row r="740">
      <c r="I740" s="50"/>
    </row>
    <row r="741">
      <c r="I741" s="50"/>
    </row>
    <row r="742">
      <c r="I742" s="50"/>
    </row>
    <row r="743">
      <c r="I743" s="50"/>
    </row>
    <row r="744">
      <c r="I744" s="50"/>
    </row>
    <row r="745">
      <c r="I745" s="50"/>
    </row>
    <row r="746">
      <c r="I746" s="50"/>
    </row>
    <row r="747">
      <c r="I747" s="50"/>
    </row>
    <row r="748">
      <c r="I748" s="50"/>
    </row>
    <row r="749">
      <c r="I749" s="50"/>
    </row>
    <row r="750">
      <c r="I750" s="50"/>
    </row>
    <row r="751">
      <c r="I751" s="50"/>
    </row>
    <row r="752">
      <c r="I752" s="50"/>
    </row>
    <row r="753">
      <c r="I753" s="50"/>
    </row>
    <row r="754">
      <c r="I754" s="50"/>
    </row>
    <row r="755">
      <c r="I755" s="50"/>
    </row>
    <row r="756">
      <c r="I756" s="50"/>
    </row>
    <row r="757">
      <c r="I757" s="50"/>
    </row>
    <row r="758">
      <c r="I758" s="50"/>
    </row>
    <row r="759">
      <c r="I759" s="50"/>
    </row>
    <row r="760">
      <c r="I760" s="50"/>
    </row>
    <row r="761">
      <c r="I761" s="50"/>
    </row>
    <row r="762">
      <c r="I762" s="50"/>
    </row>
    <row r="763">
      <c r="I763" s="50"/>
    </row>
    <row r="764">
      <c r="I764" s="50"/>
    </row>
    <row r="765">
      <c r="I765" s="50"/>
    </row>
    <row r="766">
      <c r="I766" s="50"/>
    </row>
    <row r="767">
      <c r="I767" s="50"/>
    </row>
    <row r="768">
      <c r="I768" s="50"/>
    </row>
    <row r="769">
      <c r="I769" s="50"/>
    </row>
    <row r="770">
      <c r="I770" s="50"/>
    </row>
    <row r="771">
      <c r="I771" s="50"/>
    </row>
    <row r="772">
      <c r="I772" s="50"/>
    </row>
    <row r="773">
      <c r="I773" s="50"/>
    </row>
    <row r="774">
      <c r="I774" s="50"/>
    </row>
    <row r="775">
      <c r="I775" s="50"/>
    </row>
    <row r="776">
      <c r="I776" s="50"/>
    </row>
    <row r="777">
      <c r="I777" s="50"/>
    </row>
    <row r="778">
      <c r="I778" s="50"/>
    </row>
    <row r="779">
      <c r="I779" s="50"/>
    </row>
    <row r="780">
      <c r="I780" s="50"/>
    </row>
    <row r="781">
      <c r="I781" s="50"/>
    </row>
    <row r="782">
      <c r="I782" s="50"/>
    </row>
    <row r="783">
      <c r="I783" s="50"/>
    </row>
    <row r="784">
      <c r="I784" s="50"/>
    </row>
    <row r="785">
      <c r="I785" s="50"/>
    </row>
    <row r="786">
      <c r="I786" s="50"/>
    </row>
    <row r="787">
      <c r="I787" s="50"/>
    </row>
    <row r="788">
      <c r="I788" s="50"/>
    </row>
    <row r="789">
      <c r="I789" s="50"/>
    </row>
    <row r="790">
      <c r="I790" s="50"/>
    </row>
    <row r="791">
      <c r="I791" s="50"/>
    </row>
    <row r="792">
      <c r="I792" s="50"/>
    </row>
    <row r="793">
      <c r="I793" s="50"/>
    </row>
    <row r="794">
      <c r="I794" s="50"/>
    </row>
    <row r="795">
      <c r="I795" s="50"/>
    </row>
    <row r="796">
      <c r="I796" s="50"/>
    </row>
    <row r="797">
      <c r="I797" s="50"/>
    </row>
    <row r="798">
      <c r="I798" s="50"/>
    </row>
    <row r="799">
      <c r="I799" s="50"/>
    </row>
    <row r="800">
      <c r="I800" s="50"/>
    </row>
    <row r="801">
      <c r="I801" s="50"/>
    </row>
    <row r="802">
      <c r="I802" s="50"/>
    </row>
    <row r="803">
      <c r="I803" s="50"/>
    </row>
    <row r="804">
      <c r="I804" s="50"/>
    </row>
    <row r="805">
      <c r="I805" s="50"/>
    </row>
    <row r="806">
      <c r="I806" s="50"/>
    </row>
    <row r="807">
      <c r="I807" s="50"/>
    </row>
    <row r="808">
      <c r="I808" s="50"/>
    </row>
    <row r="809">
      <c r="I809" s="50"/>
    </row>
    <row r="810">
      <c r="I810" s="50"/>
    </row>
    <row r="811">
      <c r="I811" s="50"/>
    </row>
    <row r="812">
      <c r="I812" s="50"/>
    </row>
    <row r="813">
      <c r="I813" s="50"/>
    </row>
    <row r="814">
      <c r="I814" s="50"/>
    </row>
    <row r="815">
      <c r="I815" s="50"/>
    </row>
    <row r="816">
      <c r="I816" s="50"/>
    </row>
    <row r="817">
      <c r="I817" s="50"/>
    </row>
    <row r="818">
      <c r="I818" s="50"/>
    </row>
    <row r="819">
      <c r="I819" s="50"/>
    </row>
    <row r="820">
      <c r="I820" s="50"/>
    </row>
    <row r="821">
      <c r="I821" s="50"/>
    </row>
    <row r="822">
      <c r="I822" s="50"/>
    </row>
    <row r="823">
      <c r="I823" s="50"/>
    </row>
    <row r="824">
      <c r="I824" s="50"/>
    </row>
    <row r="825">
      <c r="I825" s="50"/>
    </row>
    <row r="826">
      <c r="I826" s="50"/>
    </row>
    <row r="827">
      <c r="I827" s="50"/>
    </row>
    <row r="828">
      <c r="I828" s="50"/>
    </row>
    <row r="829">
      <c r="I829" s="50"/>
    </row>
    <row r="830">
      <c r="I830" s="50"/>
    </row>
    <row r="831">
      <c r="I831" s="50"/>
    </row>
    <row r="832">
      <c r="I832" s="50"/>
    </row>
    <row r="833">
      <c r="I833" s="50"/>
    </row>
    <row r="834">
      <c r="I834" s="50"/>
    </row>
    <row r="835">
      <c r="I835" s="50"/>
    </row>
    <row r="836">
      <c r="I836" s="50"/>
    </row>
    <row r="837">
      <c r="I837" s="50"/>
    </row>
    <row r="838">
      <c r="I838" s="50"/>
    </row>
    <row r="839">
      <c r="I839" s="50"/>
    </row>
    <row r="840">
      <c r="I840" s="50"/>
    </row>
    <row r="841">
      <c r="I841" s="50"/>
    </row>
    <row r="842">
      <c r="I842" s="50"/>
    </row>
    <row r="843">
      <c r="I843" s="50"/>
    </row>
    <row r="844">
      <c r="I844" s="50"/>
    </row>
    <row r="845">
      <c r="I845" s="50"/>
    </row>
    <row r="846">
      <c r="I846" s="50"/>
    </row>
    <row r="847">
      <c r="I847" s="50"/>
    </row>
    <row r="848">
      <c r="I848" s="50"/>
    </row>
    <row r="849">
      <c r="I849" s="50"/>
    </row>
    <row r="850">
      <c r="I850" s="50"/>
    </row>
    <row r="851">
      <c r="I851" s="50"/>
    </row>
    <row r="852">
      <c r="I852" s="50"/>
    </row>
    <row r="853">
      <c r="I853" s="50"/>
    </row>
    <row r="854">
      <c r="I854" s="50"/>
    </row>
    <row r="855">
      <c r="I855" s="50"/>
    </row>
    <row r="856">
      <c r="I856" s="50"/>
    </row>
    <row r="857">
      <c r="I857" s="50"/>
    </row>
    <row r="858">
      <c r="I858" s="50"/>
    </row>
    <row r="859">
      <c r="I859" s="50"/>
    </row>
    <row r="860">
      <c r="I860" s="50"/>
    </row>
    <row r="861">
      <c r="I861" s="50"/>
    </row>
    <row r="862">
      <c r="I862" s="50"/>
    </row>
    <row r="863">
      <c r="I863" s="50"/>
    </row>
    <row r="864">
      <c r="I864" s="50"/>
    </row>
    <row r="865">
      <c r="I865" s="50"/>
    </row>
    <row r="866">
      <c r="I866" s="50"/>
    </row>
    <row r="867">
      <c r="I867" s="50"/>
    </row>
    <row r="868">
      <c r="I868" s="50"/>
    </row>
    <row r="869">
      <c r="I869" s="50"/>
    </row>
    <row r="870">
      <c r="I870" s="50"/>
    </row>
    <row r="871">
      <c r="I871" s="50"/>
    </row>
    <row r="872">
      <c r="I872" s="50"/>
    </row>
    <row r="873">
      <c r="I873" s="50"/>
    </row>
    <row r="874">
      <c r="I874" s="50"/>
    </row>
    <row r="875">
      <c r="I875" s="50"/>
    </row>
    <row r="876">
      <c r="I876" s="50"/>
    </row>
    <row r="877">
      <c r="I877" s="50"/>
    </row>
    <row r="878">
      <c r="I878" s="50"/>
    </row>
    <row r="879">
      <c r="I879" s="50"/>
    </row>
    <row r="880">
      <c r="I880" s="50"/>
    </row>
    <row r="881">
      <c r="I881" s="50"/>
    </row>
    <row r="882">
      <c r="I882" s="50"/>
    </row>
    <row r="883">
      <c r="I883" s="50"/>
    </row>
    <row r="884">
      <c r="I884" s="50"/>
    </row>
    <row r="885">
      <c r="I885" s="50"/>
    </row>
    <row r="886">
      <c r="I886" s="50"/>
    </row>
    <row r="887">
      <c r="I887" s="50"/>
    </row>
    <row r="888">
      <c r="I888" s="50"/>
    </row>
    <row r="889">
      <c r="I889" s="50"/>
    </row>
    <row r="890">
      <c r="I890" s="50"/>
    </row>
    <row r="891">
      <c r="I891" s="50"/>
    </row>
    <row r="892">
      <c r="I892" s="50"/>
    </row>
    <row r="893">
      <c r="I893" s="50"/>
    </row>
    <row r="894">
      <c r="I894" s="50"/>
    </row>
    <row r="895">
      <c r="I895" s="50"/>
    </row>
    <row r="896">
      <c r="I896" s="50"/>
    </row>
    <row r="897">
      <c r="I897" s="50"/>
    </row>
    <row r="898">
      <c r="I898" s="50"/>
    </row>
    <row r="899">
      <c r="I899" s="50"/>
    </row>
    <row r="900">
      <c r="I900" s="50"/>
    </row>
    <row r="901">
      <c r="I901" s="50"/>
    </row>
    <row r="902">
      <c r="I902" s="50"/>
    </row>
    <row r="903">
      <c r="I903" s="50"/>
    </row>
    <row r="904">
      <c r="I904" s="50"/>
    </row>
    <row r="905">
      <c r="I905" s="50"/>
    </row>
    <row r="906">
      <c r="I906" s="50"/>
    </row>
    <row r="907">
      <c r="I907" s="50"/>
    </row>
    <row r="908">
      <c r="I908" s="50"/>
    </row>
    <row r="909">
      <c r="I909" s="50"/>
    </row>
    <row r="910">
      <c r="I910" s="50"/>
    </row>
    <row r="911">
      <c r="I911" s="50"/>
    </row>
    <row r="912">
      <c r="I912" s="50"/>
    </row>
    <row r="913">
      <c r="I913" s="50"/>
    </row>
    <row r="914">
      <c r="I914" s="50"/>
    </row>
    <row r="915">
      <c r="I915" s="50"/>
    </row>
    <row r="916">
      <c r="I916" s="50"/>
    </row>
    <row r="917">
      <c r="I917" s="50"/>
    </row>
    <row r="918">
      <c r="I918" s="50"/>
    </row>
    <row r="919">
      <c r="I919" s="50"/>
    </row>
    <row r="920">
      <c r="I920" s="50"/>
    </row>
    <row r="921">
      <c r="I921" s="50"/>
    </row>
    <row r="922">
      <c r="I922" s="50"/>
    </row>
    <row r="923">
      <c r="I923" s="50"/>
    </row>
    <row r="924">
      <c r="I924" s="50"/>
    </row>
    <row r="925">
      <c r="I925" s="50"/>
    </row>
    <row r="926">
      <c r="I926" s="50"/>
    </row>
    <row r="927">
      <c r="I927" s="50"/>
    </row>
    <row r="928">
      <c r="I928" s="50"/>
    </row>
    <row r="929">
      <c r="I929" s="50"/>
    </row>
    <row r="930">
      <c r="I930" s="50"/>
    </row>
    <row r="931">
      <c r="I931" s="50"/>
    </row>
    <row r="932">
      <c r="I932" s="50"/>
    </row>
    <row r="933">
      <c r="I933" s="50"/>
    </row>
    <row r="934">
      <c r="I934" s="50"/>
    </row>
    <row r="935">
      <c r="I935" s="50"/>
    </row>
    <row r="936">
      <c r="I936" s="50"/>
    </row>
    <row r="937">
      <c r="I937" s="50"/>
    </row>
    <row r="938">
      <c r="I938" s="50"/>
    </row>
    <row r="939">
      <c r="I939" s="50"/>
    </row>
    <row r="940">
      <c r="I940" s="50"/>
    </row>
    <row r="941">
      <c r="I941" s="50"/>
    </row>
    <row r="942">
      <c r="I942" s="50"/>
    </row>
    <row r="943">
      <c r="I943" s="50"/>
    </row>
    <row r="944">
      <c r="I944" s="50"/>
    </row>
    <row r="945">
      <c r="I945" s="50"/>
    </row>
    <row r="946">
      <c r="I946" s="50"/>
    </row>
    <row r="947">
      <c r="I947" s="50"/>
    </row>
    <row r="948">
      <c r="I948" s="50"/>
    </row>
    <row r="949">
      <c r="I949" s="50"/>
    </row>
    <row r="950">
      <c r="I950" s="50"/>
    </row>
    <row r="951">
      <c r="I951" s="50"/>
    </row>
    <row r="952">
      <c r="I952" s="50"/>
    </row>
    <row r="953">
      <c r="I953" s="50"/>
    </row>
    <row r="954">
      <c r="I954" s="50"/>
    </row>
    <row r="955">
      <c r="I955" s="50"/>
    </row>
    <row r="956">
      <c r="I956" s="50"/>
    </row>
    <row r="957">
      <c r="I957" s="50"/>
    </row>
    <row r="958">
      <c r="I958" s="50"/>
    </row>
    <row r="959">
      <c r="I959" s="50"/>
    </row>
    <row r="960">
      <c r="I960" s="50"/>
    </row>
    <row r="961">
      <c r="I961" s="50"/>
    </row>
    <row r="962">
      <c r="I962" s="50"/>
    </row>
    <row r="963">
      <c r="I963" s="50"/>
    </row>
    <row r="964">
      <c r="I964" s="50"/>
    </row>
    <row r="965">
      <c r="I965" s="50"/>
    </row>
    <row r="966">
      <c r="I966" s="50"/>
    </row>
    <row r="967">
      <c r="I967" s="50"/>
    </row>
    <row r="968">
      <c r="I968" s="50"/>
    </row>
    <row r="969">
      <c r="I969" s="50"/>
    </row>
    <row r="970">
      <c r="I970" s="50"/>
    </row>
    <row r="971">
      <c r="I971" s="50"/>
    </row>
    <row r="972">
      <c r="I972" s="50"/>
    </row>
    <row r="973">
      <c r="I973" s="50"/>
    </row>
    <row r="974">
      <c r="I974" s="50"/>
    </row>
    <row r="975">
      <c r="I975" s="50"/>
    </row>
    <row r="976">
      <c r="I976" s="50"/>
    </row>
    <row r="977">
      <c r="I977" s="50"/>
    </row>
    <row r="978">
      <c r="I978" s="50"/>
    </row>
    <row r="979">
      <c r="I979" s="50"/>
    </row>
    <row r="980">
      <c r="I980" s="50"/>
    </row>
    <row r="981">
      <c r="I981" s="50"/>
    </row>
    <row r="982">
      <c r="I982" s="50"/>
    </row>
    <row r="983">
      <c r="I983" s="50"/>
    </row>
    <row r="984">
      <c r="I984" s="50"/>
    </row>
    <row r="985">
      <c r="I985" s="50"/>
    </row>
    <row r="986">
      <c r="I986" s="50"/>
    </row>
    <row r="987">
      <c r="I987" s="50"/>
    </row>
    <row r="988">
      <c r="I988" s="50"/>
    </row>
    <row r="989">
      <c r="I989" s="50"/>
    </row>
    <row r="990">
      <c r="I990" s="50"/>
    </row>
    <row r="991">
      <c r="I991" s="50"/>
    </row>
    <row r="992">
      <c r="I992" s="50"/>
    </row>
    <row r="993">
      <c r="I993" s="50"/>
    </row>
    <row r="994">
      <c r="I994" s="50"/>
    </row>
    <row r="995">
      <c r="I995" s="50"/>
    </row>
    <row r="996">
      <c r="I996" s="50"/>
    </row>
    <row r="997">
      <c r="I997" s="50"/>
    </row>
    <row r="998">
      <c r="I998" s="50"/>
    </row>
    <row r="999">
      <c r="I999" s="50"/>
    </row>
    <row r="1000">
      <c r="I1000" s="50"/>
    </row>
    <row r="1001">
      <c r="I1001" s="50"/>
    </row>
  </sheetData>
  <autoFilter ref="$A$1:$M$41">
    <sortState ref="A1:M41">
      <sortCondition ref="G1:G41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4" max="4" width="17.63"/>
  </cols>
  <sheetData>
    <row r="1">
      <c r="A1" s="30" t="s">
        <v>1549</v>
      </c>
      <c r="B1" s="30" t="s">
        <v>1550</v>
      </c>
      <c r="C1" s="30" t="s">
        <v>1551</v>
      </c>
      <c r="D1" s="30" t="s">
        <v>1552</v>
      </c>
    </row>
    <row r="2">
      <c r="A2" s="7" t="s">
        <v>1553</v>
      </c>
      <c r="B2" s="51">
        <v>96.0</v>
      </c>
      <c r="C2" s="7">
        <v>0.671</v>
      </c>
    </row>
    <row r="3">
      <c r="A3" s="7" t="s">
        <v>1553</v>
      </c>
      <c r="B3" s="51">
        <v>77.0</v>
      </c>
      <c r="C3" s="7">
        <v>0.7006</v>
      </c>
    </row>
    <row r="4">
      <c r="A4" s="7" t="s">
        <v>1553</v>
      </c>
      <c r="B4" s="51" t="s">
        <v>112</v>
      </c>
      <c r="C4" s="7">
        <v>0.7148</v>
      </c>
    </row>
    <row r="5">
      <c r="A5" s="7" t="s">
        <v>1553</v>
      </c>
      <c r="B5" s="51">
        <v>89.0</v>
      </c>
      <c r="C5" s="7">
        <v>0.7511</v>
      </c>
      <c r="D5" s="7">
        <v>0.4868</v>
      </c>
    </row>
    <row r="6">
      <c r="A6" s="7" t="s">
        <v>1553</v>
      </c>
      <c r="B6" s="51">
        <v>82.0</v>
      </c>
      <c r="C6" s="7">
        <v>0.7536</v>
      </c>
      <c r="D6" s="7">
        <v>0.4834</v>
      </c>
    </row>
    <row r="7">
      <c r="A7" s="7" t="s">
        <v>1553</v>
      </c>
      <c r="B7" s="51">
        <v>93.0</v>
      </c>
      <c r="C7" s="7">
        <v>0.7287</v>
      </c>
      <c r="D7" s="7">
        <v>0.4613</v>
      </c>
    </row>
    <row r="8">
      <c r="A8" s="7" t="s">
        <v>1554</v>
      </c>
      <c r="B8" s="51">
        <v>89.0</v>
      </c>
      <c r="C8" s="7">
        <v>0.8145</v>
      </c>
    </row>
    <row r="9">
      <c r="A9" s="7" t="s">
        <v>1554</v>
      </c>
      <c r="B9" s="51">
        <v>82.0</v>
      </c>
      <c r="C9" s="7">
        <v>0.8056</v>
      </c>
    </row>
    <row r="10">
      <c r="A10" s="7" t="s">
        <v>1554</v>
      </c>
      <c r="B10" s="51" t="s">
        <v>1555</v>
      </c>
      <c r="C10" s="7">
        <v>0.7329</v>
      </c>
    </row>
    <row r="11">
      <c r="A11" s="7" t="s">
        <v>1554</v>
      </c>
      <c r="B11" s="51">
        <v>93.0</v>
      </c>
      <c r="C11" s="7">
        <v>0.6891</v>
      </c>
    </row>
    <row r="12">
      <c r="A12" s="7" t="s">
        <v>1554</v>
      </c>
      <c r="B12" s="51">
        <v>77.0</v>
      </c>
      <c r="C12" s="7">
        <v>0.7325</v>
      </c>
    </row>
    <row r="13">
      <c r="A13" s="7" t="s">
        <v>1554</v>
      </c>
      <c r="B13" s="51" t="s">
        <v>1556</v>
      </c>
      <c r="C13" s="7">
        <v>0.7827</v>
      </c>
    </row>
  </sheetData>
  <conditionalFormatting sqref="C1:C1001">
    <cfRule type="colorScale" priority="1">
      <colorScale>
        <cfvo type="min"/>
        <cfvo type="max"/>
        <color rgb="FFFFFFFF"/>
        <color rgb="FFCCCCCC"/>
      </colorScale>
    </cfRule>
  </conditionalFormatting>
  <drawing r:id="rId4"/>
  <legacyDrawing r:id="rId5"/>
</worksheet>
</file>