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vings" sheetId="1" r:id="rId5"/>
    <sheet state="visible" name="Axes" sheetId="2" r:id="rId6"/>
    <sheet state="visible" name="Carvings to axes" sheetId="3" r:id="rId7"/>
    <sheet state="visible" name="Mushrooms" sheetId="4" r:id="rId8"/>
    <sheet state="visible" name="Carvings to Mushrooms" sheetId="5" r:id="rId9"/>
    <sheet state="visible" name="Sheet8" sheetId="6" r:id="rId10"/>
  </sheets>
  <definedNames>
    <definedName hidden="1" localSheetId="0" name="_xlnm._FilterDatabase">Carvings!$A$1:$T$1001</definedName>
    <definedName hidden="1" localSheetId="1" name="_xlnm._FilterDatabase">Axes!$A$1:$O$38</definedName>
    <definedName hidden="1" localSheetId="5" name="_xlnm._FilterDatabase">Sheet8!$B$1:$AA$1001</definedName>
  </definedNames>
  <calcPr/>
</workbook>
</file>

<file path=xl/sharedStrings.xml><?xml version="1.0" encoding="utf-8"?>
<sst xmlns="http://schemas.openxmlformats.org/spreadsheetml/2006/main" count="235" uniqueCount="154">
  <si>
    <t>Stone</t>
  </si>
  <si>
    <t>Carving#</t>
  </si>
  <si>
    <t>Axe Note</t>
  </si>
  <si>
    <t>Recurve</t>
  </si>
  <si>
    <t>Ring</t>
  </si>
  <si>
    <t>Carving Image</t>
  </si>
  <si>
    <t>Area</t>
  </si>
  <si>
    <t>Perimeter</t>
  </si>
  <si>
    <t>Width</t>
  </si>
  <si>
    <t>Height</t>
  </si>
  <si>
    <t>Circularity</t>
  </si>
  <si>
    <t>Aspect Ratio</t>
  </si>
  <si>
    <t>Roundness</t>
  </si>
  <si>
    <t>Solidity</t>
  </si>
  <si>
    <t>Incurve edge</t>
  </si>
  <si>
    <t>Incurve min</t>
  </si>
  <si>
    <t>recurve ratio</t>
  </si>
  <si>
    <t>dagger</t>
  </si>
  <si>
    <t>Source</t>
  </si>
  <si>
    <t>ID</t>
  </si>
  <si>
    <t>Type</t>
  </si>
  <si>
    <t>Findspot</t>
  </si>
  <si>
    <t>Location</t>
  </si>
  <si>
    <t>Image</t>
  </si>
  <si>
    <t>#</t>
  </si>
  <si>
    <t>Length</t>
  </si>
  <si>
    <t>Body Width</t>
  </si>
  <si>
    <t>Incurve Edge</t>
  </si>
  <si>
    <t>Needham 1983</t>
  </si>
  <si>
    <t>NF40</t>
  </si>
  <si>
    <t>5F</t>
  </si>
  <si>
    <t>Methwold</t>
  </si>
  <si>
    <t>Le1-2</t>
  </si>
  <si>
    <t>Croft</t>
  </si>
  <si>
    <t>Ca29</t>
  </si>
  <si>
    <t>5Da Lavington style</t>
  </si>
  <si>
    <t>Littleport 2</t>
  </si>
  <si>
    <t>Needham 2012</t>
  </si>
  <si>
    <t>5D West Drayton</t>
  </si>
  <si>
    <t>Arreton Down, Isle of Wight</t>
  </si>
  <si>
    <t>British Museum, 1985,0302.1</t>
  </si>
  <si>
    <t>Ca5</t>
  </si>
  <si>
    <t>5Da:Risby/Glanworth</t>
  </si>
  <si>
    <t>Burwell Fen, Burwell, Cambridgeshire</t>
  </si>
  <si>
    <t>5E Clifton</t>
  </si>
  <si>
    <t>Rocky Parks Field, Plymstock, Devon</t>
  </si>
  <si>
    <t>British Museum, 1869,1220.6</t>
  </si>
  <si>
    <t>Hb 8</t>
  </si>
  <si>
    <t>Risby Warren</t>
  </si>
  <si>
    <t>5 Irish style</t>
  </si>
  <si>
    <t>Cambridge University Museum, 83.116</t>
  </si>
  <si>
    <t>Ca7</t>
  </si>
  <si>
    <t>5eb</t>
  </si>
  <si>
    <t>2.fig 76</t>
  </si>
  <si>
    <t>Glanworth Co Cork</t>
  </si>
  <si>
    <t>Blackdyke Farm, Hockwold-cum- Wilton, Norfolk</t>
  </si>
  <si>
    <t>Private ownership</t>
  </si>
  <si>
    <t>Needham 2012, Needham 1983, Nf 58</t>
  </si>
  <si>
    <t>5B Maidenhead</t>
  </si>
  <si>
    <t>Norfolk</t>
  </si>
  <si>
    <t>Norwich Museum, 76.94(753)</t>
  </si>
  <si>
    <t>NF27/1</t>
  </si>
  <si>
    <t>Near Blackdyke Farm</t>
  </si>
  <si>
    <t>Needham 2012, Needham 1983, BB 1</t>
  </si>
  <si>
    <t>5C Bisham</t>
  </si>
  <si>
    <t>River Thames at Bisham, Berkshire/Buckinghamshire</t>
  </si>
  <si>
    <t>British Museum, 1893,1219.1</t>
  </si>
  <si>
    <t>Burgess</t>
  </si>
  <si>
    <t>Needham 2012, Needham 1983, IW 3/4</t>
  </si>
  <si>
    <t>5A Horncastle</t>
  </si>
  <si>
    <t>Moon’s Hill, Totland, Isle of Wight</t>
  </si>
  <si>
    <t>Carisbrooke Museum</t>
  </si>
  <si>
    <t>Needham 2012, Needham 1983, Ds 5</t>
  </si>
  <si>
    <t>White Horse Hill, Osmington, Dorset</t>
  </si>
  <si>
    <t>British Museum, 1875,0401.6</t>
  </si>
  <si>
    <t>Needham 2012, Needham 1983, Gs 7</t>
  </si>
  <si>
    <t>5D Staunton</t>
  </si>
  <si>
    <t>Staunton, Gloucestershire</t>
  </si>
  <si>
    <t>Ashmolean Museum, 1927.2580</t>
  </si>
  <si>
    <t>Needham 2012, Needham 1983, Ca 43/1</t>
  </si>
  <si>
    <t>Grunty Fen, Wilburton, Cambridgeshire</t>
  </si>
  <si>
    <t>Alnwick Castle Museum, 1880.197</t>
  </si>
  <si>
    <t>Needham 2012, Needham 1983, Ng 8</t>
  </si>
  <si>
    <t>Clifton, Nottinghamshire</t>
  </si>
  <si>
    <t>Nottingham Museum</t>
  </si>
  <si>
    <t>ca43</t>
  </si>
  <si>
    <t>Sx5</t>
  </si>
  <si>
    <t>UP40</t>
  </si>
  <si>
    <t>Wi8</t>
  </si>
  <si>
    <t>bushbarrow</t>
  </si>
  <si>
    <t>so31</t>
  </si>
  <si>
    <t>Axe type</t>
  </si>
  <si>
    <t>Needham #</t>
  </si>
  <si>
    <t>Axe Images</t>
  </si>
  <si>
    <t>very wide splayed blade</t>
  </si>
  <si>
    <t xml:space="preserve">ca7
</t>
  </si>
  <si>
    <t xml:space="preserve">le1
</t>
  </si>
  <si>
    <t>non axe</t>
  </si>
  <si>
    <t>5e</t>
  </si>
  <si>
    <t>Class 2a</t>
  </si>
  <si>
    <t>wi8</t>
  </si>
  <si>
    <t>94, NF40</t>
  </si>
  <si>
    <t>ca43,93</t>
  </si>
  <si>
    <t>sx5</t>
  </si>
  <si>
    <t>up40, 426, 362</t>
  </si>
  <si>
    <t>90,91</t>
  </si>
  <si>
    <t>94,96</t>
  </si>
  <si>
    <t>87,93</t>
  </si>
  <si>
    <t>77,87,93,370</t>
  </si>
  <si>
    <t>Species</t>
  </si>
  <si>
    <t>Cap Size</t>
  </si>
  <si>
    <t>Stem Size</t>
  </si>
  <si>
    <t>Habitat</t>
  </si>
  <si>
    <t>Transect Image</t>
  </si>
  <si>
    <t>Activity</t>
  </si>
  <si>
    <t>Amanita Muscaria</t>
  </si>
  <si>
    <t>Strong</t>
  </si>
  <si>
    <t>Stropharia Aeruginosa</t>
  </si>
  <si>
    <t>Unknown</t>
  </si>
  <si>
    <t>Psilocybe Coronilla</t>
  </si>
  <si>
    <t>Psilocybe Subviscida</t>
  </si>
  <si>
    <t>Stropharia caerulea</t>
  </si>
  <si>
    <t>Stropharia pseudocyanea</t>
  </si>
  <si>
    <t>Pluteus salicinus</t>
  </si>
  <si>
    <t>.05-.35% Psilocybin</t>
  </si>
  <si>
    <t>Psilocybe fimetaria</t>
  </si>
  <si>
    <t>Cow/horse dung</t>
  </si>
  <si>
    <t>Moderately Active</t>
  </si>
  <si>
    <t>Gymnopilus purpuratus</t>
  </si>
  <si>
    <t>dead wood, pig dung</t>
  </si>
  <si>
    <t>Gymnopilus junonius</t>
  </si>
  <si>
    <t>Under large old trees, silver maple</t>
  </si>
  <si>
    <t>?</t>
  </si>
  <si>
    <t>Inocybe corydalina</t>
  </si>
  <si>
    <t>Panaeolus cinctulus</t>
  </si>
  <si>
    <t>Panaeolus fimicola</t>
  </si>
  <si>
    <t>Mild</t>
  </si>
  <si>
    <t>Psilocybe cyanescens</t>
  </si>
  <si>
    <t>woodchips</t>
  </si>
  <si>
    <t>Psilocybe semilanceata</t>
  </si>
  <si>
    <t>pasture land</t>
  </si>
  <si>
    <t>Totals</t>
  </si>
  <si>
    <t>Rock</t>
  </si>
  <si>
    <t>label</t>
  </si>
  <si>
    <t>Circ.</t>
  </si>
  <si>
    <t>AR</t>
  </si>
  <si>
    <t>Round</t>
  </si>
  <si>
    <t>Perim.</t>
  </si>
  <si>
    <t>X</t>
  </si>
  <si>
    <t>Y</t>
  </si>
  <si>
    <t>XM</t>
  </si>
  <si>
    <t>YM</t>
  </si>
  <si>
    <t>BX</t>
  </si>
  <si>
    <t>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</si>
</sst>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9.0"/>
      <color rgb="FF060808"/>
      <name val="&quot;CIDFont+F1&quot;"/>
    </font>
    <font>
      <sz val="11.0"/>
      <color rgb="FF000000"/>
      <name val="Arial"/>
    </font>
    <font>
      <sz val="12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Font="1"/>
    <xf borderId="0" fillId="0" fontId="3" numFmtId="3" xfId="0" applyAlignment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.jpg"/><Relationship Id="rId20" Type="http://schemas.openxmlformats.org/officeDocument/2006/relationships/image" Target="../media/image30.jpg"/><Relationship Id="rId41" Type="http://schemas.openxmlformats.org/officeDocument/2006/relationships/image" Target="../media/image42.jpg"/><Relationship Id="rId22" Type="http://schemas.openxmlformats.org/officeDocument/2006/relationships/image" Target="../media/image11.jpg"/><Relationship Id="rId21" Type="http://schemas.openxmlformats.org/officeDocument/2006/relationships/image" Target="../media/image33.jpg"/><Relationship Id="rId24" Type="http://schemas.openxmlformats.org/officeDocument/2006/relationships/image" Target="../media/image25.jpg"/><Relationship Id="rId23" Type="http://schemas.openxmlformats.org/officeDocument/2006/relationships/image" Target="../media/image20.jpg"/><Relationship Id="rId1" Type="http://schemas.openxmlformats.org/officeDocument/2006/relationships/image" Target="../media/image65.jpg"/><Relationship Id="rId2" Type="http://schemas.openxmlformats.org/officeDocument/2006/relationships/image" Target="../media/image49.jpg"/><Relationship Id="rId3" Type="http://schemas.openxmlformats.org/officeDocument/2006/relationships/image" Target="../media/image26.jpg"/><Relationship Id="rId4" Type="http://schemas.openxmlformats.org/officeDocument/2006/relationships/image" Target="../media/image66.jpg"/><Relationship Id="rId9" Type="http://schemas.openxmlformats.org/officeDocument/2006/relationships/image" Target="../media/image52.jpg"/><Relationship Id="rId26" Type="http://schemas.openxmlformats.org/officeDocument/2006/relationships/image" Target="../media/image21.jpg"/><Relationship Id="rId25" Type="http://schemas.openxmlformats.org/officeDocument/2006/relationships/image" Target="../media/image31.jpg"/><Relationship Id="rId28" Type="http://schemas.openxmlformats.org/officeDocument/2006/relationships/image" Target="../media/image27.jpg"/><Relationship Id="rId27" Type="http://schemas.openxmlformats.org/officeDocument/2006/relationships/image" Target="../media/image2.jpg"/><Relationship Id="rId5" Type="http://schemas.openxmlformats.org/officeDocument/2006/relationships/image" Target="../media/image39.jpg"/><Relationship Id="rId6" Type="http://schemas.openxmlformats.org/officeDocument/2006/relationships/image" Target="../media/image28.jpg"/><Relationship Id="rId29" Type="http://schemas.openxmlformats.org/officeDocument/2006/relationships/image" Target="../media/image23.jpg"/><Relationship Id="rId7" Type="http://schemas.openxmlformats.org/officeDocument/2006/relationships/image" Target="../media/image38.jpg"/><Relationship Id="rId8" Type="http://schemas.openxmlformats.org/officeDocument/2006/relationships/image" Target="../media/image15.jpg"/><Relationship Id="rId31" Type="http://schemas.openxmlformats.org/officeDocument/2006/relationships/image" Target="../media/image9.jpg"/><Relationship Id="rId30" Type="http://schemas.openxmlformats.org/officeDocument/2006/relationships/image" Target="../media/image36.jpg"/><Relationship Id="rId11" Type="http://schemas.openxmlformats.org/officeDocument/2006/relationships/image" Target="../media/image6.jpg"/><Relationship Id="rId33" Type="http://schemas.openxmlformats.org/officeDocument/2006/relationships/image" Target="../media/image35.jpg"/><Relationship Id="rId10" Type="http://schemas.openxmlformats.org/officeDocument/2006/relationships/image" Target="../media/image8.jpg"/><Relationship Id="rId32" Type="http://schemas.openxmlformats.org/officeDocument/2006/relationships/image" Target="../media/image7.jpg"/><Relationship Id="rId13" Type="http://schemas.openxmlformats.org/officeDocument/2006/relationships/image" Target="../media/image10.jpg"/><Relationship Id="rId35" Type="http://schemas.openxmlformats.org/officeDocument/2006/relationships/image" Target="../media/image32.jpg"/><Relationship Id="rId12" Type="http://schemas.openxmlformats.org/officeDocument/2006/relationships/image" Target="../media/image1.jpg"/><Relationship Id="rId34" Type="http://schemas.openxmlformats.org/officeDocument/2006/relationships/image" Target="../media/image81.jpg"/><Relationship Id="rId15" Type="http://schemas.openxmlformats.org/officeDocument/2006/relationships/image" Target="../media/image60.jpg"/><Relationship Id="rId37" Type="http://schemas.openxmlformats.org/officeDocument/2006/relationships/image" Target="../media/image37.jpg"/><Relationship Id="rId14" Type="http://schemas.openxmlformats.org/officeDocument/2006/relationships/image" Target="../media/image64.jpg"/><Relationship Id="rId36" Type="http://schemas.openxmlformats.org/officeDocument/2006/relationships/image" Target="../media/image29.jpg"/><Relationship Id="rId17" Type="http://schemas.openxmlformats.org/officeDocument/2006/relationships/image" Target="../media/image59.jpg"/><Relationship Id="rId39" Type="http://schemas.openxmlformats.org/officeDocument/2006/relationships/image" Target="../media/image19.jpg"/><Relationship Id="rId16" Type="http://schemas.openxmlformats.org/officeDocument/2006/relationships/image" Target="../media/image47.jpg"/><Relationship Id="rId38" Type="http://schemas.openxmlformats.org/officeDocument/2006/relationships/image" Target="../media/image48.jpg"/><Relationship Id="rId19" Type="http://schemas.openxmlformats.org/officeDocument/2006/relationships/image" Target="../media/image18.jpg"/><Relationship Id="rId18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58.jpg"/><Relationship Id="rId22" Type="http://schemas.openxmlformats.org/officeDocument/2006/relationships/image" Target="../media/image45.jpg"/><Relationship Id="rId21" Type="http://schemas.openxmlformats.org/officeDocument/2006/relationships/image" Target="../media/image50.jpg"/><Relationship Id="rId24" Type="http://schemas.openxmlformats.org/officeDocument/2006/relationships/image" Target="../media/image73.jpg"/><Relationship Id="rId23" Type="http://schemas.openxmlformats.org/officeDocument/2006/relationships/image" Target="../media/image62.jpg"/><Relationship Id="rId1" Type="http://schemas.openxmlformats.org/officeDocument/2006/relationships/image" Target="../media/image5.jpg"/><Relationship Id="rId2" Type="http://schemas.openxmlformats.org/officeDocument/2006/relationships/image" Target="../media/image22.jpg"/><Relationship Id="rId3" Type="http://schemas.openxmlformats.org/officeDocument/2006/relationships/image" Target="../media/image41.jpg"/><Relationship Id="rId4" Type="http://schemas.openxmlformats.org/officeDocument/2006/relationships/image" Target="../media/image4.jpg"/><Relationship Id="rId9" Type="http://schemas.openxmlformats.org/officeDocument/2006/relationships/image" Target="../media/image51.jpg"/><Relationship Id="rId26" Type="http://schemas.openxmlformats.org/officeDocument/2006/relationships/image" Target="../media/image68.jpg"/><Relationship Id="rId25" Type="http://schemas.openxmlformats.org/officeDocument/2006/relationships/image" Target="../media/image78.jpg"/><Relationship Id="rId28" Type="http://schemas.openxmlformats.org/officeDocument/2006/relationships/image" Target="../media/image54.jpg"/><Relationship Id="rId27" Type="http://schemas.openxmlformats.org/officeDocument/2006/relationships/image" Target="../media/image67.jpg"/><Relationship Id="rId5" Type="http://schemas.openxmlformats.org/officeDocument/2006/relationships/image" Target="../media/image12.jpg"/><Relationship Id="rId6" Type="http://schemas.openxmlformats.org/officeDocument/2006/relationships/image" Target="../media/image13.jpg"/><Relationship Id="rId29" Type="http://schemas.openxmlformats.org/officeDocument/2006/relationships/image" Target="../media/image72.jpg"/><Relationship Id="rId7" Type="http://schemas.openxmlformats.org/officeDocument/2006/relationships/image" Target="../media/image44.jpg"/><Relationship Id="rId8" Type="http://schemas.openxmlformats.org/officeDocument/2006/relationships/image" Target="../media/image46.jpg"/><Relationship Id="rId31" Type="http://schemas.openxmlformats.org/officeDocument/2006/relationships/image" Target="../media/image57.jpg"/><Relationship Id="rId30" Type="http://schemas.openxmlformats.org/officeDocument/2006/relationships/image" Target="../media/image70.jpg"/><Relationship Id="rId11" Type="http://schemas.openxmlformats.org/officeDocument/2006/relationships/image" Target="../media/image63.jpg"/><Relationship Id="rId33" Type="http://schemas.openxmlformats.org/officeDocument/2006/relationships/image" Target="../media/image74.jpg"/><Relationship Id="rId10" Type="http://schemas.openxmlformats.org/officeDocument/2006/relationships/image" Target="../media/image69.jpg"/><Relationship Id="rId32" Type="http://schemas.openxmlformats.org/officeDocument/2006/relationships/image" Target="../media/image55.jpg"/><Relationship Id="rId13" Type="http://schemas.openxmlformats.org/officeDocument/2006/relationships/image" Target="../media/image16.jpg"/><Relationship Id="rId35" Type="http://schemas.openxmlformats.org/officeDocument/2006/relationships/image" Target="../media/image71.jpg"/><Relationship Id="rId12" Type="http://schemas.openxmlformats.org/officeDocument/2006/relationships/image" Target="../media/image43.jpg"/><Relationship Id="rId34" Type="http://schemas.openxmlformats.org/officeDocument/2006/relationships/image" Target="../media/image61.jpg"/><Relationship Id="rId15" Type="http://schemas.openxmlformats.org/officeDocument/2006/relationships/image" Target="../media/image24.jpg"/><Relationship Id="rId14" Type="http://schemas.openxmlformats.org/officeDocument/2006/relationships/image" Target="../media/image14.jpg"/><Relationship Id="rId36" Type="http://schemas.openxmlformats.org/officeDocument/2006/relationships/image" Target="../media/image53.jpg"/><Relationship Id="rId17" Type="http://schemas.openxmlformats.org/officeDocument/2006/relationships/image" Target="../media/image34.jpg"/><Relationship Id="rId16" Type="http://schemas.openxmlformats.org/officeDocument/2006/relationships/image" Target="../media/image40.jpg"/><Relationship Id="rId19" Type="http://schemas.openxmlformats.org/officeDocument/2006/relationships/image" Target="../media/image77.jpg"/><Relationship Id="rId18" Type="http://schemas.openxmlformats.org/officeDocument/2006/relationships/image" Target="../media/image56.jp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jpg"/><Relationship Id="rId42" Type="http://schemas.openxmlformats.org/officeDocument/2006/relationships/image" Target="../media/image2.jpg"/><Relationship Id="rId41" Type="http://schemas.openxmlformats.org/officeDocument/2006/relationships/image" Target="../media/image24.jpg"/><Relationship Id="rId44" Type="http://schemas.openxmlformats.org/officeDocument/2006/relationships/image" Target="../media/image27.jpg"/><Relationship Id="rId43" Type="http://schemas.openxmlformats.org/officeDocument/2006/relationships/image" Target="../media/image10.jpg"/><Relationship Id="rId46" Type="http://schemas.openxmlformats.org/officeDocument/2006/relationships/image" Target="../media/image36.jpg"/><Relationship Id="rId45" Type="http://schemas.openxmlformats.org/officeDocument/2006/relationships/image" Target="../media/image23.jpg"/><Relationship Id="rId1" Type="http://schemas.openxmlformats.org/officeDocument/2006/relationships/image" Target="../media/image52.jpg"/><Relationship Id="rId2" Type="http://schemas.openxmlformats.org/officeDocument/2006/relationships/image" Target="../media/image51.jpg"/><Relationship Id="rId3" Type="http://schemas.openxmlformats.org/officeDocument/2006/relationships/image" Target="../media/image66.jpg"/><Relationship Id="rId4" Type="http://schemas.openxmlformats.org/officeDocument/2006/relationships/image" Target="../media/image54.jpg"/><Relationship Id="rId9" Type="http://schemas.openxmlformats.org/officeDocument/2006/relationships/image" Target="../media/image64.jpg"/><Relationship Id="rId48" Type="http://schemas.openxmlformats.org/officeDocument/2006/relationships/image" Target="../media/image7.jpg"/><Relationship Id="rId47" Type="http://schemas.openxmlformats.org/officeDocument/2006/relationships/image" Target="../media/image9.jpg"/><Relationship Id="rId49" Type="http://schemas.openxmlformats.org/officeDocument/2006/relationships/image" Target="../media/image35.jpg"/><Relationship Id="rId5" Type="http://schemas.openxmlformats.org/officeDocument/2006/relationships/image" Target="../media/image72.jpg"/><Relationship Id="rId6" Type="http://schemas.openxmlformats.org/officeDocument/2006/relationships/image" Target="../media/image65.jpg"/><Relationship Id="rId7" Type="http://schemas.openxmlformats.org/officeDocument/2006/relationships/image" Target="../media/image22.jpg"/><Relationship Id="rId8" Type="http://schemas.openxmlformats.org/officeDocument/2006/relationships/image" Target="../media/image5.jpg"/><Relationship Id="rId31" Type="http://schemas.openxmlformats.org/officeDocument/2006/relationships/image" Target="../media/image25.jpg"/><Relationship Id="rId30" Type="http://schemas.openxmlformats.org/officeDocument/2006/relationships/image" Target="../media/image70.jpg"/><Relationship Id="rId33" Type="http://schemas.openxmlformats.org/officeDocument/2006/relationships/image" Target="../media/image78.jpg"/><Relationship Id="rId32" Type="http://schemas.openxmlformats.org/officeDocument/2006/relationships/image" Target="../media/image73.jpg"/><Relationship Id="rId35" Type="http://schemas.openxmlformats.org/officeDocument/2006/relationships/image" Target="../media/image46.jpg"/><Relationship Id="rId34" Type="http://schemas.openxmlformats.org/officeDocument/2006/relationships/image" Target="../media/image39.jpg"/><Relationship Id="rId37" Type="http://schemas.openxmlformats.org/officeDocument/2006/relationships/image" Target="../media/image1.jpg"/><Relationship Id="rId36" Type="http://schemas.openxmlformats.org/officeDocument/2006/relationships/image" Target="../media/image31.jpg"/><Relationship Id="rId39" Type="http://schemas.openxmlformats.org/officeDocument/2006/relationships/image" Target="../media/image21.jpg"/><Relationship Id="rId38" Type="http://schemas.openxmlformats.org/officeDocument/2006/relationships/image" Target="../media/image62.jpg"/><Relationship Id="rId20" Type="http://schemas.openxmlformats.org/officeDocument/2006/relationships/image" Target="../media/image13.jpg"/><Relationship Id="rId22" Type="http://schemas.openxmlformats.org/officeDocument/2006/relationships/image" Target="../media/image55.jpg"/><Relationship Id="rId21" Type="http://schemas.openxmlformats.org/officeDocument/2006/relationships/image" Target="../media/image30.jpg"/><Relationship Id="rId24" Type="http://schemas.openxmlformats.org/officeDocument/2006/relationships/image" Target="../media/image33.jpg"/><Relationship Id="rId23" Type="http://schemas.openxmlformats.org/officeDocument/2006/relationships/image" Target="../media/image49.jpg"/><Relationship Id="rId60" Type="http://schemas.openxmlformats.org/officeDocument/2006/relationships/image" Target="../media/image15.jpg"/><Relationship Id="rId26" Type="http://schemas.openxmlformats.org/officeDocument/2006/relationships/image" Target="../media/image11.jpg"/><Relationship Id="rId25" Type="http://schemas.openxmlformats.org/officeDocument/2006/relationships/image" Target="../media/image74.jpg"/><Relationship Id="rId28" Type="http://schemas.openxmlformats.org/officeDocument/2006/relationships/image" Target="../media/image61.jpg"/><Relationship Id="rId27" Type="http://schemas.openxmlformats.org/officeDocument/2006/relationships/image" Target="../media/image20.jpg"/><Relationship Id="rId29" Type="http://schemas.openxmlformats.org/officeDocument/2006/relationships/image" Target="../media/image57.jpg"/><Relationship Id="rId51" Type="http://schemas.openxmlformats.org/officeDocument/2006/relationships/image" Target="../media/image8.jpg"/><Relationship Id="rId50" Type="http://schemas.openxmlformats.org/officeDocument/2006/relationships/image" Target="../media/image28.jpg"/><Relationship Id="rId53" Type="http://schemas.openxmlformats.org/officeDocument/2006/relationships/image" Target="../media/image29.jpg"/><Relationship Id="rId52" Type="http://schemas.openxmlformats.org/officeDocument/2006/relationships/image" Target="../media/image32.jpg"/><Relationship Id="rId11" Type="http://schemas.openxmlformats.org/officeDocument/2006/relationships/image" Target="../media/image60.jpg"/><Relationship Id="rId55" Type="http://schemas.openxmlformats.org/officeDocument/2006/relationships/image" Target="../media/image48.jpg"/><Relationship Id="rId10" Type="http://schemas.openxmlformats.org/officeDocument/2006/relationships/image" Target="../media/image38.jpg"/><Relationship Id="rId54" Type="http://schemas.openxmlformats.org/officeDocument/2006/relationships/image" Target="../media/image37.jpg"/><Relationship Id="rId13" Type="http://schemas.openxmlformats.org/officeDocument/2006/relationships/image" Target="../media/image47.jpg"/><Relationship Id="rId57" Type="http://schemas.openxmlformats.org/officeDocument/2006/relationships/image" Target="../media/image17.jpg"/><Relationship Id="rId12" Type="http://schemas.openxmlformats.org/officeDocument/2006/relationships/image" Target="../media/image53.jpg"/><Relationship Id="rId56" Type="http://schemas.openxmlformats.org/officeDocument/2006/relationships/image" Target="../media/image19.jpg"/><Relationship Id="rId15" Type="http://schemas.openxmlformats.org/officeDocument/2006/relationships/image" Target="../media/image59.jpg"/><Relationship Id="rId59" Type="http://schemas.openxmlformats.org/officeDocument/2006/relationships/image" Target="../media/image42.jpg"/><Relationship Id="rId14" Type="http://schemas.openxmlformats.org/officeDocument/2006/relationships/image" Target="../media/image68.jpg"/><Relationship Id="rId58" Type="http://schemas.openxmlformats.org/officeDocument/2006/relationships/image" Target="../media/image6.jpg"/><Relationship Id="rId17" Type="http://schemas.openxmlformats.org/officeDocument/2006/relationships/image" Target="../media/image3.jpg"/><Relationship Id="rId16" Type="http://schemas.openxmlformats.org/officeDocument/2006/relationships/image" Target="../media/image71.jpg"/><Relationship Id="rId19" Type="http://schemas.openxmlformats.org/officeDocument/2006/relationships/image" Target="../media/image26.jpg"/><Relationship Id="rId18" Type="http://schemas.openxmlformats.org/officeDocument/2006/relationships/image" Target="../media/image18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jpg"/><Relationship Id="rId2" Type="http://schemas.openxmlformats.org/officeDocument/2006/relationships/image" Target="../media/image79.jpg"/><Relationship Id="rId3" Type="http://schemas.openxmlformats.org/officeDocument/2006/relationships/image" Target="../media/image76.jpg"/><Relationship Id="rId4" Type="http://schemas.openxmlformats.org/officeDocument/2006/relationships/image" Target="../media/image80.jpg"/><Relationship Id="rId5" Type="http://schemas.openxmlformats.org/officeDocument/2006/relationships/image" Target="../media/image75.jp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6.jpg"/><Relationship Id="rId42" Type="http://schemas.openxmlformats.org/officeDocument/2006/relationships/image" Target="../media/image15.jpg"/><Relationship Id="rId41" Type="http://schemas.openxmlformats.org/officeDocument/2006/relationships/image" Target="../media/image42.jpg"/><Relationship Id="rId1" Type="http://schemas.openxmlformats.org/officeDocument/2006/relationships/image" Target="../media/image52.jpg"/><Relationship Id="rId2" Type="http://schemas.openxmlformats.org/officeDocument/2006/relationships/image" Target="../media/image79.jpg"/><Relationship Id="rId3" Type="http://schemas.openxmlformats.org/officeDocument/2006/relationships/image" Target="../media/image82.jpg"/><Relationship Id="rId4" Type="http://schemas.openxmlformats.org/officeDocument/2006/relationships/image" Target="../media/image66.jpg"/><Relationship Id="rId9" Type="http://schemas.openxmlformats.org/officeDocument/2006/relationships/image" Target="../media/image47.jpg"/><Relationship Id="rId5" Type="http://schemas.openxmlformats.org/officeDocument/2006/relationships/image" Target="../media/image65.jpg"/><Relationship Id="rId6" Type="http://schemas.openxmlformats.org/officeDocument/2006/relationships/image" Target="../media/image64.jpg"/><Relationship Id="rId7" Type="http://schemas.openxmlformats.org/officeDocument/2006/relationships/image" Target="../media/image38.jpg"/><Relationship Id="rId8" Type="http://schemas.openxmlformats.org/officeDocument/2006/relationships/image" Target="../media/image60.jpg"/><Relationship Id="rId31" Type="http://schemas.openxmlformats.org/officeDocument/2006/relationships/image" Target="../media/image35.jpg"/><Relationship Id="rId30" Type="http://schemas.openxmlformats.org/officeDocument/2006/relationships/image" Target="../media/image7.jpg"/><Relationship Id="rId33" Type="http://schemas.openxmlformats.org/officeDocument/2006/relationships/image" Target="../media/image8.jpg"/><Relationship Id="rId32" Type="http://schemas.openxmlformats.org/officeDocument/2006/relationships/image" Target="../media/image28.jpg"/><Relationship Id="rId35" Type="http://schemas.openxmlformats.org/officeDocument/2006/relationships/image" Target="../media/image29.jpg"/><Relationship Id="rId34" Type="http://schemas.openxmlformats.org/officeDocument/2006/relationships/image" Target="../media/image32.jpg"/><Relationship Id="rId37" Type="http://schemas.openxmlformats.org/officeDocument/2006/relationships/image" Target="../media/image48.jpg"/><Relationship Id="rId36" Type="http://schemas.openxmlformats.org/officeDocument/2006/relationships/image" Target="../media/image37.jpg"/><Relationship Id="rId39" Type="http://schemas.openxmlformats.org/officeDocument/2006/relationships/image" Target="../media/image17.jpg"/><Relationship Id="rId38" Type="http://schemas.openxmlformats.org/officeDocument/2006/relationships/image" Target="../media/image19.jpg"/><Relationship Id="rId20" Type="http://schemas.openxmlformats.org/officeDocument/2006/relationships/image" Target="../media/image39.jpg"/><Relationship Id="rId22" Type="http://schemas.openxmlformats.org/officeDocument/2006/relationships/image" Target="../media/image1.jpg"/><Relationship Id="rId21" Type="http://schemas.openxmlformats.org/officeDocument/2006/relationships/image" Target="../media/image31.jpg"/><Relationship Id="rId24" Type="http://schemas.openxmlformats.org/officeDocument/2006/relationships/image" Target="../media/image2.jpg"/><Relationship Id="rId23" Type="http://schemas.openxmlformats.org/officeDocument/2006/relationships/image" Target="../media/image21.jpg"/><Relationship Id="rId26" Type="http://schemas.openxmlformats.org/officeDocument/2006/relationships/image" Target="../media/image27.jpg"/><Relationship Id="rId25" Type="http://schemas.openxmlformats.org/officeDocument/2006/relationships/image" Target="../media/image10.jpg"/><Relationship Id="rId28" Type="http://schemas.openxmlformats.org/officeDocument/2006/relationships/image" Target="../media/image36.jpg"/><Relationship Id="rId27" Type="http://schemas.openxmlformats.org/officeDocument/2006/relationships/image" Target="../media/image23.jpg"/><Relationship Id="rId29" Type="http://schemas.openxmlformats.org/officeDocument/2006/relationships/image" Target="../media/image9.jpg"/><Relationship Id="rId11" Type="http://schemas.openxmlformats.org/officeDocument/2006/relationships/image" Target="../media/image3.jpg"/><Relationship Id="rId10" Type="http://schemas.openxmlformats.org/officeDocument/2006/relationships/image" Target="../media/image59.jpg"/><Relationship Id="rId13" Type="http://schemas.openxmlformats.org/officeDocument/2006/relationships/image" Target="../media/image26.jpg"/><Relationship Id="rId12" Type="http://schemas.openxmlformats.org/officeDocument/2006/relationships/image" Target="../media/image18.jpg"/><Relationship Id="rId15" Type="http://schemas.openxmlformats.org/officeDocument/2006/relationships/image" Target="../media/image49.jpg"/><Relationship Id="rId14" Type="http://schemas.openxmlformats.org/officeDocument/2006/relationships/image" Target="../media/image30.jpg"/><Relationship Id="rId17" Type="http://schemas.openxmlformats.org/officeDocument/2006/relationships/image" Target="../media/image11.jpg"/><Relationship Id="rId16" Type="http://schemas.openxmlformats.org/officeDocument/2006/relationships/image" Target="../media/image33.jpg"/><Relationship Id="rId19" Type="http://schemas.openxmlformats.org/officeDocument/2006/relationships/image" Target="../media/image25.jpg"/><Relationship Id="rId18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628650" cy="504825"/>
    <xdr:pic>
      <xdr:nvPicPr>
        <xdr:cNvPr id="0" name="image6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628650" cy="504825"/>
    <xdr:pic>
      <xdr:nvPicPr>
        <xdr:cNvPr id="0" name="image4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28650" cy="504825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628650" cy="504825"/>
    <xdr:pic>
      <xdr:nvPicPr>
        <xdr:cNvPr id="0" name="image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628650" cy="504825"/>
    <xdr:pic>
      <xdr:nvPicPr>
        <xdr:cNvPr id="0" name="image3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628650" cy="504825"/>
    <xdr:pic>
      <xdr:nvPicPr>
        <xdr:cNvPr id="0" name="image3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628650" cy="504825"/>
    <xdr:pic>
      <xdr:nvPicPr>
        <xdr:cNvPr id="0" name="image1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628650" cy="504825"/>
    <xdr:pic>
      <xdr:nvPicPr>
        <xdr:cNvPr id="0" name="image5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542925" cy="504825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628650" cy="504825"/>
    <xdr:pic>
      <xdr:nvPicPr>
        <xdr:cNvPr id="0" name="image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628650" cy="504825"/>
    <xdr:pic>
      <xdr:nvPicPr>
        <xdr:cNvPr id="0" name="image4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628650" cy="504825"/>
    <xdr:pic>
      <xdr:nvPicPr>
        <xdr:cNvPr id="0" name="image5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628650" cy="504825"/>
    <xdr:pic>
      <xdr:nvPicPr>
        <xdr:cNvPr id="0" name="image3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628650" cy="504825"/>
    <xdr:pic>
      <xdr:nvPicPr>
        <xdr:cNvPr id="0" name="image2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628650" cy="504825"/>
    <xdr:pic>
      <xdr:nvPicPr>
        <xdr:cNvPr id="0" name="image2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628650" cy="504825"/>
    <xdr:pic>
      <xdr:nvPicPr>
        <xdr:cNvPr id="0" name="image3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628650" cy="504825"/>
    <xdr:pic>
      <xdr:nvPicPr>
        <xdr:cNvPr id="0" name="image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628650" cy="504825"/>
    <xdr:pic>
      <xdr:nvPicPr>
        <xdr:cNvPr id="0" name="image3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676275" cy="504825"/>
    <xdr:pic>
      <xdr:nvPicPr>
        <xdr:cNvPr id="0" name="image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628650" cy="504825"/>
    <xdr:pic>
      <xdr:nvPicPr>
        <xdr:cNvPr id="0" name="image8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628650" cy="504825"/>
    <xdr:pic>
      <xdr:nvPicPr>
        <xdr:cNvPr id="0" name="image2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628650" cy="504825"/>
    <xdr:pic>
      <xdr:nvPicPr>
        <xdr:cNvPr id="0" name="image4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628650" cy="504825"/>
    <xdr:pic>
      <xdr:nvPicPr>
        <xdr:cNvPr id="0" name="image1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28650" cy="504825"/>
    <xdr:pic>
      <xdr:nvPicPr>
        <xdr:cNvPr id="0" name="image4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962025" cy="7620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762000"/>
    <xdr:pic>
      <xdr:nvPicPr>
        <xdr:cNvPr id="0" name="image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962025" cy="762000"/>
    <xdr:pic>
      <xdr:nvPicPr>
        <xdr:cNvPr id="0" name="image4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962025" cy="76200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962025" cy="762000"/>
    <xdr:pic>
      <xdr:nvPicPr>
        <xdr:cNvPr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962025" cy="762000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762000"/>
    <xdr:pic>
      <xdr:nvPicPr>
        <xdr:cNvPr id="0" name="image4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762000"/>
    <xdr:pic>
      <xdr:nvPicPr>
        <xdr:cNvPr id="0" name="image4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962025" cy="762000"/>
    <xdr:pic>
      <xdr:nvPicPr>
        <xdr:cNvPr id="0" name="image5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962025" cy="762000"/>
    <xdr:pic>
      <xdr:nvPicPr>
        <xdr:cNvPr id="0" name="image6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62025" cy="762000"/>
    <xdr:pic>
      <xdr:nvPicPr>
        <xdr:cNvPr id="0" name="image6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962025" cy="762000"/>
    <xdr:pic>
      <xdr:nvPicPr>
        <xdr:cNvPr id="0" name="image4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962025" cy="762000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962025" cy="762000"/>
    <xdr:pic>
      <xdr:nvPicPr>
        <xdr:cNvPr id="0" name="image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962025" cy="762000"/>
    <xdr:pic>
      <xdr:nvPicPr>
        <xdr:cNvPr id="0" name="image2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962025" cy="762000"/>
    <xdr:pic>
      <xdr:nvPicPr>
        <xdr:cNvPr id="0" name="image4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962025" cy="771525"/>
    <xdr:pic>
      <xdr:nvPicPr>
        <xdr:cNvPr id="0" name="image3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962025" cy="762000"/>
    <xdr:pic>
      <xdr:nvPicPr>
        <xdr:cNvPr id="0" name="image5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962025" cy="762000"/>
    <xdr:pic>
      <xdr:nvPicPr>
        <xdr:cNvPr id="0" name="image7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962025" cy="762000"/>
    <xdr:pic>
      <xdr:nvPicPr>
        <xdr:cNvPr id="0" name="image5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762000"/>
    <xdr:pic>
      <xdr:nvPicPr>
        <xdr:cNvPr id="0" name="image5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762000"/>
    <xdr:pic>
      <xdr:nvPicPr>
        <xdr:cNvPr id="0" name="image4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762000"/>
    <xdr:pic>
      <xdr:nvPicPr>
        <xdr:cNvPr id="0" name="image6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962025" cy="762000"/>
    <xdr:pic>
      <xdr:nvPicPr>
        <xdr:cNvPr id="0" name="image7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962025" cy="762000"/>
    <xdr:pic>
      <xdr:nvPicPr>
        <xdr:cNvPr id="0" name="image7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62025" cy="762000"/>
    <xdr:pic>
      <xdr:nvPicPr>
        <xdr:cNvPr id="0" name="image6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962025" cy="762000"/>
    <xdr:pic>
      <xdr:nvPicPr>
        <xdr:cNvPr id="0" name="image6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962025" cy="762000"/>
    <xdr:pic>
      <xdr:nvPicPr>
        <xdr:cNvPr id="0" name="image5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962025" cy="762000"/>
    <xdr:pic>
      <xdr:nvPicPr>
        <xdr:cNvPr id="0" name="image7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962025" cy="762000"/>
    <xdr:pic>
      <xdr:nvPicPr>
        <xdr:cNvPr id="0" name="image7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962025" cy="762000"/>
    <xdr:pic>
      <xdr:nvPicPr>
        <xdr:cNvPr id="0" name="image5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962025" cy="762000"/>
    <xdr:pic>
      <xdr:nvPicPr>
        <xdr:cNvPr id="0" name="image5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962025" cy="762000"/>
    <xdr:pic>
      <xdr:nvPicPr>
        <xdr:cNvPr id="0" name="image7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962025" cy="762000"/>
    <xdr:pic>
      <xdr:nvPicPr>
        <xdr:cNvPr id="0" name="image6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885825" cy="714375"/>
    <xdr:pic>
      <xdr:nvPicPr>
        <xdr:cNvPr id="0" name="image7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885825" cy="714375"/>
    <xdr:pic>
      <xdr:nvPicPr>
        <xdr:cNvPr id="0" name="image5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28650" cy="504825"/>
    <xdr:pic>
      <xdr:nvPicPr>
        <xdr:cNvPr id="0" name="image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628650" cy="504825"/>
    <xdr:pic>
      <xdr:nvPicPr>
        <xdr:cNvPr id="0" name="image5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628650" cy="504825"/>
    <xdr:pic>
      <xdr:nvPicPr>
        <xdr:cNvPr id="0" name="image6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628650" cy="504825"/>
    <xdr:pic>
      <xdr:nvPicPr>
        <xdr:cNvPr id="0" name="image6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628650" cy="504825"/>
    <xdr:pic>
      <xdr:nvPicPr>
        <xdr:cNvPr id="0" name="image2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628650" cy="50482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628650" cy="504825"/>
    <xdr:pic>
      <xdr:nvPicPr>
        <xdr:cNvPr id="0" name="image3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628650" cy="504825"/>
    <xdr:pic>
      <xdr:nvPicPr>
        <xdr:cNvPr id="0" name="image5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628650" cy="504825"/>
    <xdr:pic>
      <xdr:nvPicPr>
        <xdr:cNvPr id="0" name="image4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628650" cy="504825"/>
    <xdr:pic>
      <xdr:nvPicPr>
        <xdr:cNvPr id="0" name="image5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628650" cy="504825"/>
    <xdr:pic>
      <xdr:nvPicPr>
        <xdr:cNvPr id="0" name="image7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628650" cy="504825"/>
    <xdr:pic>
      <xdr:nvPicPr>
        <xdr:cNvPr id="0" name="image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628650" cy="50482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628650" cy="504825"/>
    <xdr:pic>
      <xdr:nvPicPr>
        <xdr:cNvPr id="0" name="image4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628650" cy="504825"/>
    <xdr:pic>
      <xdr:nvPicPr>
        <xdr:cNvPr id="0" name="image3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628650" cy="504825"/>
    <xdr:pic>
      <xdr:nvPicPr>
        <xdr:cNvPr id="0" name="image7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628650" cy="504825"/>
    <xdr:pic>
      <xdr:nvPicPr>
        <xdr:cNvPr id="0" name="image2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628650" cy="504825"/>
    <xdr:pic>
      <xdr:nvPicPr>
        <xdr:cNvPr id="0" name="image6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628650" cy="504825"/>
    <xdr:pic>
      <xdr:nvPicPr>
        <xdr:cNvPr id="0" name="image5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628650" cy="504825"/>
    <xdr:pic>
      <xdr:nvPicPr>
        <xdr:cNvPr id="0" name="image7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628650" cy="504825"/>
    <xdr:pic>
      <xdr:nvPicPr>
        <xdr:cNvPr id="0" name="image2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628650" cy="504825"/>
    <xdr:pic>
      <xdr:nvPicPr>
        <xdr:cNvPr id="0" name="image7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628650" cy="504825"/>
    <xdr:pic>
      <xdr:nvPicPr>
        <xdr:cNvPr id="0" name="image3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628650" cy="504825"/>
    <xdr:pic>
      <xdr:nvPicPr>
        <xdr:cNvPr id="0" name="image4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628650" cy="504825"/>
    <xdr:pic>
      <xdr:nvPicPr>
        <xdr:cNvPr id="0" name="image3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28650" cy="504825"/>
    <xdr:pic>
      <xdr:nvPicPr>
        <xdr:cNvPr id="0" name="image7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28650" cy="504825"/>
    <xdr:pic>
      <xdr:nvPicPr>
        <xdr:cNvPr id="0" name="image6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628650" cy="504825"/>
    <xdr:pic>
      <xdr:nvPicPr>
        <xdr:cNvPr id="0" name="image6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628650" cy="504825"/>
    <xdr:pic>
      <xdr:nvPicPr>
        <xdr:cNvPr id="0" name="image2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28650" cy="504825"/>
    <xdr:pic>
      <xdr:nvPicPr>
        <xdr:cNvPr id="0" name="image5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628650" cy="504825"/>
    <xdr:pic>
      <xdr:nvPicPr>
        <xdr:cNvPr id="0" name="image10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628650" cy="504825"/>
    <xdr:pic>
      <xdr:nvPicPr>
        <xdr:cNvPr id="0" name="image2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628650" cy="504825"/>
    <xdr:pic>
      <xdr:nvPicPr>
        <xdr:cNvPr id="0" name="image3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676275" cy="504825"/>
    <xdr:pic>
      <xdr:nvPicPr>
        <xdr:cNvPr id="0" name="image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542925" cy="504825"/>
    <xdr:pic>
      <xdr:nvPicPr>
        <xdr:cNvPr id="0" name="image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628650" cy="504825"/>
    <xdr:pic>
      <xdr:nvPicPr>
        <xdr:cNvPr id="0" name="image2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628650" cy="504825"/>
    <xdr:pic>
      <xdr:nvPicPr>
        <xdr:cNvPr id="0" name="image4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628650" cy="504825"/>
    <xdr:pic>
      <xdr:nvPicPr>
        <xdr:cNvPr id="0" name="image19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628650" cy="504825"/>
    <xdr:pic>
      <xdr:nvPicPr>
        <xdr:cNvPr id="0" name="image4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628650" cy="504825"/>
    <xdr:pic>
      <xdr:nvPicPr>
        <xdr:cNvPr id="0" name="image15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790575" cy="638175"/>
    <xdr:pic>
      <xdr:nvPicPr>
        <xdr:cNvPr id="0" name="image8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790575" cy="638175"/>
    <xdr:pic>
      <xdr:nvPicPr>
        <xdr:cNvPr id="0" name="image7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790575" cy="638175"/>
    <xdr:pic>
      <xdr:nvPicPr>
        <xdr:cNvPr id="0" name="image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790575" cy="638175"/>
    <xdr:pic>
      <xdr:nvPicPr>
        <xdr:cNvPr id="0" name="image8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790575" cy="638175"/>
    <xdr:pic>
      <xdr:nvPicPr>
        <xdr:cNvPr id="0" name="image7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90575" cy="638175"/>
    <xdr:pic>
      <xdr:nvPicPr>
        <xdr:cNvPr id="0" name="image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790575" cy="638175"/>
    <xdr:pic>
      <xdr:nvPicPr>
        <xdr:cNvPr id="0" name="image7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790575" cy="638175"/>
    <xdr:pic>
      <xdr:nvPicPr>
        <xdr:cNvPr id="0" name="image8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790575" cy="638175"/>
    <xdr:pic>
      <xdr:nvPicPr>
        <xdr:cNvPr id="0" name="image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790575" cy="638175"/>
    <xdr:pic>
      <xdr:nvPicPr>
        <xdr:cNvPr id="0" name="image6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790575" cy="638175"/>
    <xdr:pic>
      <xdr:nvPicPr>
        <xdr:cNvPr id="0" name="image6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90575" cy="638175"/>
    <xdr:pic>
      <xdr:nvPicPr>
        <xdr:cNvPr id="0" name="image3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90575" cy="638175"/>
    <xdr:pic>
      <xdr:nvPicPr>
        <xdr:cNvPr id="0" name="image6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90575" cy="638175"/>
    <xdr:pic>
      <xdr:nvPicPr>
        <xdr:cNvPr id="0" name="image4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90575" cy="638175"/>
    <xdr:pic>
      <xdr:nvPicPr>
        <xdr:cNvPr id="0" name="image5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790575" cy="638175"/>
    <xdr:pic>
      <xdr:nvPicPr>
        <xdr:cNvPr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90575" cy="638175"/>
    <xdr:pic>
      <xdr:nvPicPr>
        <xdr:cNvPr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790575" cy="638175"/>
    <xdr:pic>
      <xdr:nvPicPr>
        <xdr:cNvPr id="0" name="image2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790575" cy="638175"/>
    <xdr:pic>
      <xdr:nvPicPr>
        <xdr:cNvPr id="0" name="image3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790575" cy="638175"/>
    <xdr:pic>
      <xdr:nvPicPr>
        <xdr:cNvPr id="0" name="image4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790575" cy="638175"/>
    <xdr:pic>
      <xdr:nvPicPr>
        <xdr:cNvPr id="0" name="image7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790575" cy="638175"/>
    <xdr:pic>
      <xdr:nvPicPr>
        <xdr:cNvPr id="0" name="image8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790575" cy="638175"/>
    <xdr:pic>
      <xdr:nvPicPr>
        <xdr:cNvPr id="0" name="image3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790575" cy="63817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790575" cy="638175"/>
    <xdr:pic>
      <xdr:nvPicPr>
        <xdr:cNvPr id="0" name="image2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790575" cy="638175"/>
    <xdr:pic>
      <xdr:nvPicPr>
        <xdr:cNvPr id="0" name="image2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790575" cy="638175"/>
    <xdr:pic>
      <xdr:nvPicPr>
        <xdr:cNvPr id="0" name="image3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790575" cy="638175"/>
    <xdr:pic>
      <xdr:nvPicPr>
        <xdr:cNvPr id="0" name="image3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790575" cy="638175"/>
    <xdr:pic>
      <xdr:nvPicPr>
        <xdr:cNvPr id="0" name="image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790575" cy="638175"/>
    <xdr:pic>
      <xdr:nvPicPr>
        <xdr:cNvPr id="0" name="image2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790575" cy="638175"/>
    <xdr:pic>
      <xdr:nvPicPr>
        <xdr:cNvPr id="0" name="image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790575" cy="638175"/>
    <xdr:pic>
      <xdr:nvPicPr>
        <xdr:cNvPr id="0" name="image1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790575" cy="638175"/>
    <xdr:pic>
      <xdr:nvPicPr>
        <xdr:cNvPr id="0" name="image2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90575" cy="638175"/>
    <xdr:pic>
      <xdr:nvPicPr>
        <xdr:cNvPr id="0" name="image2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790575" cy="638175"/>
    <xdr:pic>
      <xdr:nvPicPr>
        <xdr:cNvPr id="0" name="image3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857250" cy="638175"/>
    <xdr:pic>
      <xdr:nvPicPr>
        <xdr:cNvPr id="0" name="image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790575" cy="638175"/>
    <xdr:pic>
      <xdr:nvPicPr>
        <xdr:cNvPr id="0" name="image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790575" cy="638175"/>
    <xdr:pic>
      <xdr:nvPicPr>
        <xdr:cNvPr id="0" name="image3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790575" cy="638175"/>
    <xdr:pic>
      <xdr:nvPicPr>
        <xdr:cNvPr id="0" name="image2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685800" cy="638175"/>
    <xdr:pic>
      <xdr:nvPicPr>
        <xdr:cNvPr id="0" name="image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790575" cy="638175"/>
    <xdr:pic>
      <xdr:nvPicPr>
        <xdr:cNvPr id="0" name="image32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790575" cy="638175"/>
    <xdr:pic>
      <xdr:nvPicPr>
        <xdr:cNvPr id="0" name="image2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790575" cy="638175"/>
    <xdr:pic>
      <xdr:nvPicPr>
        <xdr:cNvPr id="0" name="image3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790575" cy="638175"/>
    <xdr:pic>
      <xdr:nvPicPr>
        <xdr:cNvPr id="0" name="image4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790575" cy="638175"/>
    <xdr:pic>
      <xdr:nvPicPr>
        <xdr:cNvPr id="0" name="image1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790575" cy="638175"/>
    <xdr:pic>
      <xdr:nvPicPr>
        <xdr:cNvPr id="0" name="image1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790575" cy="638175"/>
    <xdr:pic>
      <xdr:nvPicPr>
        <xdr:cNvPr id="0" name="image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790575" cy="638175"/>
    <xdr:pic>
      <xdr:nvPicPr>
        <xdr:cNvPr id="0" name="image4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790575" cy="638175"/>
    <xdr:pic>
      <xdr:nvPicPr>
        <xdr:cNvPr id="0" name="image1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1" t="s">
        <v>16</v>
      </c>
      <c r="R1" s="5"/>
      <c r="S1" s="5"/>
      <c r="T1" s="5"/>
    </row>
    <row r="2" ht="39.75" customHeight="1">
      <c r="A2" s="6">
        <v>53.0</v>
      </c>
      <c r="B2" s="6">
        <v>597.0</v>
      </c>
      <c r="D2" s="6">
        <v>1.0</v>
      </c>
      <c r="F2" s="7"/>
      <c r="G2" s="7">
        <v>0.003</v>
      </c>
      <c r="H2" s="7">
        <v>36.3</v>
      </c>
      <c r="I2" s="7">
        <v>10.2</v>
      </c>
      <c r="J2" s="7">
        <v>8.6</v>
      </c>
      <c r="K2" s="7">
        <v>0.332</v>
      </c>
      <c r="L2" s="7">
        <v>1.085</v>
      </c>
      <c r="M2" s="7">
        <v>0.922</v>
      </c>
      <c r="N2" s="7">
        <v>0.571</v>
      </c>
      <c r="O2" s="6">
        <v>154.0</v>
      </c>
      <c r="P2" s="6">
        <v>95.0</v>
      </c>
      <c r="Q2" s="7">
        <f t="shared" ref="Q2:Q14" si="1">O2/P2</f>
        <v>1.621052632</v>
      </c>
    </row>
    <row r="3" ht="39.75" customHeight="1">
      <c r="A3" s="6">
        <v>53.0</v>
      </c>
      <c r="B3" s="6">
        <v>609.0</v>
      </c>
      <c r="D3" s="6">
        <v>1.0</v>
      </c>
      <c r="E3" s="6">
        <v>1.0</v>
      </c>
      <c r="F3" s="7"/>
      <c r="G3" s="7">
        <v>0.004</v>
      </c>
      <c r="H3" s="7">
        <v>48.699999999999996</v>
      </c>
      <c r="I3" s="7">
        <v>11.700000000000001</v>
      </c>
      <c r="J3" s="7">
        <v>13.3</v>
      </c>
      <c r="K3" s="7">
        <v>0.223</v>
      </c>
      <c r="L3" s="7">
        <v>1.963</v>
      </c>
      <c r="M3" s="7">
        <v>0.509</v>
      </c>
      <c r="N3" s="7">
        <v>0.467</v>
      </c>
      <c r="O3" s="6">
        <v>102.0</v>
      </c>
      <c r="P3" s="6">
        <v>65.0</v>
      </c>
      <c r="Q3" s="7">
        <f t="shared" si="1"/>
        <v>1.569230769</v>
      </c>
    </row>
    <row r="4" ht="39.75" customHeight="1">
      <c r="A4" s="6">
        <v>53.0</v>
      </c>
      <c r="B4" s="6">
        <v>607.0</v>
      </c>
      <c r="D4" s="6">
        <v>1.0</v>
      </c>
      <c r="F4" s="7"/>
      <c r="G4" s="7">
        <v>0.005</v>
      </c>
      <c r="H4" s="7">
        <v>39.2</v>
      </c>
      <c r="I4" s="7">
        <v>10.5</v>
      </c>
      <c r="J4" s="7">
        <v>10.7</v>
      </c>
      <c r="K4" s="7">
        <v>0.444</v>
      </c>
      <c r="L4" s="7">
        <v>1.282</v>
      </c>
      <c r="M4" s="7">
        <v>0.78</v>
      </c>
      <c r="N4" s="7">
        <v>0.697</v>
      </c>
      <c r="O4" s="6">
        <v>139.0</v>
      </c>
      <c r="P4" s="6">
        <v>106.0</v>
      </c>
      <c r="Q4" s="7">
        <f t="shared" si="1"/>
        <v>1.311320755</v>
      </c>
    </row>
    <row r="5" ht="39.75" customHeight="1">
      <c r="A5" s="6">
        <v>53.0</v>
      </c>
      <c r="B5" s="6">
        <v>596.0</v>
      </c>
      <c r="D5" s="6">
        <v>1.0</v>
      </c>
      <c r="E5" s="6">
        <v>1.0</v>
      </c>
      <c r="F5" s="7"/>
      <c r="G5" s="7">
        <v>0.01</v>
      </c>
      <c r="H5" s="7">
        <v>59.4</v>
      </c>
      <c r="I5" s="7">
        <v>15.0</v>
      </c>
      <c r="J5" s="7">
        <v>16.0</v>
      </c>
      <c r="K5" s="7">
        <v>0.348</v>
      </c>
      <c r="L5" s="7">
        <v>1.4</v>
      </c>
      <c r="M5" s="7">
        <v>0.714</v>
      </c>
      <c r="N5" s="7">
        <v>0.653</v>
      </c>
      <c r="O5" s="6">
        <v>118.0</v>
      </c>
      <c r="P5" s="6">
        <v>90.0</v>
      </c>
      <c r="Q5" s="7">
        <f t="shared" si="1"/>
        <v>1.311111111</v>
      </c>
    </row>
    <row r="6" ht="39.75" customHeight="1">
      <c r="A6" s="6">
        <v>53.0</v>
      </c>
      <c r="B6" s="6">
        <v>614.0</v>
      </c>
      <c r="D6" s="6">
        <v>1.0</v>
      </c>
      <c r="F6" s="7"/>
      <c r="G6" s="7">
        <v>0.004</v>
      </c>
      <c r="H6" s="7">
        <v>36.1</v>
      </c>
      <c r="I6" s="7">
        <v>9.6</v>
      </c>
      <c r="J6" s="7">
        <v>10.0</v>
      </c>
      <c r="K6" s="7">
        <v>0.413</v>
      </c>
      <c r="L6" s="7">
        <v>1.127</v>
      </c>
      <c r="M6" s="7">
        <v>0.887</v>
      </c>
      <c r="N6" s="7">
        <v>0.65</v>
      </c>
      <c r="O6" s="6">
        <v>194.0</v>
      </c>
      <c r="P6" s="6">
        <v>156.0</v>
      </c>
      <c r="Q6" s="7">
        <f t="shared" si="1"/>
        <v>1.243589744</v>
      </c>
    </row>
    <row r="7" ht="39.75" customHeight="1">
      <c r="A7" s="6">
        <v>53.0</v>
      </c>
      <c r="B7" s="6">
        <v>626.0</v>
      </c>
      <c r="D7" s="6">
        <v>1.0</v>
      </c>
      <c r="F7" s="7"/>
      <c r="G7" s="7">
        <v>0.003</v>
      </c>
      <c r="H7" s="7">
        <v>35.199999999999996</v>
      </c>
      <c r="I7" s="7">
        <v>8.799999999999999</v>
      </c>
      <c r="J7" s="7">
        <v>10.9</v>
      </c>
      <c r="K7" s="7">
        <v>0.347</v>
      </c>
      <c r="L7" s="7">
        <v>1.713</v>
      </c>
      <c r="M7" s="7">
        <v>0.584</v>
      </c>
      <c r="N7" s="7">
        <v>0.57</v>
      </c>
      <c r="O7" s="6">
        <v>111.0</v>
      </c>
      <c r="P7" s="6">
        <v>93.0</v>
      </c>
      <c r="Q7" s="7">
        <f t="shared" si="1"/>
        <v>1.193548387</v>
      </c>
    </row>
    <row r="8" ht="39.75" customHeight="1">
      <c r="A8" s="6">
        <v>53.0</v>
      </c>
      <c r="B8" s="6">
        <v>601.0</v>
      </c>
      <c r="D8" s="6">
        <v>1.0</v>
      </c>
      <c r="E8" s="6">
        <v>1.0</v>
      </c>
      <c r="F8" s="7"/>
      <c r="G8" s="7">
        <v>0.012</v>
      </c>
      <c r="H8" s="7">
        <v>64.3</v>
      </c>
      <c r="I8" s="7">
        <v>16.0</v>
      </c>
      <c r="J8" s="7">
        <v>18.0</v>
      </c>
      <c r="K8" s="7">
        <v>0.357</v>
      </c>
      <c r="L8" s="7">
        <v>1.366</v>
      </c>
      <c r="M8" s="7">
        <v>0.732</v>
      </c>
      <c r="N8" s="7">
        <v>0.666</v>
      </c>
      <c r="O8" s="6">
        <v>140.0</v>
      </c>
      <c r="P8" s="6">
        <v>119.0</v>
      </c>
      <c r="Q8" s="7">
        <f t="shared" si="1"/>
        <v>1.176470588</v>
      </c>
    </row>
    <row r="9" ht="39.75" customHeight="1">
      <c r="A9" s="6">
        <v>53.0</v>
      </c>
      <c r="B9" s="6">
        <v>720.0</v>
      </c>
      <c r="D9" s="6">
        <v>1.0</v>
      </c>
      <c r="F9" s="7"/>
      <c r="G9" s="7">
        <v>0.002</v>
      </c>
      <c r="H9" s="7">
        <v>24.5</v>
      </c>
      <c r="I9" s="7">
        <v>7.3999999999999995</v>
      </c>
      <c r="J9" s="7">
        <v>7.000000000000001</v>
      </c>
      <c r="K9" s="7">
        <v>0.476</v>
      </c>
      <c r="L9" s="7">
        <v>1.139</v>
      </c>
      <c r="M9" s="7">
        <v>0.878</v>
      </c>
      <c r="N9" s="7">
        <v>0.678</v>
      </c>
      <c r="O9" s="6">
        <v>148.0</v>
      </c>
      <c r="P9" s="6">
        <v>128.0</v>
      </c>
      <c r="Q9" s="7">
        <f t="shared" si="1"/>
        <v>1.15625</v>
      </c>
    </row>
    <row r="10" ht="39.75" customHeight="1">
      <c r="A10" s="6">
        <v>53.0</v>
      </c>
      <c r="B10" s="6">
        <v>595.0</v>
      </c>
      <c r="D10" s="6">
        <v>1.0</v>
      </c>
      <c r="F10" s="7"/>
      <c r="G10" s="7">
        <v>0.004</v>
      </c>
      <c r="H10" s="7">
        <v>33.6</v>
      </c>
      <c r="I10" s="7">
        <v>10.2</v>
      </c>
      <c r="J10" s="7">
        <v>8.6</v>
      </c>
      <c r="K10" s="7">
        <v>0.43</v>
      </c>
      <c r="L10" s="7">
        <v>1.135</v>
      </c>
      <c r="M10" s="7">
        <v>0.881</v>
      </c>
      <c r="N10" s="7">
        <v>0.66</v>
      </c>
      <c r="O10" s="6">
        <v>164.0</v>
      </c>
      <c r="P10" s="6">
        <v>143.0</v>
      </c>
      <c r="Q10" s="7">
        <f t="shared" si="1"/>
        <v>1.146853147</v>
      </c>
    </row>
    <row r="11" ht="39.75" customHeight="1">
      <c r="A11" s="6">
        <v>53.0</v>
      </c>
      <c r="B11" s="6">
        <v>628.0</v>
      </c>
      <c r="D11" s="6">
        <v>1.0</v>
      </c>
      <c r="F11" s="7"/>
      <c r="G11" s="7">
        <v>0.004</v>
      </c>
      <c r="H11" s="7">
        <v>29.4</v>
      </c>
      <c r="I11" s="7">
        <v>9.0</v>
      </c>
      <c r="J11" s="7">
        <v>8.200000000000001</v>
      </c>
      <c r="K11" s="7">
        <v>0.523</v>
      </c>
      <c r="L11" s="7">
        <v>1.32</v>
      </c>
      <c r="M11" s="7">
        <v>0.758</v>
      </c>
      <c r="N11" s="7">
        <v>0.731</v>
      </c>
      <c r="O11" s="6">
        <v>155.0</v>
      </c>
      <c r="P11" s="6">
        <v>143.0</v>
      </c>
      <c r="Q11" s="7">
        <f t="shared" si="1"/>
        <v>1.083916084</v>
      </c>
    </row>
    <row r="12" ht="39.75" customHeight="1">
      <c r="A12" s="6">
        <v>53.0</v>
      </c>
      <c r="B12" s="6">
        <v>637.0</v>
      </c>
      <c r="D12" s="6">
        <v>1.0</v>
      </c>
      <c r="F12" s="7"/>
      <c r="G12" s="7">
        <v>0.003</v>
      </c>
      <c r="H12" s="7">
        <v>31.7</v>
      </c>
      <c r="I12" s="7">
        <v>8.200000000000001</v>
      </c>
      <c r="J12" s="7">
        <v>10.2</v>
      </c>
      <c r="K12" s="7">
        <v>0.401</v>
      </c>
      <c r="L12" s="7">
        <v>1.672</v>
      </c>
      <c r="M12" s="7">
        <v>0.598</v>
      </c>
      <c r="N12" s="7">
        <v>0.619</v>
      </c>
      <c r="O12" s="6">
        <v>156.0</v>
      </c>
      <c r="P12" s="6">
        <v>144.0</v>
      </c>
      <c r="Q12" s="7">
        <f t="shared" si="1"/>
        <v>1.083333333</v>
      </c>
    </row>
    <row r="13" ht="39.75" customHeight="1">
      <c r="A13" s="6">
        <v>53.0</v>
      </c>
      <c r="B13" s="6">
        <v>616.0</v>
      </c>
      <c r="D13" s="6">
        <v>1.0</v>
      </c>
      <c r="F13" s="7"/>
      <c r="G13" s="7">
        <v>0.003</v>
      </c>
      <c r="H13" s="7">
        <v>25.1</v>
      </c>
      <c r="I13" s="7">
        <v>6.6000000000000005</v>
      </c>
      <c r="J13" s="7">
        <v>7.8</v>
      </c>
      <c r="K13" s="7">
        <v>0.621</v>
      </c>
      <c r="L13" s="7">
        <v>1.311</v>
      </c>
      <c r="M13" s="7">
        <v>0.763</v>
      </c>
      <c r="N13" s="7">
        <v>0.812</v>
      </c>
      <c r="O13" s="6">
        <v>180.0</v>
      </c>
      <c r="P13" s="6">
        <v>173.0</v>
      </c>
      <c r="Q13" s="7">
        <f t="shared" si="1"/>
        <v>1.040462428</v>
      </c>
    </row>
    <row r="14" ht="39.75" customHeight="1">
      <c r="A14" s="6">
        <v>53.0</v>
      </c>
      <c r="B14" s="6">
        <v>619.0</v>
      </c>
      <c r="D14" s="6">
        <v>1.0</v>
      </c>
      <c r="F14" s="7"/>
      <c r="G14" s="7">
        <v>0.005</v>
      </c>
      <c r="H14" s="7">
        <v>42.699999999999996</v>
      </c>
      <c r="I14" s="7">
        <v>11.3</v>
      </c>
      <c r="J14" s="7">
        <v>13.5</v>
      </c>
      <c r="K14" s="7">
        <v>0.348</v>
      </c>
      <c r="L14" s="7">
        <v>1.749</v>
      </c>
      <c r="M14" s="7">
        <v>0.572</v>
      </c>
      <c r="N14" s="7">
        <v>0.554</v>
      </c>
      <c r="O14" s="6">
        <v>94.0</v>
      </c>
      <c r="P14" s="6">
        <v>94.0</v>
      </c>
      <c r="Q14" s="7">
        <f t="shared" si="1"/>
        <v>1</v>
      </c>
    </row>
    <row r="15" ht="39.75" customHeight="1">
      <c r="A15" s="6">
        <v>53.0</v>
      </c>
      <c r="B15" s="6">
        <v>600.0</v>
      </c>
      <c r="C15" s="6" t="s">
        <v>17</v>
      </c>
      <c r="E15" s="6">
        <v>1.0</v>
      </c>
      <c r="F15" s="7"/>
      <c r="G15" s="7">
        <v>0.004</v>
      </c>
      <c r="H15" s="7">
        <v>37.9</v>
      </c>
      <c r="I15" s="7">
        <v>5.7</v>
      </c>
      <c r="J15" s="7">
        <v>14.499999999999998</v>
      </c>
      <c r="K15" s="7">
        <v>0.36</v>
      </c>
      <c r="L15" s="7">
        <v>3.481</v>
      </c>
      <c r="M15" s="7">
        <v>0.287</v>
      </c>
      <c r="N15" s="7">
        <v>0.691</v>
      </c>
      <c r="S15" s="7">
        <f>average(Q2:Q14)</f>
        <v>1.225933767</v>
      </c>
    </row>
    <row r="16" ht="39.75" customHeight="1">
      <c r="A16" s="6">
        <v>53.0</v>
      </c>
      <c r="B16" s="6">
        <v>602.0</v>
      </c>
      <c r="F16" s="7"/>
      <c r="G16" s="7">
        <v>0.005</v>
      </c>
      <c r="H16" s="7">
        <v>39.900000000000006</v>
      </c>
      <c r="I16" s="7">
        <v>9.0</v>
      </c>
      <c r="J16" s="7">
        <v>13.5</v>
      </c>
      <c r="K16" s="7">
        <v>0.355</v>
      </c>
      <c r="L16" s="7">
        <v>2.338</v>
      </c>
      <c r="M16" s="7">
        <v>0.428</v>
      </c>
      <c r="N16" s="7">
        <v>0.586</v>
      </c>
    </row>
    <row r="17" ht="39.75" customHeight="1">
      <c r="A17" s="6">
        <v>53.0</v>
      </c>
      <c r="B17" s="6">
        <v>603.0</v>
      </c>
      <c r="F17" s="7"/>
      <c r="G17" s="7">
        <v>0.003</v>
      </c>
      <c r="H17" s="7">
        <v>27.900000000000002</v>
      </c>
      <c r="I17" s="7">
        <v>7.000000000000001</v>
      </c>
      <c r="J17" s="7">
        <v>9.0</v>
      </c>
      <c r="K17" s="7">
        <v>0.541</v>
      </c>
      <c r="L17" s="7">
        <v>1.812</v>
      </c>
      <c r="M17" s="7">
        <v>0.552</v>
      </c>
      <c r="N17" s="7">
        <v>0.745</v>
      </c>
    </row>
    <row r="18" ht="39.75" customHeight="1">
      <c r="A18" s="6">
        <v>53.0</v>
      </c>
      <c r="B18" s="6">
        <v>604.0</v>
      </c>
      <c r="F18" s="7"/>
      <c r="G18" s="7">
        <v>0.005</v>
      </c>
      <c r="H18" s="7">
        <v>29.2</v>
      </c>
      <c r="I18" s="7">
        <v>6.1</v>
      </c>
      <c r="J18" s="7">
        <v>10.7</v>
      </c>
      <c r="K18" s="7">
        <v>0.68</v>
      </c>
      <c r="L18" s="7">
        <v>2.091</v>
      </c>
      <c r="M18" s="7">
        <v>0.478</v>
      </c>
      <c r="N18" s="7">
        <v>0.923</v>
      </c>
    </row>
    <row r="19" ht="39.75" customHeight="1">
      <c r="A19" s="6">
        <v>53.0</v>
      </c>
      <c r="B19" s="6">
        <v>605.0</v>
      </c>
      <c r="F19" s="7"/>
      <c r="G19" s="7">
        <v>0.003</v>
      </c>
      <c r="H19" s="7">
        <v>28.4</v>
      </c>
      <c r="I19" s="7">
        <v>7.3999999999999995</v>
      </c>
      <c r="J19" s="7">
        <v>9.2</v>
      </c>
      <c r="K19" s="7">
        <v>0.508</v>
      </c>
      <c r="L19" s="7">
        <v>1.572</v>
      </c>
      <c r="M19" s="7">
        <v>0.636</v>
      </c>
      <c r="N19" s="7">
        <v>0.715</v>
      </c>
    </row>
    <row r="20" ht="39.75" customHeight="1">
      <c r="A20" s="6">
        <v>53.0</v>
      </c>
      <c r="B20" s="6">
        <v>606.0</v>
      </c>
      <c r="F20" s="7"/>
      <c r="G20" s="7">
        <v>0.007</v>
      </c>
      <c r="H20" s="7">
        <v>40.5</v>
      </c>
      <c r="I20" s="7">
        <v>9.4</v>
      </c>
      <c r="J20" s="7">
        <v>13.900000000000002</v>
      </c>
      <c r="K20" s="7">
        <v>0.529</v>
      </c>
      <c r="L20" s="7">
        <v>2.165</v>
      </c>
      <c r="M20" s="7">
        <v>0.462</v>
      </c>
      <c r="N20" s="7">
        <v>0.775</v>
      </c>
      <c r="O20" s="8"/>
      <c r="P20" s="8"/>
    </row>
    <row r="21" ht="39.75" customHeight="1">
      <c r="A21" s="6">
        <v>53.0</v>
      </c>
      <c r="B21" s="6">
        <v>608.0</v>
      </c>
      <c r="F21" s="7"/>
      <c r="G21" s="7">
        <v>0.003</v>
      </c>
      <c r="H21" s="7">
        <v>26.0</v>
      </c>
      <c r="I21" s="7">
        <v>7.6</v>
      </c>
      <c r="J21" s="7">
        <v>8.200000000000001</v>
      </c>
      <c r="K21" s="7">
        <v>0.575</v>
      </c>
      <c r="L21" s="7">
        <v>1.396</v>
      </c>
      <c r="M21" s="7">
        <v>0.716</v>
      </c>
      <c r="N21" s="7">
        <v>0.756</v>
      </c>
    </row>
    <row r="22" ht="39.75" customHeight="1">
      <c r="A22" s="6">
        <v>53.0</v>
      </c>
      <c r="B22" s="6">
        <v>610.0</v>
      </c>
      <c r="F22" s="7"/>
      <c r="G22" s="7">
        <v>0.01</v>
      </c>
      <c r="H22" s="7">
        <v>55.7</v>
      </c>
      <c r="I22" s="7">
        <v>11.700000000000001</v>
      </c>
      <c r="J22" s="7">
        <v>19.900000000000002</v>
      </c>
      <c r="K22" s="7">
        <v>0.391</v>
      </c>
      <c r="L22" s="7">
        <v>2.581</v>
      </c>
      <c r="M22" s="7">
        <v>0.387</v>
      </c>
      <c r="N22" s="7">
        <v>0.658</v>
      </c>
    </row>
    <row r="23" ht="39.75" customHeight="1">
      <c r="A23" s="6">
        <v>53.0</v>
      </c>
      <c r="B23" s="6">
        <v>611.0</v>
      </c>
      <c r="E23" s="6">
        <v>1.0</v>
      </c>
      <c r="F23" s="7"/>
      <c r="G23" s="7">
        <v>0.009</v>
      </c>
      <c r="H23" s="7">
        <v>79.4</v>
      </c>
      <c r="I23" s="7">
        <v>10.0</v>
      </c>
      <c r="J23" s="7">
        <v>30.099999999999998</v>
      </c>
      <c r="K23" s="7">
        <v>0.183</v>
      </c>
      <c r="L23" s="7">
        <v>5.372</v>
      </c>
      <c r="M23" s="7">
        <v>0.186</v>
      </c>
      <c r="N23" s="7">
        <v>0.5</v>
      </c>
    </row>
    <row r="24" ht="39.75" customHeight="1">
      <c r="A24" s="6">
        <v>53.0</v>
      </c>
      <c r="B24" s="6">
        <v>612.0</v>
      </c>
      <c r="F24" s="7"/>
      <c r="G24" s="7">
        <v>0.003</v>
      </c>
      <c r="H24" s="7">
        <v>24.099999999999998</v>
      </c>
      <c r="I24" s="7">
        <v>6.800000000000001</v>
      </c>
      <c r="J24" s="7">
        <v>7.3999999999999995</v>
      </c>
      <c r="K24" s="7">
        <v>0.599</v>
      </c>
      <c r="L24" s="7">
        <v>1.337</v>
      </c>
      <c r="M24" s="7">
        <v>0.748</v>
      </c>
      <c r="N24" s="7">
        <v>0.773</v>
      </c>
    </row>
    <row r="25" ht="39.75" customHeight="1">
      <c r="A25" s="6">
        <v>53.0</v>
      </c>
      <c r="B25" s="6">
        <v>613.0</v>
      </c>
      <c r="F25" s="7"/>
      <c r="G25" s="7">
        <v>0.009</v>
      </c>
      <c r="H25" s="7">
        <v>54.0</v>
      </c>
      <c r="I25" s="7">
        <v>13.900000000000002</v>
      </c>
      <c r="J25" s="7">
        <v>17.2</v>
      </c>
      <c r="K25" s="7">
        <v>0.379</v>
      </c>
      <c r="L25" s="7">
        <v>1.907</v>
      </c>
      <c r="M25" s="7">
        <v>0.525</v>
      </c>
      <c r="N25" s="7">
        <v>0.622</v>
      </c>
    </row>
    <row r="26" ht="39.75" customHeight="1">
      <c r="A26" s="6">
        <v>53.0</v>
      </c>
      <c r="B26" s="6">
        <v>615.0</v>
      </c>
      <c r="F26" s="7"/>
      <c r="G26" s="7">
        <v>0.005</v>
      </c>
      <c r="H26" s="7">
        <v>40.6</v>
      </c>
      <c r="I26" s="7">
        <v>9.8</v>
      </c>
      <c r="J26" s="7">
        <v>13.5</v>
      </c>
      <c r="K26" s="7">
        <v>0.409</v>
      </c>
      <c r="L26" s="7">
        <v>2.346</v>
      </c>
      <c r="M26" s="7">
        <v>0.426</v>
      </c>
      <c r="N26" s="7">
        <v>0.649</v>
      </c>
    </row>
    <row r="27" ht="39.75" customHeight="1">
      <c r="A27" s="6">
        <v>53.0</v>
      </c>
      <c r="B27" s="6">
        <v>617.0</v>
      </c>
      <c r="F27" s="7"/>
      <c r="G27" s="7">
        <v>0.003</v>
      </c>
      <c r="H27" s="7">
        <v>27.3</v>
      </c>
      <c r="I27" s="7">
        <v>7.000000000000001</v>
      </c>
      <c r="J27" s="7">
        <v>9.0</v>
      </c>
      <c r="K27" s="7">
        <v>0.52</v>
      </c>
      <c r="L27" s="7">
        <v>1.53</v>
      </c>
      <c r="M27" s="7">
        <v>0.654</v>
      </c>
      <c r="N27" s="7">
        <v>0.726</v>
      </c>
    </row>
    <row r="28" ht="39.75" customHeight="1">
      <c r="A28" s="6">
        <v>53.0</v>
      </c>
      <c r="B28" s="6">
        <v>618.0</v>
      </c>
      <c r="E28" s="6">
        <v>1.0</v>
      </c>
      <c r="F28" s="7"/>
      <c r="G28" s="7">
        <v>0.004</v>
      </c>
      <c r="H28" s="7">
        <v>38.9</v>
      </c>
      <c r="I28" s="7">
        <v>8.6</v>
      </c>
      <c r="J28" s="7">
        <v>12.7</v>
      </c>
      <c r="K28" s="7">
        <v>0.345</v>
      </c>
      <c r="L28" s="7">
        <v>2.346</v>
      </c>
      <c r="M28" s="7">
        <v>0.426</v>
      </c>
      <c r="N28" s="7">
        <v>0.621</v>
      </c>
    </row>
    <row r="29" ht="39.75" customHeight="1">
      <c r="A29" s="6">
        <v>53.0</v>
      </c>
      <c r="B29" s="6">
        <v>620.0</v>
      </c>
      <c r="F29" s="7"/>
      <c r="G29" s="7">
        <v>0.005</v>
      </c>
      <c r="H29" s="7">
        <v>29.9</v>
      </c>
      <c r="I29" s="7">
        <v>8.4</v>
      </c>
      <c r="J29" s="7">
        <v>9.4</v>
      </c>
      <c r="K29" s="7">
        <v>0.639</v>
      </c>
      <c r="L29" s="7">
        <v>1.23</v>
      </c>
      <c r="M29" s="7">
        <v>0.813</v>
      </c>
      <c r="N29" s="7">
        <v>0.819</v>
      </c>
    </row>
    <row r="30" ht="39.75" customHeight="1">
      <c r="A30" s="6">
        <v>53.0</v>
      </c>
      <c r="B30" s="6">
        <v>621.0</v>
      </c>
      <c r="F30" s="7"/>
      <c r="G30" s="7">
        <v>0.003</v>
      </c>
      <c r="H30" s="7">
        <v>26.200000000000003</v>
      </c>
      <c r="I30" s="7">
        <v>7.6</v>
      </c>
      <c r="J30" s="7">
        <v>7.8</v>
      </c>
      <c r="K30" s="7">
        <v>0.489</v>
      </c>
      <c r="L30" s="7">
        <v>1.542</v>
      </c>
      <c r="M30" s="7">
        <v>0.649</v>
      </c>
      <c r="N30" s="7">
        <v>0.707</v>
      </c>
    </row>
    <row r="31" ht="39.75" customHeight="1">
      <c r="A31" s="6">
        <v>53.0</v>
      </c>
      <c r="B31" s="6">
        <v>622.0</v>
      </c>
      <c r="F31" s="7"/>
      <c r="G31" s="7">
        <v>0.002</v>
      </c>
      <c r="H31" s="7">
        <v>19.6</v>
      </c>
      <c r="I31" s="7">
        <v>6.1</v>
      </c>
      <c r="J31" s="7">
        <v>5.3</v>
      </c>
      <c r="K31" s="7">
        <v>0.568</v>
      </c>
      <c r="L31" s="7">
        <v>1.234</v>
      </c>
      <c r="M31" s="7">
        <v>0.811</v>
      </c>
      <c r="N31" s="7">
        <v>0.764</v>
      </c>
    </row>
    <row r="32" ht="39.75" customHeight="1">
      <c r="A32" s="6">
        <v>53.0</v>
      </c>
      <c r="B32" s="6">
        <v>623.0</v>
      </c>
      <c r="F32" s="7"/>
      <c r="G32" s="7">
        <v>0.002</v>
      </c>
      <c r="H32" s="7">
        <v>21.7</v>
      </c>
      <c r="I32" s="7">
        <v>7.6</v>
      </c>
      <c r="J32" s="7">
        <v>5.5</v>
      </c>
      <c r="K32" s="7">
        <v>0.609</v>
      </c>
      <c r="L32" s="7">
        <v>1.218</v>
      </c>
      <c r="M32" s="7">
        <v>0.821</v>
      </c>
      <c r="N32" s="7">
        <v>0.779</v>
      </c>
    </row>
    <row r="33" ht="39.75" customHeight="1">
      <c r="A33" s="6">
        <v>53.0</v>
      </c>
      <c r="B33" s="6">
        <v>624.0</v>
      </c>
      <c r="F33" s="7"/>
      <c r="G33" s="7">
        <v>0.003</v>
      </c>
      <c r="H33" s="7">
        <v>27.3</v>
      </c>
      <c r="I33" s="7">
        <v>8.200000000000001</v>
      </c>
      <c r="J33" s="7">
        <v>8.0</v>
      </c>
      <c r="K33" s="7">
        <v>0.514</v>
      </c>
      <c r="L33" s="7">
        <v>1.323</v>
      </c>
      <c r="M33" s="7">
        <v>0.756</v>
      </c>
      <c r="N33" s="7">
        <v>0.715</v>
      </c>
    </row>
    <row r="34" ht="39.75" customHeight="1">
      <c r="A34" s="6">
        <v>53.0</v>
      </c>
      <c r="B34" s="6">
        <v>625.0</v>
      </c>
      <c r="F34" s="7"/>
      <c r="G34" s="7">
        <v>0.003</v>
      </c>
      <c r="H34" s="7">
        <v>27.400000000000002</v>
      </c>
      <c r="I34" s="7">
        <v>6.4</v>
      </c>
      <c r="J34" s="7">
        <v>9.6</v>
      </c>
      <c r="K34" s="7">
        <v>0.469</v>
      </c>
      <c r="L34" s="7">
        <v>1.984</v>
      </c>
      <c r="M34" s="7">
        <v>0.504</v>
      </c>
      <c r="N34" s="7">
        <v>0.73</v>
      </c>
    </row>
    <row r="35" ht="39.75" customHeight="1">
      <c r="A35" s="6">
        <v>53.0</v>
      </c>
      <c r="B35" s="6">
        <v>627.0</v>
      </c>
      <c r="D35" s="6"/>
      <c r="F35" s="7"/>
      <c r="G35" s="7">
        <v>0.003</v>
      </c>
      <c r="H35" s="7">
        <v>29.299999999999997</v>
      </c>
      <c r="I35" s="7">
        <v>8.0</v>
      </c>
      <c r="J35" s="7">
        <v>8.4</v>
      </c>
      <c r="K35" s="7">
        <v>0.485</v>
      </c>
      <c r="L35" s="7">
        <v>1.397</v>
      </c>
      <c r="M35" s="7">
        <v>0.716</v>
      </c>
      <c r="N35" s="7">
        <v>0.705</v>
      </c>
    </row>
    <row r="36" ht="39.75" customHeight="1">
      <c r="A36" s="6">
        <v>53.0</v>
      </c>
      <c r="B36" s="6">
        <v>629.0</v>
      </c>
      <c r="F36" s="7"/>
      <c r="G36" s="7">
        <v>0.003</v>
      </c>
      <c r="H36" s="7">
        <v>28.000000000000004</v>
      </c>
      <c r="I36" s="7">
        <v>7.199999999999999</v>
      </c>
      <c r="J36" s="7">
        <v>9.0</v>
      </c>
      <c r="K36" s="7">
        <v>0.479</v>
      </c>
      <c r="L36" s="7">
        <v>1.663</v>
      </c>
      <c r="M36" s="7">
        <v>0.601</v>
      </c>
      <c r="N36" s="7">
        <v>0.708</v>
      </c>
    </row>
    <row r="37" ht="39.75" customHeight="1">
      <c r="A37" s="6">
        <v>53.0</v>
      </c>
      <c r="B37" s="6">
        <v>630.0</v>
      </c>
      <c r="F37" s="7"/>
      <c r="G37" s="7">
        <v>0.002</v>
      </c>
      <c r="H37" s="7">
        <v>17.4</v>
      </c>
      <c r="I37" s="7">
        <v>5.3</v>
      </c>
      <c r="J37" s="7">
        <v>5.3</v>
      </c>
      <c r="K37" s="7">
        <v>0.829</v>
      </c>
      <c r="L37" s="7">
        <v>1.081</v>
      </c>
      <c r="M37" s="7">
        <v>0.925</v>
      </c>
      <c r="N37" s="7">
        <v>0.928</v>
      </c>
    </row>
    <row r="38" ht="39.75" customHeight="1">
      <c r="A38" s="6">
        <v>53.0</v>
      </c>
      <c r="B38" s="6">
        <v>631.0</v>
      </c>
      <c r="F38" s="7"/>
      <c r="G38" s="7">
        <v>0.007</v>
      </c>
      <c r="H38" s="7">
        <v>43.8</v>
      </c>
      <c r="I38" s="7">
        <v>9.8</v>
      </c>
      <c r="J38" s="7">
        <v>15.4</v>
      </c>
      <c r="K38" s="7">
        <v>0.442</v>
      </c>
      <c r="L38" s="7">
        <v>2.429</v>
      </c>
      <c r="M38" s="7">
        <v>0.412</v>
      </c>
      <c r="N38" s="7">
        <v>0.696</v>
      </c>
    </row>
    <row r="39" ht="39.75" customHeight="1">
      <c r="A39" s="6">
        <v>53.0</v>
      </c>
      <c r="B39" s="6">
        <v>632.0</v>
      </c>
      <c r="F39" s="7"/>
      <c r="G39" s="7">
        <v>0.006</v>
      </c>
      <c r="H39" s="7">
        <v>37.3</v>
      </c>
      <c r="I39" s="7">
        <v>12.5</v>
      </c>
      <c r="J39" s="7">
        <v>10.2</v>
      </c>
      <c r="K39" s="7">
        <v>0.535</v>
      </c>
      <c r="L39" s="7">
        <v>2.064</v>
      </c>
      <c r="M39" s="7">
        <v>0.485</v>
      </c>
      <c r="N39" s="7">
        <v>0.818</v>
      </c>
    </row>
    <row r="40" ht="39.75" customHeight="1">
      <c r="A40" s="6">
        <v>53.0</v>
      </c>
      <c r="B40" s="6">
        <v>634.0</v>
      </c>
      <c r="F40" s="7"/>
      <c r="G40" s="7">
        <v>0.004</v>
      </c>
      <c r="H40" s="7">
        <v>33.800000000000004</v>
      </c>
      <c r="I40" s="7">
        <v>9.2</v>
      </c>
      <c r="J40" s="7">
        <v>10.5</v>
      </c>
      <c r="K40" s="7">
        <v>0.409</v>
      </c>
      <c r="L40" s="7">
        <v>1.527</v>
      </c>
      <c r="M40" s="7">
        <v>0.655</v>
      </c>
      <c r="N40" s="7">
        <v>0.663</v>
      </c>
    </row>
    <row r="41" ht="39.75" customHeight="1">
      <c r="A41" s="6">
        <v>53.0</v>
      </c>
      <c r="B41" s="6">
        <v>636.0</v>
      </c>
      <c r="F41" s="7"/>
      <c r="G41" s="7">
        <v>0.004</v>
      </c>
      <c r="H41" s="7">
        <v>28.599999999999998</v>
      </c>
      <c r="I41" s="7">
        <v>8.200000000000001</v>
      </c>
      <c r="J41" s="7">
        <v>8.799999999999999</v>
      </c>
      <c r="K41" s="7">
        <v>0.566</v>
      </c>
      <c r="L41" s="7">
        <v>1.47</v>
      </c>
      <c r="M41" s="7">
        <v>0.68</v>
      </c>
      <c r="N41" s="7">
        <v>0.748</v>
      </c>
    </row>
    <row r="42" ht="39.75" customHeight="1">
      <c r="A42" s="6">
        <v>53.0</v>
      </c>
      <c r="B42" s="6">
        <v>638.0</v>
      </c>
      <c r="F42" s="7"/>
      <c r="G42" s="7">
        <v>0.004</v>
      </c>
      <c r="H42" s="7">
        <v>30.7</v>
      </c>
      <c r="I42" s="7">
        <v>8.6</v>
      </c>
      <c r="J42" s="7">
        <v>9.4</v>
      </c>
      <c r="K42" s="7">
        <v>0.469</v>
      </c>
      <c r="L42" s="7">
        <v>1.355</v>
      </c>
      <c r="M42" s="7">
        <v>0.738</v>
      </c>
      <c r="N42" s="7">
        <v>0.682</v>
      </c>
    </row>
    <row r="45">
      <c r="I45" s="7">
        <f>median(I2:I42)</f>
        <v>8.6</v>
      </c>
      <c r="J45" s="7">
        <f>MEDIAN(J2:J42)</f>
        <v>9.6</v>
      </c>
    </row>
  </sheetData>
  <autoFilter ref="$A$1:$T$1001">
    <sortState ref="A1:T1001">
      <sortCondition descending="1" ref="Q1:Q1001"/>
      <sortCondition ref="D1:D1001"/>
      <sortCondition ref="B1:B1001"/>
      <sortCondition descending="1" ref="J1:J1001"/>
      <sortCondition ref="L1:L1001"/>
      <sortCondition ref="K1:K1001"/>
      <sortCondition ref="M1:M10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3" width="14.0"/>
  </cols>
  <sheetData>
    <row r="1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1" t="s">
        <v>23</v>
      </c>
      <c r="G1" s="1" t="s">
        <v>3</v>
      </c>
      <c r="H1" s="1" t="s">
        <v>4</v>
      </c>
      <c r="I1" s="1" t="s">
        <v>24</v>
      </c>
      <c r="J1" s="1" t="s">
        <v>25</v>
      </c>
      <c r="K1" s="1" t="s">
        <v>8</v>
      </c>
      <c r="L1" s="1" t="s">
        <v>26</v>
      </c>
      <c r="M1" s="1" t="s">
        <v>27</v>
      </c>
      <c r="N1" s="1" t="s">
        <v>15</v>
      </c>
      <c r="O1" s="6" t="s">
        <v>16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65.25" customHeight="1">
      <c r="A2" s="10" t="s">
        <v>28</v>
      </c>
      <c r="B2" s="10" t="s">
        <v>29</v>
      </c>
      <c r="C2" s="10" t="s">
        <v>30</v>
      </c>
      <c r="D2" s="10" t="s">
        <v>31</v>
      </c>
      <c r="E2" s="11"/>
      <c r="F2" s="7"/>
      <c r="G2" s="6">
        <v>1.0</v>
      </c>
      <c r="J2" s="6"/>
      <c r="K2" s="6"/>
      <c r="L2" s="6"/>
      <c r="M2" s="6">
        <v>115.0</v>
      </c>
      <c r="N2" s="6">
        <v>85.0</v>
      </c>
      <c r="O2" s="7">
        <f t="shared" ref="O2:O17" si="1">M2/N2</f>
        <v>1.352941176</v>
      </c>
    </row>
    <row r="3" ht="65.25" customHeight="1">
      <c r="A3" s="10" t="s">
        <v>28</v>
      </c>
      <c r="B3" s="10" t="s">
        <v>32</v>
      </c>
      <c r="C3" s="10" t="s">
        <v>30</v>
      </c>
      <c r="D3" s="10" t="s">
        <v>33</v>
      </c>
      <c r="E3" s="11"/>
      <c r="F3" s="7"/>
      <c r="G3" s="6">
        <v>1.0</v>
      </c>
      <c r="J3" s="6"/>
      <c r="K3" s="6"/>
      <c r="L3" s="6"/>
      <c r="M3" s="6">
        <v>98.0</v>
      </c>
      <c r="N3" s="6">
        <v>73.0</v>
      </c>
      <c r="O3" s="7">
        <f t="shared" si="1"/>
        <v>1.342465753</v>
      </c>
    </row>
    <row r="4" ht="65.25" customHeight="1">
      <c r="A4" s="10" t="s">
        <v>28</v>
      </c>
      <c r="B4" s="10" t="s">
        <v>34</v>
      </c>
      <c r="C4" s="10" t="s">
        <v>35</v>
      </c>
      <c r="D4" s="10" t="s">
        <v>36</v>
      </c>
      <c r="E4" s="11"/>
      <c r="F4" s="7"/>
      <c r="G4" s="6">
        <v>1.0</v>
      </c>
      <c r="J4" s="6"/>
      <c r="K4" s="6"/>
      <c r="L4" s="6"/>
      <c r="M4" s="6">
        <v>95.0</v>
      </c>
      <c r="N4" s="6">
        <v>83.0</v>
      </c>
      <c r="O4" s="7">
        <f t="shared" si="1"/>
        <v>1.144578313</v>
      </c>
    </row>
    <row r="5" ht="65.25" customHeight="1">
      <c r="A5" s="10" t="s">
        <v>37</v>
      </c>
      <c r="B5" s="10">
        <v>89.0</v>
      </c>
      <c r="C5" s="12" t="s">
        <v>38</v>
      </c>
      <c r="D5" s="12" t="s">
        <v>39</v>
      </c>
      <c r="E5" s="12" t="s">
        <v>40</v>
      </c>
      <c r="F5" s="7"/>
      <c r="G5" s="6">
        <v>1.0</v>
      </c>
      <c r="J5" s="6"/>
      <c r="K5" s="6"/>
      <c r="L5" s="6"/>
      <c r="M5" s="6">
        <v>76.0</v>
      </c>
      <c r="N5" s="6">
        <v>67.0</v>
      </c>
      <c r="O5" s="7">
        <f t="shared" si="1"/>
        <v>1.134328358</v>
      </c>
    </row>
    <row r="6" ht="65.25" customHeight="1">
      <c r="A6" s="10" t="s">
        <v>28</v>
      </c>
      <c r="B6" s="10" t="s">
        <v>41</v>
      </c>
      <c r="C6" s="10" t="s">
        <v>42</v>
      </c>
      <c r="D6" s="10" t="s">
        <v>43</v>
      </c>
      <c r="E6" s="11"/>
      <c r="F6" s="7"/>
      <c r="G6" s="6">
        <v>1.0</v>
      </c>
      <c r="J6" s="6"/>
      <c r="K6" s="6"/>
      <c r="L6" s="6"/>
      <c r="M6" s="6">
        <v>88.0</v>
      </c>
      <c r="N6" s="6">
        <v>79.0</v>
      </c>
      <c r="O6" s="7">
        <f t="shared" si="1"/>
        <v>1.113924051</v>
      </c>
    </row>
    <row r="7" ht="65.25" customHeight="1">
      <c r="A7" s="10" t="s">
        <v>37</v>
      </c>
      <c r="B7" s="10">
        <v>94.0</v>
      </c>
      <c r="C7" s="10" t="s">
        <v>44</v>
      </c>
      <c r="D7" s="10" t="s">
        <v>45</v>
      </c>
      <c r="E7" s="10" t="s">
        <v>46</v>
      </c>
      <c r="F7" s="7"/>
      <c r="G7" s="6">
        <v>1.0</v>
      </c>
      <c r="J7" s="6"/>
      <c r="K7" s="6"/>
      <c r="L7" s="6"/>
      <c r="M7" s="6">
        <v>85.0</v>
      </c>
      <c r="N7" s="6">
        <v>77.0</v>
      </c>
      <c r="O7" s="7">
        <f t="shared" si="1"/>
        <v>1.103896104</v>
      </c>
    </row>
    <row r="8" ht="65.25" customHeight="1">
      <c r="A8" s="10" t="s">
        <v>28</v>
      </c>
      <c r="B8" s="10" t="s">
        <v>47</v>
      </c>
      <c r="C8" s="10" t="s">
        <v>42</v>
      </c>
      <c r="D8" s="10" t="s">
        <v>48</v>
      </c>
      <c r="E8" s="11"/>
      <c r="F8" s="7"/>
      <c r="G8" s="6">
        <v>1.0</v>
      </c>
      <c r="J8" s="6"/>
      <c r="K8" s="6"/>
      <c r="L8" s="6"/>
      <c r="M8" s="6">
        <v>107.0</v>
      </c>
      <c r="N8" s="6">
        <v>97.0</v>
      </c>
      <c r="O8" s="7">
        <f t="shared" si="1"/>
        <v>1.103092784</v>
      </c>
    </row>
    <row r="9" ht="65.25" customHeight="1">
      <c r="A9" s="10" t="s">
        <v>37</v>
      </c>
      <c r="B9" s="10">
        <v>96.0</v>
      </c>
      <c r="C9" s="10" t="s">
        <v>49</v>
      </c>
      <c r="D9" s="10" t="s">
        <v>43</v>
      </c>
      <c r="E9" s="10" t="s">
        <v>50</v>
      </c>
      <c r="F9" s="7"/>
      <c r="G9" s="6">
        <v>1.0</v>
      </c>
      <c r="J9" s="6"/>
      <c r="K9" s="6"/>
      <c r="L9" s="6"/>
      <c r="M9" s="6">
        <v>84.0</v>
      </c>
      <c r="N9" s="6">
        <v>77.0</v>
      </c>
      <c r="O9" s="7">
        <f t="shared" si="1"/>
        <v>1.090909091</v>
      </c>
    </row>
    <row r="10" ht="65.25" customHeight="1">
      <c r="A10" s="10" t="s">
        <v>28</v>
      </c>
      <c r="B10" s="10" t="s">
        <v>51</v>
      </c>
      <c r="C10" s="10" t="s">
        <v>52</v>
      </c>
      <c r="D10" s="10" t="s">
        <v>43</v>
      </c>
      <c r="E10" s="11"/>
      <c r="F10" s="7"/>
      <c r="G10" s="6">
        <v>1.0</v>
      </c>
      <c r="J10" s="6"/>
      <c r="K10" s="6"/>
      <c r="L10" s="6"/>
      <c r="M10" s="6">
        <v>86.0</v>
      </c>
      <c r="N10" s="6">
        <v>79.0</v>
      </c>
      <c r="O10" s="7">
        <f t="shared" si="1"/>
        <v>1.088607595</v>
      </c>
      <c r="Q10" s="7">
        <f>average(O6:O16)</f>
        <v>1.07528352</v>
      </c>
    </row>
    <row r="11" ht="65.25" customHeight="1">
      <c r="A11" s="10" t="s">
        <v>28</v>
      </c>
      <c r="B11" s="10" t="s">
        <v>53</v>
      </c>
      <c r="C11" s="10" t="s">
        <v>42</v>
      </c>
      <c r="D11" s="10" t="s">
        <v>54</v>
      </c>
      <c r="E11" s="11"/>
      <c r="F11" s="7"/>
      <c r="G11" s="6">
        <v>1.0</v>
      </c>
      <c r="J11" s="6"/>
      <c r="K11" s="6"/>
      <c r="L11" s="6"/>
      <c r="M11" s="6">
        <v>105.0</v>
      </c>
      <c r="N11" s="6">
        <v>98.0</v>
      </c>
      <c r="O11" s="7">
        <f t="shared" si="1"/>
        <v>1.071428571</v>
      </c>
    </row>
    <row r="12" ht="65.25" customHeight="1">
      <c r="A12" s="10" t="s">
        <v>37</v>
      </c>
      <c r="B12" s="10">
        <v>85.0</v>
      </c>
      <c r="C12" s="10" t="s">
        <v>38</v>
      </c>
      <c r="D12" s="10" t="s">
        <v>55</v>
      </c>
      <c r="E12" s="10" t="s">
        <v>56</v>
      </c>
      <c r="F12" s="7"/>
      <c r="G12" s="6">
        <v>1.0</v>
      </c>
      <c r="H12" s="13"/>
      <c r="J12" s="6"/>
      <c r="K12" s="6"/>
      <c r="L12" s="6"/>
      <c r="M12" s="6">
        <v>91.0</v>
      </c>
      <c r="N12" s="6">
        <v>85.0</v>
      </c>
      <c r="O12" s="7">
        <f t="shared" si="1"/>
        <v>1.070588235</v>
      </c>
    </row>
    <row r="13" ht="65.25" customHeight="1">
      <c r="A13" s="10" t="s">
        <v>57</v>
      </c>
      <c r="B13" s="10">
        <v>81.0</v>
      </c>
      <c r="C13" s="10" t="s">
        <v>58</v>
      </c>
      <c r="D13" s="10" t="s">
        <v>59</v>
      </c>
      <c r="E13" s="10" t="s">
        <v>60</v>
      </c>
      <c r="F13" s="7"/>
      <c r="G13" s="6">
        <v>1.0</v>
      </c>
      <c r="H13" s="13"/>
      <c r="J13" s="6"/>
      <c r="K13" s="6"/>
      <c r="L13" s="6"/>
      <c r="M13" s="6">
        <v>63.0</v>
      </c>
      <c r="N13" s="6">
        <v>59.0</v>
      </c>
      <c r="O13" s="7">
        <f t="shared" si="1"/>
        <v>1.06779661</v>
      </c>
    </row>
    <row r="14" ht="65.25" customHeight="1">
      <c r="A14" s="10"/>
      <c r="B14" s="10" t="s">
        <v>61</v>
      </c>
      <c r="C14" s="10"/>
      <c r="D14" s="10" t="s">
        <v>62</v>
      </c>
      <c r="E14" s="11"/>
      <c r="F14" s="7"/>
      <c r="G14" s="6">
        <v>1.0</v>
      </c>
      <c r="J14" s="6"/>
      <c r="K14" s="6"/>
      <c r="L14" s="6"/>
      <c r="M14" s="6">
        <v>94.0</v>
      </c>
      <c r="N14" s="6">
        <v>89.0</v>
      </c>
      <c r="O14" s="7">
        <f t="shared" si="1"/>
        <v>1.056179775</v>
      </c>
    </row>
    <row r="15" ht="65.25" customHeight="1">
      <c r="A15" s="10" t="s">
        <v>63</v>
      </c>
      <c r="B15" s="10">
        <v>83.0</v>
      </c>
      <c r="C15" s="10" t="s">
        <v>64</v>
      </c>
      <c r="D15" s="10" t="s">
        <v>65</v>
      </c>
      <c r="E15" s="10" t="s">
        <v>66</v>
      </c>
      <c r="F15" s="7"/>
      <c r="G15" s="6">
        <v>1.0</v>
      </c>
      <c r="H15" s="13"/>
      <c r="J15" s="6"/>
      <c r="K15" s="6"/>
      <c r="L15" s="6"/>
      <c r="M15" s="6">
        <v>79.0</v>
      </c>
      <c r="N15" s="6">
        <v>76.0</v>
      </c>
      <c r="O15" s="7">
        <f t="shared" si="1"/>
        <v>1.039473684</v>
      </c>
    </row>
    <row r="16" ht="65.25" customHeight="1">
      <c r="A16" s="10" t="s">
        <v>67</v>
      </c>
      <c r="B16" s="10">
        <v>370.0</v>
      </c>
      <c r="C16" s="11"/>
      <c r="D16" s="11"/>
      <c r="E16" s="11"/>
      <c r="F16" s="7"/>
      <c r="G16" s="6">
        <v>1.0</v>
      </c>
      <c r="J16" s="6"/>
      <c r="K16" s="6"/>
      <c r="L16" s="6"/>
      <c r="M16" s="6">
        <v>92.0</v>
      </c>
      <c r="N16" s="6">
        <v>90.0</v>
      </c>
      <c r="O16" s="7">
        <f t="shared" si="1"/>
        <v>1.022222222</v>
      </c>
    </row>
    <row r="17" ht="65.25" customHeight="1">
      <c r="A17" s="10" t="s">
        <v>68</v>
      </c>
      <c r="B17" s="10">
        <v>77.0</v>
      </c>
      <c r="C17" s="10" t="s">
        <v>69</v>
      </c>
      <c r="D17" s="10" t="s">
        <v>70</v>
      </c>
      <c r="E17" s="10" t="s">
        <v>71</v>
      </c>
      <c r="F17" s="7"/>
      <c r="G17" s="6">
        <v>1.0</v>
      </c>
      <c r="M17" s="6">
        <v>72.0</v>
      </c>
      <c r="N17" s="6">
        <v>72.0</v>
      </c>
      <c r="O17" s="7">
        <f t="shared" si="1"/>
        <v>1</v>
      </c>
    </row>
    <row r="18" ht="65.25" customHeight="1">
      <c r="A18" s="10" t="s">
        <v>37</v>
      </c>
      <c r="B18" s="10">
        <v>2.0</v>
      </c>
      <c r="C18" s="11"/>
      <c r="D18" s="11"/>
      <c r="E18" s="11"/>
      <c r="F18" s="7"/>
    </row>
    <row r="19" ht="65.25" customHeight="1">
      <c r="A19" s="10" t="s">
        <v>37</v>
      </c>
      <c r="B19" s="10">
        <v>21.0</v>
      </c>
      <c r="C19" s="11"/>
      <c r="D19" s="11"/>
      <c r="E19" s="11"/>
      <c r="F19" s="7"/>
    </row>
    <row r="20" ht="65.25" customHeight="1">
      <c r="A20" s="10" t="s">
        <v>37</v>
      </c>
      <c r="B20" s="10">
        <v>25.0</v>
      </c>
      <c r="C20" s="11"/>
      <c r="D20" s="11"/>
      <c r="E20" s="11"/>
      <c r="F20" s="7"/>
    </row>
    <row r="21" ht="65.25" customHeight="1">
      <c r="A21" s="10" t="s">
        <v>37</v>
      </c>
      <c r="B21" s="10">
        <v>28.0</v>
      </c>
      <c r="C21" s="11"/>
      <c r="D21" s="11"/>
      <c r="E21" s="11"/>
      <c r="F21" s="7"/>
    </row>
    <row r="22" ht="65.25" customHeight="1">
      <c r="A22" s="10" t="s">
        <v>37</v>
      </c>
      <c r="B22" s="10">
        <v>36.0</v>
      </c>
      <c r="C22" s="11"/>
      <c r="D22" s="11"/>
      <c r="E22" s="11"/>
      <c r="F22" s="7"/>
    </row>
    <row r="23" ht="65.25" customHeight="1">
      <c r="A23" s="10" t="s">
        <v>37</v>
      </c>
      <c r="B23" s="10">
        <v>42.0</v>
      </c>
      <c r="C23" s="11"/>
      <c r="D23" s="11"/>
      <c r="E23" s="11"/>
      <c r="F23" s="7"/>
    </row>
    <row r="24" ht="65.25" customHeight="1">
      <c r="A24" s="10" t="s">
        <v>72</v>
      </c>
      <c r="B24" s="10">
        <v>87.0</v>
      </c>
      <c r="C24" s="10" t="s">
        <v>38</v>
      </c>
      <c r="D24" s="10" t="s">
        <v>73</v>
      </c>
      <c r="E24" s="10" t="s">
        <v>74</v>
      </c>
      <c r="F24" s="7"/>
      <c r="H24" s="13"/>
    </row>
    <row r="25" ht="65.25" customHeight="1">
      <c r="A25" s="10" t="s">
        <v>75</v>
      </c>
      <c r="B25" s="10">
        <v>90.0</v>
      </c>
      <c r="C25" s="10" t="s">
        <v>76</v>
      </c>
      <c r="D25" s="10" t="s">
        <v>77</v>
      </c>
      <c r="E25" s="10" t="s">
        <v>78</v>
      </c>
      <c r="F25" s="7"/>
    </row>
    <row r="26" ht="65.25" customHeight="1">
      <c r="A26" s="10" t="s">
        <v>79</v>
      </c>
      <c r="B26" s="10">
        <v>91.0</v>
      </c>
      <c r="C26" s="10" t="s">
        <v>76</v>
      </c>
      <c r="D26" s="10" t="s">
        <v>80</v>
      </c>
      <c r="E26" s="10" t="s">
        <v>81</v>
      </c>
      <c r="F26" s="7"/>
    </row>
    <row r="27" ht="65.25" customHeight="1">
      <c r="A27" s="10" t="s">
        <v>82</v>
      </c>
      <c r="B27" s="10">
        <v>93.0</v>
      </c>
      <c r="C27" s="10" t="s">
        <v>44</v>
      </c>
      <c r="D27" s="10" t="s">
        <v>83</v>
      </c>
      <c r="E27" s="10" t="s">
        <v>84</v>
      </c>
      <c r="F27" s="7"/>
    </row>
    <row r="28" ht="65.25" customHeight="1">
      <c r="A28" s="10" t="s">
        <v>37</v>
      </c>
      <c r="B28" s="10">
        <v>97.0</v>
      </c>
      <c r="C28" s="11"/>
      <c r="D28" s="11"/>
      <c r="E28" s="11"/>
      <c r="F28" s="7"/>
    </row>
    <row r="29" ht="65.25" customHeight="1">
      <c r="A29" s="10" t="s">
        <v>37</v>
      </c>
      <c r="B29" s="10">
        <v>109.0</v>
      </c>
      <c r="C29" s="11"/>
      <c r="D29" s="11"/>
      <c r="E29" s="11"/>
      <c r="F29" s="7"/>
      <c r="H29" s="6">
        <v>1.0</v>
      </c>
    </row>
    <row r="30" ht="65.25" customHeight="1">
      <c r="A30" s="10" t="s">
        <v>37</v>
      </c>
      <c r="B30" s="10">
        <v>110.0</v>
      </c>
      <c r="C30" s="11"/>
      <c r="D30" s="11"/>
      <c r="E30" s="11"/>
      <c r="F30" s="7"/>
      <c r="H30" s="6">
        <v>1.0</v>
      </c>
    </row>
    <row r="31" ht="65.25" customHeight="1">
      <c r="A31" s="10" t="s">
        <v>67</v>
      </c>
      <c r="B31" s="10">
        <v>362.0</v>
      </c>
      <c r="C31" s="11"/>
      <c r="D31" s="11"/>
      <c r="E31" s="11"/>
      <c r="F31" s="7"/>
    </row>
    <row r="32" ht="65.25" customHeight="1">
      <c r="A32" s="10" t="s">
        <v>67</v>
      </c>
      <c r="B32" s="10">
        <v>426.0</v>
      </c>
      <c r="C32" s="11"/>
      <c r="D32" s="11"/>
      <c r="E32" s="11"/>
      <c r="F32" s="7"/>
    </row>
    <row r="33" ht="65.25" customHeight="1">
      <c r="A33" s="10" t="s">
        <v>28</v>
      </c>
      <c r="B33" s="10" t="s">
        <v>85</v>
      </c>
      <c r="C33" s="11"/>
      <c r="D33" s="11"/>
      <c r="E33" s="11"/>
      <c r="F33" s="7"/>
    </row>
    <row r="34" ht="65.25" customHeight="1">
      <c r="A34" s="10" t="s">
        <v>28</v>
      </c>
      <c r="B34" s="10" t="s">
        <v>86</v>
      </c>
      <c r="C34" s="11"/>
      <c r="D34" s="11"/>
      <c r="E34" s="11"/>
      <c r="F34" s="7"/>
    </row>
    <row r="35" ht="65.25" customHeight="1">
      <c r="A35" s="10" t="s">
        <v>28</v>
      </c>
      <c r="B35" s="10" t="s">
        <v>87</v>
      </c>
      <c r="C35" s="11"/>
      <c r="D35" s="11"/>
      <c r="E35" s="11"/>
      <c r="F35" s="7"/>
    </row>
    <row r="36" ht="56.25" customHeight="1">
      <c r="A36" s="10" t="s">
        <v>28</v>
      </c>
      <c r="B36" s="10" t="s">
        <v>88</v>
      </c>
      <c r="C36" s="11"/>
      <c r="D36" s="11"/>
      <c r="E36" s="11"/>
      <c r="F36" s="7"/>
    </row>
    <row r="37" ht="56.25" customHeight="1">
      <c r="A37" s="11"/>
      <c r="B37" s="10" t="s">
        <v>89</v>
      </c>
      <c r="C37" s="11"/>
      <c r="D37" s="11"/>
      <c r="E37" s="11"/>
    </row>
    <row r="38" ht="56.25" customHeight="1">
      <c r="A38" s="10" t="s">
        <v>28</v>
      </c>
      <c r="B38" s="10" t="s">
        <v>90</v>
      </c>
      <c r="C38" s="11"/>
      <c r="D38" s="11"/>
      <c r="E38" s="11"/>
      <c r="F38" s="7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  <row r="1001">
      <c r="A1001" s="11"/>
      <c r="B1001" s="11"/>
      <c r="C1001" s="11"/>
      <c r="D1001" s="11"/>
      <c r="E1001" s="11"/>
    </row>
    <row r="1002">
      <c r="A1002" s="11"/>
      <c r="B1002" s="11"/>
      <c r="C1002" s="11"/>
      <c r="D1002" s="11"/>
      <c r="E1002" s="11"/>
    </row>
    <row r="1003">
      <c r="A1003" s="11"/>
      <c r="B1003" s="11"/>
      <c r="C1003" s="11"/>
      <c r="D1003" s="11"/>
      <c r="E1003" s="11"/>
    </row>
    <row r="1004">
      <c r="A1004" s="11"/>
      <c r="B1004" s="11"/>
      <c r="C1004" s="11"/>
      <c r="D1004" s="11"/>
      <c r="E1004" s="11"/>
    </row>
    <row r="1005">
      <c r="A1005" s="11"/>
      <c r="B1005" s="11"/>
      <c r="C1005" s="11"/>
      <c r="D1005" s="11"/>
      <c r="E1005" s="11"/>
    </row>
    <row r="1006">
      <c r="A1006" s="11"/>
      <c r="B1006" s="11"/>
      <c r="C1006" s="11"/>
      <c r="D1006" s="11"/>
      <c r="E1006" s="11"/>
    </row>
    <row r="1007">
      <c r="A1007" s="11"/>
      <c r="B1007" s="11"/>
      <c r="C1007" s="11"/>
      <c r="D1007" s="11"/>
      <c r="E1007" s="11"/>
    </row>
    <row r="1008">
      <c r="A1008" s="11"/>
      <c r="B1008" s="11"/>
      <c r="C1008" s="11"/>
      <c r="D1008" s="11"/>
      <c r="E1008" s="11"/>
    </row>
    <row r="1009">
      <c r="A1009" s="11"/>
      <c r="B1009" s="11"/>
      <c r="C1009" s="11"/>
      <c r="D1009" s="11"/>
      <c r="E1009" s="11"/>
    </row>
    <row r="1010">
      <c r="A1010" s="11"/>
      <c r="B1010" s="11"/>
      <c r="C1010" s="11"/>
      <c r="D1010" s="11"/>
      <c r="E1010" s="11"/>
    </row>
    <row r="1011">
      <c r="A1011" s="11"/>
      <c r="B1011" s="11"/>
      <c r="C1011" s="11"/>
      <c r="D1011" s="11"/>
      <c r="E1011" s="11"/>
    </row>
    <row r="1012">
      <c r="A1012" s="11"/>
      <c r="B1012" s="11"/>
      <c r="C1012" s="11"/>
      <c r="D1012" s="11"/>
      <c r="E1012" s="11"/>
    </row>
  </sheetData>
  <autoFilter ref="$A$1:$O$38">
    <sortState ref="A1:O38">
      <sortCondition descending="1" ref="O1:O38"/>
      <sortCondition ref="G1:G3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91</v>
      </c>
      <c r="G1" s="1" t="s">
        <v>92</v>
      </c>
      <c r="H1" s="14" t="s">
        <v>5</v>
      </c>
      <c r="I1" s="1" t="s">
        <v>93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9.75" customHeight="1">
      <c r="A2" s="6">
        <v>53.0</v>
      </c>
      <c r="B2" s="6">
        <v>595.0</v>
      </c>
      <c r="C2" s="6" t="s">
        <v>94</v>
      </c>
      <c r="D2" s="6">
        <v>1.0</v>
      </c>
      <c r="G2" s="6" t="s">
        <v>95</v>
      </c>
      <c r="H2" s="15"/>
      <c r="I2" s="7"/>
    </row>
    <row r="3" ht="39.75" customHeight="1">
      <c r="A3" s="6">
        <v>53.0</v>
      </c>
      <c r="B3" s="6">
        <v>596.0</v>
      </c>
      <c r="D3" s="6">
        <v>1.0</v>
      </c>
      <c r="E3" s="6">
        <v>1.0</v>
      </c>
      <c r="G3" s="16">
        <v>109110.0</v>
      </c>
      <c r="H3" s="15"/>
      <c r="I3" s="7"/>
      <c r="J3" s="7"/>
    </row>
    <row r="4" ht="39.75" customHeight="1">
      <c r="A4" s="6">
        <v>53.0</v>
      </c>
      <c r="B4" s="6">
        <v>597.0</v>
      </c>
      <c r="C4" s="6" t="s">
        <v>94</v>
      </c>
      <c r="D4" s="6">
        <v>1.0</v>
      </c>
      <c r="G4" s="6" t="s">
        <v>96</v>
      </c>
      <c r="H4" s="15"/>
      <c r="I4" s="7"/>
      <c r="J4" s="7"/>
    </row>
    <row r="5" ht="39.75" customHeight="1">
      <c r="A5" s="6">
        <v>53.0</v>
      </c>
      <c r="B5" s="6">
        <v>600.0</v>
      </c>
      <c r="C5" s="6" t="s">
        <v>17</v>
      </c>
      <c r="E5" s="6">
        <v>1.0</v>
      </c>
      <c r="G5" s="16">
        <v>109110.0</v>
      </c>
      <c r="H5" s="15"/>
      <c r="I5" s="7"/>
      <c r="J5" s="7"/>
    </row>
    <row r="6" ht="39.75" customHeight="1">
      <c r="A6" s="6">
        <v>53.0</v>
      </c>
      <c r="B6" s="6">
        <v>601.0</v>
      </c>
      <c r="D6" s="6">
        <v>1.0</v>
      </c>
      <c r="E6" s="6">
        <v>1.0</v>
      </c>
      <c r="G6" s="16">
        <v>109110.0</v>
      </c>
      <c r="H6" s="15"/>
      <c r="I6" s="7"/>
      <c r="J6" s="7"/>
    </row>
    <row r="7" ht="39.75" customHeight="1">
      <c r="A7" s="6">
        <v>53.0</v>
      </c>
      <c r="B7" s="6">
        <v>602.0</v>
      </c>
      <c r="F7" s="6" t="s">
        <v>97</v>
      </c>
      <c r="G7" s="6" t="s">
        <v>90</v>
      </c>
      <c r="H7" s="15"/>
      <c r="I7" s="7"/>
    </row>
    <row r="8" ht="39.75" customHeight="1">
      <c r="A8" s="6">
        <v>53.0</v>
      </c>
      <c r="B8" s="6">
        <v>603.0</v>
      </c>
      <c r="F8" s="6" t="s">
        <v>98</v>
      </c>
      <c r="G8" s="6">
        <v>93.0</v>
      </c>
      <c r="H8" s="15"/>
      <c r="I8" s="7"/>
    </row>
    <row r="9" ht="39.75" customHeight="1">
      <c r="A9" s="6">
        <v>53.0</v>
      </c>
      <c r="B9" s="6">
        <v>604.0</v>
      </c>
      <c r="F9" s="6" t="s">
        <v>99</v>
      </c>
      <c r="G9" s="6" t="s">
        <v>100</v>
      </c>
      <c r="H9" s="15"/>
      <c r="I9" s="7"/>
    </row>
    <row r="10" ht="39.75" customHeight="1">
      <c r="A10" s="6">
        <v>53.0</v>
      </c>
      <c r="B10" s="6">
        <v>605.0</v>
      </c>
      <c r="F10" s="6" t="s">
        <v>97</v>
      </c>
      <c r="G10" s="6" t="s">
        <v>89</v>
      </c>
      <c r="H10" s="15"/>
    </row>
    <row r="11" ht="39.75" customHeight="1">
      <c r="A11" s="6">
        <v>53.0</v>
      </c>
      <c r="B11" s="6">
        <v>606.0</v>
      </c>
      <c r="G11" s="6">
        <v>93.0</v>
      </c>
      <c r="H11" s="15"/>
      <c r="I11" s="7"/>
    </row>
    <row r="12" ht="39.75" customHeight="1">
      <c r="A12" s="6">
        <v>53.0</v>
      </c>
      <c r="B12" s="6">
        <v>607.0</v>
      </c>
      <c r="D12" s="6">
        <v>1.0</v>
      </c>
      <c r="G12" s="6" t="s">
        <v>101</v>
      </c>
      <c r="H12" s="15"/>
      <c r="I12" s="7"/>
      <c r="J12" s="7"/>
    </row>
    <row r="13" ht="39.75" customHeight="1">
      <c r="A13" s="6">
        <v>53.0</v>
      </c>
      <c r="B13" s="6">
        <v>608.0</v>
      </c>
      <c r="G13" s="6" t="s">
        <v>102</v>
      </c>
      <c r="H13" s="15"/>
      <c r="I13" s="7"/>
      <c r="J13" s="7"/>
    </row>
    <row r="14" ht="39.75" customHeight="1">
      <c r="A14" s="6">
        <v>53.0</v>
      </c>
      <c r="B14" s="6">
        <v>609.0</v>
      </c>
      <c r="D14" s="6">
        <v>1.0</v>
      </c>
      <c r="E14" s="6">
        <v>1.0</v>
      </c>
      <c r="G14" s="16">
        <v>109110.0</v>
      </c>
      <c r="H14" s="15"/>
      <c r="I14" s="7"/>
      <c r="J14" s="7"/>
    </row>
    <row r="15" ht="39.75" customHeight="1">
      <c r="A15" s="6">
        <v>53.0</v>
      </c>
      <c r="B15" s="6">
        <v>610.0</v>
      </c>
      <c r="G15" s="6" t="s">
        <v>103</v>
      </c>
      <c r="H15" s="15"/>
      <c r="I15" s="7"/>
    </row>
    <row r="16" ht="39.75" customHeight="1">
      <c r="A16" s="6">
        <v>53.0</v>
      </c>
      <c r="B16" s="6">
        <v>611.0</v>
      </c>
      <c r="E16" s="6">
        <v>1.0</v>
      </c>
      <c r="G16" s="16">
        <v>109110.0</v>
      </c>
      <c r="H16" s="15"/>
      <c r="I16" s="7"/>
      <c r="J16" s="7"/>
    </row>
    <row r="17" ht="39.75" customHeight="1">
      <c r="A17" s="6">
        <v>53.0</v>
      </c>
      <c r="B17" s="6">
        <v>612.0</v>
      </c>
      <c r="G17" s="6" t="s">
        <v>104</v>
      </c>
      <c r="H17" s="15"/>
      <c r="I17" s="7"/>
      <c r="J17" s="7"/>
      <c r="K17" s="7"/>
    </row>
    <row r="18" ht="39.75" customHeight="1">
      <c r="A18" s="6">
        <v>53.0</v>
      </c>
      <c r="B18" s="6">
        <v>613.0</v>
      </c>
      <c r="G18" s="6" t="s">
        <v>105</v>
      </c>
      <c r="H18" s="15"/>
      <c r="I18" s="7"/>
      <c r="J18" s="7"/>
    </row>
    <row r="19" ht="39.75" customHeight="1">
      <c r="A19" s="6">
        <v>53.0</v>
      </c>
      <c r="B19" s="6">
        <v>614.0</v>
      </c>
      <c r="D19" s="6">
        <v>1.0</v>
      </c>
      <c r="G19" s="6" t="s">
        <v>106</v>
      </c>
      <c r="H19" s="15"/>
      <c r="I19" s="7"/>
      <c r="J19" s="7"/>
    </row>
    <row r="20" ht="39.75" customHeight="1">
      <c r="A20" s="6">
        <v>53.0</v>
      </c>
      <c r="B20" s="6">
        <v>615.0</v>
      </c>
      <c r="G20" s="6" t="s">
        <v>105</v>
      </c>
      <c r="H20" s="15"/>
      <c r="I20" s="7"/>
      <c r="J20" s="7"/>
    </row>
    <row r="21" ht="39.75" customHeight="1">
      <c r="A21" s="6">
        <v>53.0</v>
      </c>
      <c r="B21" s="6">
        <v>616.0</v>
      </c>
      <c r="D21" s="6">
        <v>1.0</v>
      </c>
      <c r="G21" s="6" t="s">
        <v>107</v>
      </c>
      <c r="H21" s="15"/>
      <c r="I21" s="7"/>
      <c r="J21" s="7"/>
    </row>
    <row r="22" ht="39.75" customHeight="1">
      <c r="A22" s="6">
        <v>53.0</v>
      </c>
      <c r="B22" s="6">
        <v>617.0</v>
      </c>
      <c r="G22" s="6" t="s">
        <v>108</v>
      </c>
      <c r="H22" s="15"/>
      <c r="I22" s="7"/>
      <c r="J22" s="7"/>
      <c r="K22" s="7"/>
      <c r="L22" s="7"/>
    </row>
    <row r="23" ht="39.75" customHeight="1">
      <c r="A23" s="6">
        <v>53.0</v>
      </c>
      <c r="B23" s="6">
        <v>618.0</v>
      </c>
      <c r="E23" s="6">
        <v>1.0</v>
      </c>
      <c r="G23" s="16">
        <v>109110.0</v>
      </c>
      <c r="H23" s="15"/>
      <c r="I23" s="7"/>
      <c r="J23" s="7"/>
    </row>
    <row r="24" ht="39.75" customHeight="1">
      <c r="A24" s="6">
        <v>53.0</v>
      </c>
      <c r="B24" s="6">
        <v>619.0</v>
      </c>
      <c r="D24" s="6">
        <v>1.0</v>
      </c>
      <c r="H24" s="15"/>
    </row>
    <row r="25" ht="39.75" customHeight="1">
      <c r="A25" s="6">
        <v>53.0</v>
      </c>
      <c r="B25" s="6">
        <v>620.0</v>
      </c>
      <c r="H25" s="15"/>
    </row>
    <row r="26" ht="39.75" customHeight="1">
      <c r="A26" s="6">
        <v>53.0</v>
      </c>
      <c r="B26" s="6">
        <v>621.0</v>
      </c>
      <c r="H26" s="15"/>
    </row>
    <row r="27" ht="39.75" customHeight="1">
      <c r="A27" s="6">
        <v>53.0</v>
      </c>
      <c r="B27" s="6">
        <v>622.0</v>
      </c>
      <c r="H27" s="15"/>
    </row>
    <row r="28" ht="39.75" customHeight="1">
      <c r="A28" s="6">
        <v>53.0</v>
      </c>
      <c r="B28" s="6">
        <v>623.0</v>
      </c>
      <c r="H28" s="15"/>
    </row>
    <row r="29" ht="39.75" customHeight="1">
      <c r="A29" s="6">
        <v>53.0</v>
      </c>
      <c r="B29" s="6">
        <v>624.0</v>
      </c>
      <c r="H29" s="15"/>
    </row>
    <row r="30" ht="39.75" customHeight="1">
      <c r="A30" s="6">
        <v>53.0</v>
      </c>
      <c r="B30" s="6">
        <v>625.0</v>
      </c>
      <c r="H30" s="15"/>
    </row>
    <row r="31" ht="39.75" customHeight="1">
      <c r="A31" s="6">
        <v>53.0</v>
      </c>
      <c r="B31" s="6">
        <v>626.0</v>
      </c>
      <c r="D31" s="6">
        <v>1.0</v>
      </c>
      <c r="H31" s="15"/>
    </row>
    <row r="32" ht="39.75" customHeight="1">
      <c r="A32" s="6">
        <v>53.0</v>
      </c>
      <c r="B32" s="6">
        <v>628.0</v>
      </c>
      <c r="D32" s="6">
        <v>1.0</v>
      </c>
      <c r="H32" s="15"/>
    </row>
    <row r="33" ht="39.75" customHeight="1">
      <c r="A33" s="6">
        <v>53.0</v>
      </c>
      <c r="B33" s="6">
        <v>629.0</v>
      </c>
      <c r="H33" s="15"/>
    </row>
    <row r="34" ht="39.75" customHeight="1">
      <c r="A34" s="6">
        <v>53.0</v>
      </c>
      <c r="B34" s="6">
        <v>630.0</v>
      </c>
      <c r="H34" s="15"/>
    </row>
    <row r="35" ht="39.75" customHeight="1">
      <c r="A35" s="6">
        <v>53.0</v>
      </c>
      <c r="B35" s="6">
        <v>631.0</v>
      </c>
      <c r="H35" s="15"/>
    </row>
    <row r="36" ht="39.75" customHeight="1">
      <c r="A36" s="6">
        <v>53.0</v>
      </c>
      <c r="B36" s="6">
        <v>632.0</v>
      </c>
      <c r="H36" s="15"/>
    </row>
    <row r="37" ht="39.75" customHeight="1">
      <c r="A37" s="6">
        <v>53.0</v>
      </c>
      <c r="B37" s="6">
        <v>634.0</v>
      </c>
      <c r="H37" s="15"/>
    </row>
    <row r="38" ht="39.75" customHeight="1">
      <c r="A38" s="6">
        <v>53.0</v>
      </c>
      <c r="B38" s="6">
        <v>636.0</v>
      </c>
      <c r="H38" s="15"/>
    </row>
    <row r="39" ht="39.75" customHeight="1">
      <c r="A39" s="6">
        <v>53.0</v>
      </c>
      <c r="B39" s="6">
        <v>637.0</v>
      </c>
      <c r="D39" s="6">
        <v>1.0</v>
      </c>
      <c r="H39" s="15"/>
    </row>
    <row r="40" ht="39.75" customHeight="1">
      <c r="A40" s="6">
        <v>53.0</v>
      </c>
      <c r="B40" s="6">
        <v>638.0</v>
      </c>
      <c r="H40" s="15"/>
    </row>
    <row r="41" ht="39.75" customHeight="1">
      <c r="A41" s="6">
        <v>53.0</v>
      </c>
      <c r="B41" s="6">
        <v>720.0</v>
      </c>
      <c r="D41" s="6">
        <v>1.0</v>
      </c>
      <c r="H41" s="15"/>
    </row>
    <row r="42">
      <c r="H42" s="15"/>
    </row>
    <row r="43">
      <c r="H43" s="15"/>
    </row>
    <row r="44">
      <c r="H44" s="15"/>
    </row>
    <row r="45">
      <c r="H45" s="15"/>
    </row>
    <row r="46">
      <c r="H46" s="15"/>
    </row>
    <row r="47">
      <c r="H47" s="15"/>
    </row>
    <row r="48">
      <c r="H48" s="15"/>
    </row>
    <row r="49">
      <c r="H49" s="15"/>
    </row>
    <row r="50">
      <c r="H50" s="15"/>
    </row>
    <row r="51">
      <c r="H51" s="15"/>
    </row>
    <row r="52">
      <c r="H52" s="15"/>
    </row>
    <row r="53">
      <c r="H53" s="15"/>
    </row>
    <row r="54">
      <c r="H54" s="15"/>
    </row>
    <row r="55">
      <c r="H55" s="15"/>
    </row>
    <row r="56">
      <c r="H56" s="15"/>
    </row>
    <row r="57">
      <c r="H57" s="15"/>
    </row>
    <row r="58">
      <c r="H58" s="15"/>
    </row>
    <row r="59">
      <c r="H59" s="15"/>
    </row>
    <row r="60">
      <c r="H60" s="15"/>
    </row>
    <row r="61">
      <c r="H61" s="15"/>
    </row>
    <row r="62">
      <c r="H62" s="15"/>
    </row>
    <row r="63">
      <c r="H63" s="15"/>
    </row>
    <row r="64">
      <c r="H64" s="15"/>
    </row>
    <row r="65">
      <c r="H65" s="15"/>
    </row>
    <row r="66">
      <c r="H66" s="15"/>
    </row>
    <row r="67">
      <c r="H67" s="15"/>
    </row>
    <row r="68">
      <c r="H68" s="15"/>
    </row>
    <row r="69">
      <c r="H69" s="15"/>
    </row>
    <row r="70">
      <c r="H70" s="15"/>
    </row>
    <row r="71">
      <c r="H71" s="15"/>
    </row>
    <row r="72">
      <c r="H72" s="15"/>
    </row>
    <row r="73">
      <c r="H73" s="15"/>
    </row>
    <row r="74">
      <c r="H74" s="15"/>
    </row>
    <row r="75">
      <c r="H75" s="15"/>
    </row>
    <row r="76">
      <c r="H76" s="15"/>
    </row>
    <row r="77">
      <c r="H77" s="15"/>
    </row>
    <row r="78">
      <c r="H78" s="15"/>
    </row>
    <row r="79">
      <c r="H79" s="15"/>
    </row>
    <row r="80">
      <c r="H80" s="15"/>
    </row>
    <row r="81">
      <c r="H81" s="15"/>
    </row>
    <row r="82">
      <c r="H82" s="15"/>
    </row>
    <row r="83">
      <c r="H83" s="15"/>
    </row>
    <row r="84">
      <c r="H84" s="15"/>
    </row>
    <row r="85">
      <c r="H85" s="15"/>
    </row>
    <row r="86">
      <c r="H86" s="15"/>
    </row>
    <row r="87">
      <c r="H87" s="15"/>
    </row>
    <row r="88">
      <c r="H88" s="15"/>
    </row>
    <row r="89">
      <c r="H89" s="15"/>
    </row>
    <row r="90">
      <c r="H90" s="15"/>
    </row>
    <row r="91">
      <c r="H91" s="15"/>
    </row>
    <row r="92">
      <c r="H92" s="15"/>
    </row>
    <row r="93">
      <c r="H93" s="15"/>
    </row>
    <row r="94">
      <c r="H94" s="15"/>
    </row>
    <row r="95">
      <c r="H95" s="15"/>
    </row>
    <row r="96">
      <c r="H96" s="15"/>
    </row>
    <row r="97">
      <c r="H97" s="15"/>
    </row>
    <row r="98">
      <c r="H98" s="15"/>
    </row>
    <row r="99">
      <c r="H99" s="15"/>
    </row>
    <row r="100">
      <c r="H100" s="15"/>
    </row>
    <row r="101">
      <c r="H101" s="15"/>
    </row>
    <row r="102">
      <c r="H102" s="15"/>
    </row>
    <row r="103">
      <c r="H103" s="15"/>
    </row>
    <row r="104">
      <c r="H104" s="15"/>
    </row>
    <row r="105">
      <c r="H105" s="15"/>
    </row>
    <row r="106">
      <c r="H106" s="15"/>
    </row>
    <row r="107">
      <c r="H107" s="15"/>
    </row>
    <row r="108">
      <c r="H108" s="15"/>
    </row>
    <row r="109">
      <c r="H109" s="15"/>
    </row>
    <row r="110">
      <c r="H110" s="15"/>
    </row>
    <row r="111">
      <c r="H111" s="15"/>
    </row>
    <row r="112">
      <c r="H112" s="15"/>
    </row>
    <row r="113">
      <c r="H113" s="15"/>
    </row>
    <row r="114">
      <c r="H114" s="15"/>
    </row>
    <row r="115">
      <c r="H115" s="15"/>
    </row>
    <row r="116">
      <c r="H116" s="15"/>
    </row>
    <row r="117">
      <c r="H117" s="15"/>
    </row>
    <row r="118">
      <c r="H118" s="15"/>
    </row>
    <row r="119">
      <c r="H119" s="15"/>
    </row>
    <row r="120">
      <c r="H120" s="15"/>
    </row>
    <row r="121">
      <c r="H121" s="15"/>
    </row>
    <row r="122">
      <c r="H122" s="15"/>
    </row>
    <row r="123">
      <c r="H123" s="15"/>
    </row>
    <row r="124">
      <c r="H124" s="15"/>
    </row>
    <row r="125">
      <c r="H125" s="15"/>
    </row>
    <row r="126">
      <c r="H126" s="15"/>
    </row>
    <row r="127">
      <c r="H127" s="15"/>
    </row>
    <row r="128">
      <c r="H128" s="15"/>
    </row>
    <row r="129">
      <c r="H129" s="15"/>
    </row>
    <row r="130">
      <c r="H130" s="15"/>
    </row>
    <row r="131">
      <c r="H131" s="15"/>
    </row>
    <row r="132">
      <c r="H132" s="15"/>
    </row>
    <row r="133">
      <c r="H133" s="15"/>
    </row>
    <row r="134">
      <c r="H134" s="15"/>
    </row>
    <row r="135">
      <c r="H135" s="15"/>
    </row>
    <row r="136">
      <c r="H136" s="15"/>
    </row>
    <row r="137">
      <c r="H137" s="15"/>
    </row>
    <row r="138">
      <c r="H138" s="15"/>
    </row>
    <row r="139">
      <c r="H139" s="15"/>
    </row>
    <row r="140">
      <c r="H140" s="15"/>
    </row>
    <row r="141">
      <c r="H141" s="15"/>
    </row>
    <row r="142">
      <c r="H142" s="15"/>
    </row>
    <row r="143">
      <c r="H143" s="15"/>
    </row>
    <row r="144">
      <c r="H144" s="15"/>
    </row>
    <row r="145">
      <c r="H145" s="15"/>
    </row>
    <row r="146">
      <c r="H146" s="15"/>
    </row>
    <row r="147">
      <c r="H147" s="15"/>
    </row>
    <row r="148">
      <c r="H148" s="15"/>
    </row>
    <row r="149">
      <c r="H149" s="15"/>
    </row>
    <row r="150">
      <c r="H150" s="15"/>
    </row>
    <row r="151">
      <c r="H151" s="15"/>
    </row>
    <row r="152">
      <c r="H152" s="15"/>
    </row>
    <row r="153">
      <c r="H153" s="15"/>
    </row>
    <row r="154">
      <c r="H154" s="15"/>
    </row>
    <row r="155">
      <c r="H155" s="15"/>
    </row>
    <row r="156">
      <c r="H156" s="15"/>
    </row>
    <row r="157">
      <c r="H157" s="15"/>
    </row>
    <row r="158">
      <c r="H158" s="15"/>
    </row>
    <row r="159">
      <c r="H159" s="15"/>
    </row>
    <row r="160">
      <c r="H160" s="15"/>
    </row>
    <row r="161">
      <c r="H161" s="15"/>
    </row>
    <row r="162">
      <c r="H162" s="15"/>
    </row>
    <row r="163">
      <c r="H163" s="15"/>
    </row>
    <row r="164">
      <c r="H164" s="15"/>
    </row>
    <row r="165">
      <c r="H165" s="15"/>
    </row>
    <row r="166">
      <c r="H166" s="15"/>
    </row>
    <row r="167">
      <c r="H167" s="15"/>
    </row>
    <row r="168">
      <c r="H168" s="15"/>
    </row>
    <row r="169">
      <c r="H169" s="15"/>
    </row>
    <row r="170">
      <c r="H170" s="15"/>
    </row>
    <row r="171">
      <c r="H171" s="15"/>
    </row>
    <row r="172">
      <c r="H172" s="15"/>
    </row>
    <row r="173">
      <c r="H173" s="15"/>
    </row>
    <row r="174">
      <c r="H174" s="15"/>
    </row>
    <row r="175">
      <c r="H175" s="15"/>
    </row>
    <row r="176">
      <c r="H176" s="15"/>
    </row>
    <row r="177">
      <c r="H177" s="15"/>
    </row>
    <row r="178">
      <c r="H178" s="15"/>
    </row>
    <row r="179">
      <c r="H179" s="15"/>
    </row>
    <row r="180">
      <c r="H180" s="15"/>
    </row>
    <row r="181">
      <c r="H181" s="15"/>
    </row>
    <row r="182">
      <c r="H182" s="15"/>
    </row>
    <row r="183">
      <c r="H183" s="15"/>
    </row>
    <row r="184">
      <c r="H184" s="15"/>
    </row>
    <row r="185">
      <c r="H185" s="15"/>
    </row>
    <row r="186">
      <c r="H186" s="15"/>
    </row>
    <row r="187">
      <c r="H187" s="15"/>
    </row>
    <row r="188">
      <c r="H188" s="15"/>
    </row>
    <row r="189">
      <c r="H189" s="15"/>
    </row>
    <row r="190">
      <c r="H190" s="15"/>
    </row>
    <row r="191">
      <c r="H191" s="15"/>
    </row>
    <row r="192">
      <c r="H192" s="15"/>
    </row>
    <row r="193">
      <c r="H193" s="15"/>
    </row>
    <row r="194">
      <c r="H194" s="15"/>
    </row>
    <row r="195">
      <c r="H195" s="15"/>
    </row>
    <row r="196">
      <c r="H196" s="15"/>
    </row>
    <row r="197">
      <c r="H197" s="15"/>
    </row>
    <row r="198">
      <c r="H198" s="15"/>
    </row>
    <row r="199">
      <c r="H199" s="15"/>
    </row>
    <row r="200">
      <c r="H200" s="15"/>
    </row>
    <row r="201">
      <c r="H201" s="15"/>
    </row>
    <row r="202">
      <c r="H202" s="15"/>
    </row>
    <row r="203">
      <c r="H203" s="15"/>
    </row>
    <row r="204">
      <c r="H204" s="15"/>
    </row>
    <row r="205">
      <c r="H205" s="15"/>
    </row>
    <row r="206">
      <c r="H206" s="15"/>
    </row>
    <row r="207">
      <c r="H207" s="15"/>
    </row>
    <row r="208">
      <c r="H208" s="15"/>
    </row>
    <row r="209">
      <c r="H209" s="15"/>
    </row>
    <row r="210">
      <c r="H210" s="15"/>
    </row>
    <row r="211">
      <c r="H211" s="15"/>
    </row>
    <row r="212">
      <c r="H212" s="15"/>
    </row>
    <row r="213">
      <c r="H213" s="15"/>
    </row>
    <row r="214">
      <c r="H214" s="15"/>
    </row>
    <row r="215">
      <c r="H215" s="15"/>
    </row>
    <row r="216">
      <c r="H216" s="15"/>
    </row>
    <row r="217">
      <c r="H217" s="15"/>
    </row>
    <row r="218">
      <c r="H218" s="15"/>
    </row>
    <row r="219">
      <c r="H219" s="15"/>
    </row>
    <row r="220">
      <c r="H220" s="15"/>
    </row>
    <row r="221">
      <c r="H221" s="15"/>
    </row>
    <row r="222">
      <c r="H222" s="15"/>
    </row>
    <row r="223">
      <c r="H223" s="15"/>
    </row>
    <row r="224">
      <c r="H224" s="15"/>
    </row>
    <row r="225">
      <c r="H225" s="15"/>
    </row>
    <row r="226">
      <c r="H226" s="15"/>
    </row>
    <row r="227">
      <c r="H227" s="15"/>
    </row>
    <row r="228">
      <c r="H228" s="15"/>
    </row>
    <row r="229">
      <c r="H229" s="15"/>
    </row>
    <row r="230">
      <c r="H230" s="15"/>
    </row>
    <row r="231">
      <c r="H231" s="15"/>
    </row>
    <row r="232">
      <c r="H232" s="15"/>
    </row>
    <row r="233">
      <c r="H233" s="15"/>
    </row>
    <row r="234">
      <c r="H234" s="15"/>
    </row>
    <row r="235">
      <c r="H235" s="15"/>
    </row>
    <row r="236">
      <c r="H236" s="15"/>
    </row>
    <row r="237">
      <c r="H237" s="15"/>
    </row>
    <row r="238">
      <c r="H238" s="15"/>
    </row>
    <row r="239">
      <c r="H239" s="15"/>
    </row>
    <row r="240">
      <c r="H240" s="15"/>
    </row>
    <row r="241">
      <c r="H241" s="15"/>
    </row>
    <row r="242">
      <c r="H242" s="15"/>
    </row>
    <row r="243">
      <c r="H243" s="15"/>
    </row>
    <row r="244">
      <c r="H244" s="15"/>
    </row>
    <row r="245">
      <c r="H245" s="15"/>
    </row>
    <row r="246">
      <c r="H246" s="15"/>
    </row>
    <row r="247">
      <c r="H247" s="15"/>
    </row>
    <row r="248">
      <c r="H248" s="15"/>
    </row>
    <row r="249">
      <c r="H249" s="15"/>
    </row>
    <row r="250">
      <c r="H250" s="15"/>
    </row>
    <row r="251">
      <c r="H251" s="15"/>
    </row>
    <row r="252">
      <c r="H252" s="15"/>
    </row>
    <row r="253">
      <c r="H253" s="15"/>
    </row>
    <row r="254">
      <c r="H254" s="15"/>
    </row>
    <row r="255">
      <c r="H255" s="15"/>
    </row>
    <row r="256">
      <c r="H256" s="15"/>
    </row>
    <row r="257">
      <c r="H257" s="15"/>
    </row>
    <row r="258">
      <c r="H258" s="15"/>
    </row>
    <row r="259">
      <c r="H259" s="15"/>
    </row>
    <row r="260">
      <c r="H260" s="15"/>
    </row>
    <row r="261">
      <c r="H261" s="15"/>
    </row>
    <row r="262">
      <c r="H262" s="15"/>
    </row>
    <row r="263">
      <c r="H263" s="15"/>
    </row>
    <row r="264">
      <c r="H264" s="15"/>
    </row>
    <row r="265">
      <c r="H265" s="15"/>
    </row>
    <row r="266">
      <c r="H266" s="15"/>
    </row>
    <row r="267">
      <c r="H267" s="15"/>
    </row>
    <row r="268">
      <c r="H268" s="15"/>
    </row>
    <row r="269">
      <c r="H269" s="15"/>
    </row>
    <row r="270">
      <c r="H270" s="15"/>
    </row>
    <row r="271">
      <c r="H271" s="15"/>
    </row>
    <row r="272">
      <c r="H272" s="15"/>
    </row>
    <row r="273">
      <c r="H273" s="15"/>
    </row>
    <row r="274">
      <c r="H274" s="15"/>
    </row>
    <row r="275">
      <c r="H275" s="15"/>
    </row>
    <row r="276">
      <c r="H276" s="15"/>
    </row>
    <row r="277">
      <c r="H277" s="15"/>
    </row>
    <row r="278">
      <c r="H278" s="15"/>
    </row>
    <row r="279">
      <c r="H279" s="15"/>
    </row>
    <row r="280">
      <c r="H280" s="15"/>
    </row>
    <row r="281">
      <c r="H281" s="15"/>
    </row>
    <row r="282">
      <c r="H282" s="15"/>
    </row>
    <row r="283">
      <c r="H283" s="15"/>
    </row>
    <row r="284">
      <c r="H284" s="15"/>
    </row>
    <row r="285">
      <c r="H285" s="15"/>
    </row>
    <row r="286">
      <c r="H286" s="15"/>
    </row>
    <row r="287">
      <c r="H287" s="15"/>
    </row>
    <row r="288">
      <c r="H288" s="15"/>
    </row>
    <row r="289">
      <c r="H289" s="15"/>
    </row>
    <row r="290">
      <c r="H290" s="15"/>
    </row>
    <row r="291">
      <c r="H291" s="15"/>
    </row>
    <row r="292">
      <c r="H292" s="15"/>
    </row>
    <row r="293">
      <c r="H293" s="15"/>
    </row>
    <row r="294">
      <c r="H294" s="15"/>
    </row>
    <row r="295">
      <c r="H295" s="15"/>
    </row>
    <row r="296">
      <c r="H296" s="15"/>
    </row>
    <row r="297">
      <c r="H297" s="15"/>
    </row>
    <row r="298">
      <c r="H298" s="15"/>
    </row>
    <row r="299">
      <c r="H299" s="15"/>
    </row>
    <row r="300">
      <c r="H300" s="15"/>
    </row>
    <row r="301">
      <c r="H301" s="15"/>
    </row>
    <row r="302">
      <c r="H302" s="15"/>
    </row>
    <row r="303">
      <c r="H303" s="15"/>
    </row>
    <row r="304">
      <c r="H304" s="15"/>
    </row>
    <row r="305">
      <c r="H305" s="15"/>
    </row>
    <row r="306">
      <c r="H306" s="15"/>
    </row>
    <row r="307">
      <c r="H307" s="15"/>
    </row>
    <row r="308">
      <c r="H308" s="15"/>
    </row>
    <row r="309">
      <c r="H309" s="15"/>
    </row>
    <row r="310">
      <c r="H310" s="15"/>
    </row>
    <row r="311">
      <c r="H311" s="15"/>
    </row>
    <row r="312">
      <c r="H312" s="15"/>
    </row>
    <row r="313">
      <c r="H313" s="15"/>
    </row>
    <row r="314">
      <c r="H314" s="15"/>
    </row>
    <row r="315">
      <c r="H315" s="15"/>
    </row>
    <row r="316">
      <c r="H316" s="15"/>
    </row>
    <row r="317">
      <c r="H317" s="15"/>
    </row>
    <row r="318">
      <c r="H318" s="15"/>
    </row>
    <row r="319">
      <c r="H319" s="15"/>
    </row>
    <row r="320">
      <c r="H320" s="15"/>
    </row>
    <row r="321">
      <c r="H321" s="15"/>
    </row>
    <row r="322">
      <c r="H322" s="15"/>
    </row>
    <row r="323">
      <c r="H323" s="15"/>
    </row>
    <row r="324">
      <c r="H324" s="15"/>
    </row>
    <row r="325">
      <c r="H325" s="15"/>
    </row>
    <row r="326">
      <c r="H326" s="15"/>
    </row>
    <row r="327">
      <c r="H327" s="15"/>
    </row>
    <row r="328">
      <c r="H328" s="15"/>
    </row>
    <row r="329">
      <c r="H329" s="15"/>
    </row>
    <row r="330">
      <c r="H330" s="15"/>
    </row>
    <row r="331">
      <c r="H331" s="15"/>
    </row>
    <row r="332">
      <c r="H332" s="15"/>
    </row>
    <row r="333">
      <c r="H333" s="15"/>
    </row>
    <row r="334">
      <c r="H334" s="15"/>
    </row>
    <row r="335">
      <c r="H335" s="15"/>
    </row>
    <row r="336">
      <c r="H336" s="15"/>
    </row>
    <row r="337">
      <c r="H337" s="15"/>
    </row>
    <row r="338">
      <c r="H338" s="15"/>
    </row>
    <row r="339">
      <c r="H339" s="15"/>
    </row>
    <row r="340">
      <c r="H340" s="15"/>
    </row>
    <row r="341">
      <c r="H341" s="15"/>
    </row>
    <row r="342">
      <c r="H342" s="15"/>
    </row>
    <row r="343">
      <c r="H343" s="15"/>
    </row>
    <row r="344">
      <c r="H344" s="15"/>
    </row>
    <row r="345">
      <c r="H345" s="15"/>
    </row>
    <row r="346">
      <c r="H346" s="15"/>
    </row>
    <row r="347">
      <c r="H347" s="15"/>
    </row>
    <row r="348">
      <c r="H348" s="15"/>
    </row>
    <row r="349">
      <c r="H349" s="15"/>
    </row>
    <row r="350">
      <c r="H350" s="15"/>
    </row>
    <row r="351">
      <c r="H351" s="15"/>
    </row>
    <row r="352">
      <c r="H352" s="15"/>
    </row>
    <row r="353">
      <c r="H353" s="15"/>
    </row>
    <row r="354">
      <c r="H354" s="15"/>
    </row>
    <row r="355">
      <c r="H355" s="15"/>
    </row>
    <row r="356">
      <c r="H356" s="15"/>
    </row>
    <row r="357">
      <c r="H357" s="15"/>
    </row>
    <row r="358">
      <c r="H358" s="15"/>
    </row>
    <row r="359">
      <c r="H359" s="15"/>
    </row>
    <row r="360">
      <c r="H360" s="15"/>
    </row>
    <row r="361">
      <c r="H361" s="15"/>
    </row>
    <row r="362">
      <c r="H362" s="15"/>
    </row>
    <row r="363">
      <c r="H363" s="15"/>
    </row>
    <row r="364">
      <c r="H364" s="15"/>
    </row>
    <row r="365">
      <c r="H365" s="15"/>
    </row>
    <row r="366">
      <c r="H366" s="15"/>
    </row>
    <row r="367">
      <c r="H367" s="15"/>
    </row>
    <row r="368">
      <c r="H368" s="15"/>
    </row>
    <row r="369">
      <c r="H369" s="15"/>
    </row>
    <row r="370">
      <c r="H370" s="15"/>
    </row>
    <row r="371">
      <c r="H371" s="15"/>
    </row>
    <row r="372">
      <c r="H372" s="15"/>
    </row>
    <row r="373">
      <c r="H373" s="15"/>
    </row>
    <row r="374">
      <c r="H374" s="15"/>
    </row>
    <row r="375">
      <c r="H375" s="15"/>
    </row>
    <row r="376">
      <c r="H376" s="15"/>
    </row>
    <row r="377">
      <c r="H377" s="15"/>
    </row>
    <row r="378">
      <c r="H378" s="15"/>
    </row>
    <row r="379">
      <c r="H379" s="15"/>
    </row>
    <row r="380">
      <c r="H380" s="15"/>
    </row>
    <row r="381">
      <c r="H381" s="15"/>
    </row>
    <row r="382">
      <c r="H382" s="15"/>
    </row>
    <row r="383">
      <c r="H383" s="15"/>
    </row>
    <row r="384">
      <c r="H384" s="15"/>
    </row>
    <row r="385">
      <c r="H385" s="15"/>
    </row>
    <row r="386">
      <c r="H386" s="15"/>
    </row>
    <row r="387">
      <c r="H387" s="15"/>
    </row>
    <row r="388">
      <c r="H388" s="15"/>
    </row>
    <row r="389">
      <c r="H389" s="15"/>
    </row>
    <row r="390">
      <c r="H390" s="15"/>
    </row>
    <row r="391">
      <c r="H391" s="15"/>
    </row>
    <row r="392">
      <c r="H392" s="15"/>
    </row>
    <row r="393">
      <c r="H393" s="15"/>
    </row>
    <row r="394">
      <c r="H394" s="15"/>
    </row>
    <row r="395">
      <c r="H395" s="15"/>
    </row>
    <row r="396">
      <c r="H396" s="15"/>
    </row>
    <row r="397">
      <c r="H397" s="15"/>
    </row>
    <row r="398">
      <c r="H398" s="15"/>
    </row>
    <row r="399">
      <c r="H399" s="15"/>
    </row>
    <row r="400">
      <c r="H400" s="15"/>
    </row>
    <row r="401">
      <c r="H401" s="15"/>
    </row>
    <row r="402">
      <c r="H402" s="15"/>
    </row>
    <row r="403">
      <c r="H403" s="15"/>
    </row>
    <row r="404">
      <c r="H404" s="15"/>
    </row>
    <row r="405">
      <c r="H405" s="15"/>
    </row>
    <row r="406">
      <c r="H406" s="15"/>
    </row>
    <row r="407">
      <c r="H407" s="15"/>
    </row>
    <row r="408">
      <c r="H408" s="15"/>
    </row>
    <row r="409">
      <c r="H409" s="15"/>
    </row>
    <row r="410">
      <c r="H410" s="15"/>
    </row>
    <row r="411">
      <c r="H411" s="15"/>
    </row>
    <row r="412">
      <c r="H412" s="15"/>
    </row>
    <row r="413">
      <c r="H413" s="15"/>
    </row>
    <row r="414">
      <c r="H414" s="15"/>
    </row>
    <row r="415">
      <c r="H415" s="15"/>
    </row>
    <row r="416">
      <c r="H416" s="15"/>
    </row>
    <row r="417">
      <c r="H417" s="15"/>
    </row>
    <row r="418">
      <c r="H418" s="15"/>
    </row>
    <row r="419">
      <c r="H419" s="15"/>
    </row>
    <row r="420">
      <c r="H420" s="15"/>
    </row>
    <row r="421">
      <c r="H421" s="15"/>
    </row>
    <row r="422">
      <c r="H422" s="15"/>
    </row>
    <row r="423">
      <c r="H423" s="15"/>
    </row>
    <row r="424">
      <c r="H424" s="15"/>
    </row>
    <row r="425">
      <c r="H425" s="15"/>
    </row>
    <row r="426">
      <c r="H426" s="15"/>
    </row>
    <row r="427">
      <c r="H427" s="15"/>
    </row>
    <row r="428">
      <c r="H428" s="15"/>
    </row>
    <row r="429">
      <c r="H429" s="15"/>
    </row>
    <row r="430">
      <c r="H430" s="15"/>
    </row>
    <row r="431">
      <c r="H431" s="15"/>
    </row>
    <row r="432">
      <c r="H432" s="15"/>
    </row>
    <row r="433">
      <c r="H433" s="15"/>
    </row>
    <row r="434">
      <c r="H434" s="15"/>
    </row>
    <row r="435">
      <c r="H435" s="15"/>
    </row>
    <row r="436">
      <c r="H436" s="15"/>
    </row>
    <row r="437">
      <c r="H437" s="15"/>
    </row>
    <row r="438">
      <c r="H438" s="15"/>
    </row>
    <row r="439">
      <c r="H439" s="15"/>
    </row>
    <row r="440">
      <c r="H440" s="15"/>
    </row>
    <row r="441">
      <c r="H441" s="15"/>
    </row>
    <row r="442">
      <c r="H442" s="15"/>
    </row>
    <row r="443">
      <c r="H443" s="15"/>
    </row>
    <row r="444">
      <c r="H444" s="15"/>
    </row>
    <row r="445">
      <c r="H445" s="15"/>
    </row>
    <row r="446">
      <c r="H446" s="15"/>
    </row>
    <row r="447">
      <c r="H447" s="15"/>
    </row>
    <row r="448">
      <c r="H448" s="15"/>
    </row>
    <row r="449">
      <c r="H449" s="15"/>
    </row>
    <row r="450">
      <c r="H450" s="15"/>
    </row>
    <row r="451">
      <c r="H451" s="15"/>
    </row>
    <row r="452">
      <c r="H452" s="15"/>
    </row>
    <row r="453">
      <c r="H453" s="15"/>
    </row>
    <row r="454">
      <c r="H454" s="15"/>
    </row>
    <row r="455">
      <c r="H455" s="15"/>
    </row>
    <row r="456">
      <c r="H456" s="15"/>
    </row>
    <row r="457">
      <c r="H457" s="15"/>
    </row>
    <row r="458">
      <c r="H458" s="15"/>
    </row>
    <row r="459">
      <c r="H459" s="15"/>
    </row>
    <row r="460">
      <c r="H460" s="15"/>
    </row>
    <row r="461">
      <c r="H461" s="15"/>
    </row>
    <row r="462">
      <c r="H462" s="15"/>
    </row>
    <row r="463">
      <c r="H463" s="15"/>
    </row>
    <row r="464">
      <c r="H464" s="15"/>
    </row>
    <row r="465">
      <c r="H465" s="15"/>
    </row>
    <row r="466">
      <c r="H466" s="15"/>
    </row>
    <row r="467">
      <c r="H467" s="15"/>
    </row>
    <row r="468">
      <c r="H468" s="15"/>
    </row>
    <row r="469">
      <c r="H469" s="15"/>
    </row>
    <row r="470">
      <c r="H470" s="15"/>
    </row>
    <row r="471">
      <c r="H471" s="15"/>
    </row>
    <row r="472">
      <c r="H472" s="15"/>
    </row>
    <row r="473">
      <c r="H473" s="15"/>
    </row>
    <row r="474">
      <c r="H474" s="15"/>
    </row>
    <row r="475">
      <c r="H475" s="15"/>
    </row>
    <row r="476">
      <c r="H476" s="15"/>
    </row>
    <row r="477">
      <c r="H477" s="15"/>
    </row>
    <row r="478">
      <c r="H478" s="15"/>
    </row>
    <row r="479">
      <c r="H479" s="15"/>
    </row>
    <row r="480">
      <c r="H480" s="15"/>
    </row>
    <row r="481">
      <c r="H481" s="15"/>
    </row>
    <row r="482">
      <c r="H482" s="15"/>
    </row>
    <row r="483">
      <c r="H483" s="15"/>
    </row>
    <row r="484">
      <c r="H484" s="15"/>
    </row>
    <row r="485">
      <c r="H485" s="15"/>
    </row>
    <row r="486">
      <c r="H486" s="15"/>
    </row>
    <row r="487">
      <c r="H487" s="15"/>
    </row>
    <row r="488">
      <c r="H488" s="15"/>
    </row>
    <row r="489">
      <c r="H489" s="15"/>
    </row>
    <row r="490">
      <c r="H490" s="15"/>
    </row>
    <row r="491">
      <c r="H491" s="15"/>
    </row>
    <row r="492">
      <c r="H492" s="15"/>
    </row>
    <row r="493">
      <c r="H493" s="15"/>
    </row>
    <row r="494">
      <c r="H494" s="15"/>
    </row>
    <row r="495">
      <c r="H495" s="15"/>
    </row>
    <row r="496">
      <c r="H496" s="15"/>
    </row>
    <row r="497">
      <c r="H497" s="15"/>
    </row>
    <row r="498">
      <c r="H498" s="15"/>
    </row>
    <row r="499">
      <c r="H499" s="15"/>
    </row>
    <row r="500">
      <c r="H500" s="15"/>
    </row>
    <row r="501">
      <c r="H501" s="15"/>
    </row>
    <row r="502">
      <c r="H502" s="15"/>
    </row>
    <row r="503">
      <c r="H503" s="15"/>
    </row>
    <row r="504">
      <c r="H504" s="15"/>
    </row>
    <row r="505">
      <c r="H505" s="15"/>
    </row>
    <row r="506">
      <c r="H506" s="15"/>
    </row>
    <row r="507">
      <c r="H507" s="15"/>
    </row>
    <row r="508">
      <c r="H508" s="15"/>
    </row>
    <row r="509">
      <c r="H509" s="15"/>
    </row>
    <row r="510">
      <c r="H510" s="15"/>
    </row>
    <row r="511">
      <c r="H511" s="15"/>
    </row>
    <row r="512">
      <c r="H512" s="15"/>
    </row>
    <row r="513">
      <c r="H513" s="15"/>
    </row>
    <row r="514">
      <c r="H514" s="15"/>
    </row>
    <row r="515">
      <c r="H515" s="15"/>
    </row>
    <row r="516">
      <c r="H516" s="15"/>
    </row>
    <row r="517">
      <c r="H517" s="15"/>
    </row>
    <row r="518">
      <c r="H518" s="15"/>
    </row>
    <row r="519">
      <c r="H519" s="15"/>
    </row>
    <row r="520">
      <c r="H520" s="15"/>
    </row>
    <row r="521">
      <c r="H521" s="15"/>
    </row>
    <row r="522">
      <c r="H522" s="15"/>
    </row>
    <row r="523">
      <c r="H523" s="15"/>
    </row>
    <row r="524">
      <c r="H524" s="15"/>
    </row>
    <row r="525">
      <c r="H525" s="15"/>
    </row>
    <row r="526">
      <c r="H526" s="15"/>
    </row>
    <row r="527">
      <c r="H527" s="15"/>
    </row>
    <row r="528">
      <c r="H528" s="15"/>
    </row>
    <row r="529">
      <c r="H529" s="15"/>
    </row>
    <row r="530">
      <c r="H530" s="15"/>
    </row>
    <row r="531">
      <c r="H531" s="15"/>
    </row>
    <row r="532">
      <c r="H532" s="15"/>
    </row>
    <row r="533">
      <c r="H533" s="15"/>
    </row>
    <row r="534">
      <c r="H534" s="15"/>
    </row>
    <row r="535">
      <c r="H535" s="15"/>
    </row>
    <row r="536">
      <c r="H536" s="15"/>
    </row>
    <row r="537">
      <c r="H537" s="15"/>
    </row>
    <row r="538">
      <c r="H538" s="15"/>
    </row>
    <row r="539">
      <c r="H539" s="15"/>
    </row>
    <row r="540">
      <c r="H540" s="15"/>
    </row>
    <row r="541">
      <c r="H541" s="15"/>
    </row>
    <row r="542">
      <c r="H542" s="15"/>
    </row>
    <row r="543">
      <c r="H543" s="15"/>
    </row>
    <row r="544">
      <c r="H544" s="15"/>
    </row>
    <row r="545">
      <c r="H545" s="15"/>
    </row>
    <row r="546">
      <c r="H546" s="15"/>
    </row>
    <row r="547">
      <c r="H547" s="15"/>
    </row>
    <row r="548">
      <c r="H548" s="15"/>
    </row>
    <row r="549">
      <c r="H549" s="15"/>
    </row>
    <row r="550">
      <c r="H550" s="15"/>
    </row>
    <row r="551">
      <c r="H551" s="15"/>
    </row>
    <row r="552">
      <c r="H552" s="15"/>
    </row>
    <row r="553">
      <c r="H553" s="15"/>
    </row>
    <row r="554">
      <c r="H554" s="15"/>
    </row>
    <row r="555">
      <c r="H555" s="15"/>
    </row>
    <row r="556">
      <c r="H556" s="15"/>
    </row>
    <row r="557">
      <c r="H557" s="15"/>
    </row>
    <row r="558">
      <c r="H558" s="15"/>
    </row>
    <row r="559">
      <c r="H559" s="15"/>
    </row>
    <row r="560">
      <c r="H560" s="15"/>
    </row>
    <row r="561">
      <c r="H561" s="15"/>
    </row>
    <row r="562">
      <c r="H562" s="15"/>
    </row>
    <row r="563">
      <c r="H563" s="15"/>
    </row>
    <row r="564">
      <c r="H564" s="15"/>
    </row>
    <row r="565">
      <c r="H565" s="15"/>
    </row>
    <row r="566">
      <c r="H566" s="15"/>
    </row>
    <row r="567">
      <c r="H567" s="15"/>
    </row>
    <row r="568">
      <c r="H568" s="15"/>
    </row>
    <row r="569">
      <c r="H569" s="15"/>
    </row>
    <row r="570">
      <c r="H570" s="15"/>
    </row>
    <row r="571">
      <c r="H571" s="15"/>
    </row>
    <row r="572">
      <c r="H572" s="15"/>
    </row>
    <row r="573">
      <c r="H573" s="15"/>
    </row>
    <row r="574">
      <c r="H574" s="15"/>
    </row>
    <row r="575">
      <c r="H575" s="15"/>
    </row>
    <row r="576">
      <c r="H576" s="15"/>
    </row>
    <row r="577">
      <c r="H577" s="15"/>
    </row>
    <row r="578">
      <c r="H578" s="15"/>
    </row>
    <row r="579">
      <c r="H579" s="15"/>
    </row>
    <row r="580">
      <c r="H580" s="15"/>
    </row>
    <row r="581">
      <c r="H581" s="15"/>
    </row>
    <row r="582">
      <c r="H582" s="15"/>
    </row>
    <row r="583">
      <c r="H583" s="15"/>
    </row>
    <row r="584">
      <c r="H584" s="15"/>
    </row>
    <row r="585">
      <c r="H585" s="15"/>
    </row>
    <row r="586">
      <c r="H586" s="15"/>
    </row>
    <row r="587">
      <c r="H587" s="15"/>
    </row>
    <row r="588">
      <c r="H588" s="15"/>
    </row>
    <row r="589">
      <c r="H589" s="15"/>
    </row>
    <row r="590">
      <c r="H590" s="15"/>
    </row>
    <row r="591">
      <c r="H591" s="15"/>
    </row>
    <row r="592">
      <c r="H592" s="15"/>
    </row>
    <row r="593">
      <c r="H593" s="15"/>
    </row>
    <row r="594">
      <c r="H594" s="15"/>
    </row>
    <row r="595">
      <c r="H595" s="15"/>
    </row>
    <row r="596">
      <c r="H596" s="15"/>
    </row>
    <row r="597">
      <c r="H597" s="15"/>
    </row>
    <row r="598">
      <c r="H598" s="15"/>
    </row>
    <row r="599">
      <c r="H599" s="15"/>
    </row>
    <row r="600">
      <c r="H600" s="15"/>
    </row>
    <row r="601">
      <c r="H601" s="15"/>
    </row>
    <row r="602">
      <c r="H602" s="15"/>
    </row>
    <row r="603">
      <c r="H603" s="15"/>
    </row>
    <row r="604">
      <c r="H604" s="15"/>
    </row>
    <row r="605">
      <c r="H605" s="15"/>
    </row>
    <row r="606">
      <c r="H606" s="15"/>
    </row>
    <row r="607">
      <c r="H607" s="15"/>
    </row>
    <row r="608">
      <c r="H608" s="15"/>
    </row>
    <row r="609">
      <c r="H609" s="15"/>
    </row>
    <row r="610">
      <c r="H610" s="15"/>
    </row>
    <row r="611">
      <c r="H611" s="15"/>
    </row>
    <row r="612">
      <c r="H612" s="15"/>
    </row>
    <row r="613">
      <c r="H613" s="15"/>
    </row>
    <row r="614">
      <c r="H614" s="15"/>
    </row>
    <row r="615">
      <c r="H615" s="15"/>
    </row>
    <row r="616">
      <c r="H616" s="15"/>
    </row>
    <row r="617">
      <c r="H617" s="15"/>
    </row>
    <row r="618">
      <c r="H618" s="15"/>
    </row>
    <row r="619">
      <c r="H619" s="15"/>
    </row>
    <row r="620">
      <c r="H620" s="15"/>
    </row>
    <row r="621">
      <c r="H621" s="15"/>
    </row>
    <row r="622">
      <c r="H622" s="15"/>
    </row>
    <row r="623">
      <c r="H623" s="15"/>
    </row>
    <row r="624">
      <c r="H624" s="15"/>
    </row>
    <row r="625">
      <c r="H625" s="15"/>
    </row>
    <row r="626">
      <c r="H626" s="15"/>
    </row>
    <row r="627">
      <c r="H627" s="15"/>
    </row>
    <row r="628">
      <c r="H628" s="15"/>
    </row>
    <row r="629">
      <c r="H629" s="15"/>
    </row>
    <row r="630">
      <c r="H630" s="15"/>
    </row>
    <row r="631">
      <c r="H631" s="15"/>
    </row>
    <row r="632">
      <c r="H632" s="15"/>
    </row>
    <row r="633">
      <c r="H633" s="15"/>
    </row>
    <row r="634">
      <c r="H634" s="15"/>
    </row>
    <row r="635">
      <c r="H635" s="15"/>
    </row>
    <row r="636">
      <c r="H636" s="15"/>
    </row>
    <row r="637">
      <c r="H637" s="15"/>
    </row>
    <row r="638">
      <c r="H638" s="15"/>
    </row>
    <row r="639">
      <c r="H639" s="15"/>
    </row>
    <row r="640">
      <c r="H640" s="15"/>
    </row>
    <row r="641">
      <c r="H641" s="15"/>
    </row>
    <row r="642">
      <c r="H642" s="15"/>
    </row>
    <row r="643">
      <c r="H643" s="15"/>
    </row>
    <row r="644">
      <c r="H644" s="15"/>
    </row>
    <row r="645">
      <c r="H645" s="15"/>
    </row>
    <row r="646">
      <c r="H646" s="15"/>
    </row>
    <row r="647">
      <c r="H647" s="15"/>
    </row>
    <row r="648">
      <c r="H648" s="15"/>
    </row>
    <row r="649">
      <c r="H649" s="15"/>
    </row>
    <row r="650">
      <c r="H650" s="15"/>
    </row>
    <row r="651">
      <c r="H651" s="15"/>
    </row>
    <row r="652">
      <c r="H652" s="15"/>
    </row>
    <row r="653">
      <c r="H653" s="15"/>
    </row>
    <row r="654">
      <c r="H654" s="15"/>
    </row>
    <row r="655">
      <c r="H655" s="15"/>
    </row>
    <row r="656">
      <c r="H656" s="15"/>
    </row>
    <row r="657">
      <c r="H657" s="15"/>
    </row>
    <row r="658">
      <c r="H658" s="15"/>
    </row>
    <row r="659">
      <c r="H659" s="15"/>
    </row>
    <row r="660">
      <c r="H660" s="15"/>
    </row>
    <row r="661">
      <c r="H661" s="15"/>
    </row>
    <row r="662">
      <c r="H662" s="15"/>
    </row>
    <row r="663">
      <c r="H663" s="15"/>
    </row>
    <row r="664">
      <c r="H664" s="15"/>
    </row>
    <row r="665">
      <c r="H665" s="15"/>
    </row>
    <row r="666">
      <c r="H666" s="15"/>
    </row>
    <row r="667">
      <c r="H667" s="15"/>
    </row>
    <row r="668">
      <c r="H668" s="15"/>
    </row>
    <row r="669">
      <c r="H669" s="15"/>
    </row>
    <row r="670">
      <c r="H670" s="15"/>
    </row>
    <row r="671">
      <c r="H671" s="15"/>
    </row>
    <row r="672">
      <c r="H672" s="15"/>
    </row>
    <row r="673">
      <c r="H673" s="15"/>
    </row>
    <row r="674">
      <c r="H674" s="15"/>
    </row>
    <row r="675">
      <c r="H675" s="15"/>
    </row>
    <row r="676">
      <c r="H676" s="15"/>
    </row>
    <row r="677">
      <c r="H677" s="15"/>
    </row>
    <row r="678">
      <c r="H678" s="15"/>
    </row>
    <row r="679">
      <c r="H679" s="15"/>
    </row>
    <row r="680">
      <c r="H680" s="15"/>
    </row>
    <row r="681">
      <c r="H681" s="15"/>
    </row>
    <row r="682">
      <c r="H682" s="15"/>
    </row>
    <row r="683">
      <c r="H683" s="15"/>
    </row>
    <row r="684">
      <c r="H684" s="15"/>
    </row>
    <row r="685">
      <c r="H685" s="15"/>
    </row>
    <row r="686">
      <c r="H686" s="15"/>
    </row>
    <row r="687">
      <c r="H687" s="15"/>
    </row>
    <row r="688">
      <c r="H688" s="15"/>
    </row>
    <row r="689">
      <c r="H689" s="15"/>
    </row>
    <row r="690">
      <c r="H690" s="15"/>
    </row>
    <row r="691">
      <c r="H691" s="15"/>
    </row>
    <row r="692">
      <c r="H692" s="15"/>
    </row>
    <row r="693">
      <c r="H693" s="15"/>
    </row>
    <row r="694">
      <c r="H694" s="15"/>
    </row>
    <row r="695">
      <c r="H695" s="15"/>
    </row>
    <row r="696">
      <c r="H696" s="15"/>
    </row>
    <row r="697">
      <c r="H697" s="15"/>
    </row>
    <row r="698">
      <c r="H698" s="15"/>
    </row>
    <row r="699">
      <c r="H699" s="15"/>
    </row>
    <row r="700">
      <c r="H700" s="15"/>
    </row>
    <row r="701">
      <c r="H701" s="15"/>
    </row>
    <row r="702">
      <c r="H702" s="15"/>
    </row>
    <row r="703">
      <c r="H703" s="15"/>
    </row>
    <row r="704">
      <c r="H704" s="15"/>
    </row>
    <row r="705">
      <c r="H705" s="15"/>
    </row>
    <row r="706">
      <c r="H706" s="15"/>
    </row>
    <row r="707">
      <c r="H707" s="15"/>
    </row>
    <row r="708">
      <c r="H708" s="15"/>
    </row>
    <row r="709">
      <c r="H709" s="15"/>
    </row>
    <row r="710">
      <c r="H710" s="15"/>
    </row>
    <row r="711">
      <c r="H711" s="15"/>
    </row>
    <row r="712">
      <c r="H712" s="15"/>
    </row>
    <row r="713">
      <c r="H713" s="15"/>
    </row>
    <row r="714">
      <c r="H714" s="15"/>
    </row>
    <row r="715">
      <c r="H715" s="15"/>
    </row>
    <row r="716">
      <c r="H716" s="15"/>
    </row>
    <row r="717">
      <c r="H717" s="15"/>
    </row>
    <row r="718">
      <c r="H718" s="15"/>
    </row>
    <row r="719">
      <c r="H719" s="15"/>
    </row>
    <row r="720">
      <c r="H720" s="15"/>
    </row>
    <row r="721">
      <c r="H721" s="15"/>
    </row>
    <row r="722">
      <c r="H722" s="15"/>
    </row>
    <row r="723">
      <c r="H723" s="15"/>
    </row>
    <row r="724">
      <c r="H724" s="15"/>
    </row>
    <row r="725">
      <c r="H725" s="15"/>
    </row>
    <row r="726">
      <c r="H726" s="15"/>
    </row>
    <row r="727">
      <c r="H727" s="15"/>
    </row>
    <row r="728">
      <c r="H728" s="15"/>
    </row>
    <row r="729">
      <c r="H729" s="15"/>
    </row>
    <row r="730">
      <c r="H730" s="15"/>
    </row>
    <row r="731">
      <c r="H731" s="15"/>
    </row>
    <row r="732">
      <c r="H732" s="15"/>
    </row>
    <row r="733">
      <c r="H733" s="15"/>
    </row>
    <row r="734">
      <c r="H734" s="15"/>
    </row>
    <row r="735">
      <c r="H735" s="15"/>
    </row>
    <row r="736">
      <c r="H736" s="15"/>
    </row>
    <row r="737">
      <c r="H737" s="15"/>
    </row>
    <row r="738">
      <c r="H738" s="15"/>
    </row>
    <row r="739">
      <c r="H739" s="15"/>
    </row>
    <row r="740">
      <c r="H740" s="15"/>
    </row>
    <row r="741">
      <c r="H741" s="15"/>
    </row>
    <row r="742">
      <c r="H742" s="15"/>
    </row>
    <row r="743">
      <c r="H743" s="15"/>
    </row>
    <row r="744">
      <c r="H744" s="15"/>
    </row>
    <row r="745">
      <c r="H745" s="15"/>
    </row>
    <row r="746">
      <c r="H746" s="15"/>
    </row>
    <row r="747">
      <c r="H747" s="15"/>
    </row>
    <row r="748">
      <c r="H748" s="15"/>
    </row>
    <row r="749">
      <c r="H749" s="15"/>
    </row>
    <row r="750">
      <c r="H750" s="15"/>
    </row>
    <row r="751">
      <c r="H751" s="15"/>
    </row>
    <row r="752">
      <c r="H752" s="15"/>
    </row>
    <row r="753">
      <c r="H753" s="15"/>
    </row>
    <row r="754">
      <c r="H754" s="15"/>
    </row>
    <row r="755">
      <c r="H755" s="15"/>
    </row>
    <row r="756">
      <c r="H756" s="15"/>
    </row>
    <row r="757">
      <c r="H757" s="15"/>
    </row>
    <row r="758">
      <c r="H758" s="15"/>
    </row>
    <row r="759">
      <c r="H759" s="15"/>
    </row>
    <row r="760">
      <c r="H760" s="15"/>
    </row>
    <row r="761">
      <c r="H761" s="15"/>
    </row>
    <row r="762">
      <c r="H762" s="15"/>
    </row>
    <row r="763">
      <c r="H763" s="15"/>
    </row>
    <row r="764">
      <c r="H764" s="15"/>
    </row>
    <row r="765">
      <c r="H765" s="15"/>
    </row>
    <row r="766">
      <c r="H766" s="15"/>
    </row>
    <row r="767">
      <c r="H767" s="15"/>
    </row>
    <row r="768">
      <c r="H768" s="15"/>
    </row>
    <row r="769">
      <c r="H769" s="15"/>
    </row>
    <row r="770">
      <c r="H770" s="15"/>
    </row>
    <row r="771">
      <c r="H771" s="15"/>
    </row>
    <row r="772">
      <c r="H772" s="15"/>
    </row>
    <row r="773">
      <c r="H773" s="15"/>
    </row>
    <row r="774">
      <c r="H774" s="15"/>
    </row>
    <row r="775">
      <c r="H775" s="15"/>
    </row>
    <row r="776">
      <c r="H776" s="15"/>
    </row>
    <row r="777">
      <c r="H777" s="15"/>
    </row>
    <row r="778">
      <c r="H778" s="15"/>
    </row>
    <row r="779">
      <c r="H779" s="15"/>
    </row>
    <row r="780">
      <c r="H780" s="15"/>
    </row>
    <row r="781">
      <c r="H781" s="15"/>
    </row>
    <row r="782">
      <c r="H782" s="15"/>
    </row>
    <row r="783">
      <c r="H783" s="15"/>
    </row>
    <row r="784">
      <c r="H784" s="15"/>
    </row>
    <row r="785">
      <c r="H785" s="15"/>
    </row>
    <row r="786">
      <c r="H786" s="15"/>
    </row>
    <row r="787">
      <c r="H787" s="15"/>
    </row>
    <row r="788">
      <c r="H788" s="15"/>
    </row>
    <row r="789">
      <c r="H789" s="15"/>
    </row>
    <row r="790">
      <c r="H790" s="15"/>
    </row>
    <row r="791">
      <c r="H791" s="15"/>
    </row>
    <row r="792">
      <c r="H792" s="15"/>
    </row>
    <row r="793">
      <c r="H793" s="15"/>
    </row>
    <row r="794">
      <c r="H794" s="15"/>
    </row>
    <row r="795">
      <c r="H795" s="15"/>
    </row>
    <row r="796">
      <c r="H796" s="15"/>
    </row>
    <row r="797">
      <c r="H797" s="15"/>
    </row>
    <row r="798">
      <c r="H798" s="15"/>
    </row>
    <row r="799">
      <c r="H799" s="15"/>
    </row>
    <row r="800">
      <c r="H800" s="15"/>
    </row>
    <row r="801">
      <c r="H801" s="15"/>
    </row>
    <row r="802">
      <c r="H802" s="15"/>
    </row>
    <row r="803">
      <c r="H803" s="15"/>
    </row>
    <row r="804">
      <c r="H804" s="15"/>
    </row>
    <row r="805">
      <c r="H805" s="15"/>
    </row>
    <row r="806">
      <c r="H806" s="15"/>
    </row>
    <row r="807">
      <c r="H807" s="15"/>
    </row>
    <row r="808">
      <c r="H808" s="15"/>
    </row>
    <row r="809">
      <c r="H809" s="15"/>
    </row>
    <row r="810">
      <c r="H810" s="15"/>
    </row>
    <row r="811">
      <c r="H811" s="15"/>
    </row>
    <row r="812">
      <c r="H812" s="15"/>
    </row>
    <row r="813">
      <c r="H813" s="15"/>
    </row>
    <row r="814">
      <c r="H814" s="15"/>
    </row>
    <row r="815">
      <c r="H815" s="15"/>
    </row>
    <row r="816">
      <c r="H816" s="15"/>
    </row>
    <row r="817">
      <c r="H817" s="15"/>
    </row>
    <row r="818">
      <c r="H818" s="15"/>
    </row>
    <row r="819">
      <c r="H819" s="15"/>
    </row>
    <row r="820">
      <c r="H820" s="15"/>
    </row>
    <row r="821">
      <c r="H821" s="15"/>
    </row>
    <row r="822">
      <c r="H822" s="15"/>
    </row>
    <row r="823">
      <c r="H823" s="15"/>
    </row>
    <row r="824">
      <c r="H824" s="15"/>
    </row>
    <row r="825">
      <c r="H825" s="15"/>
    </row>
    <row r="826">
      <c r="H826" s="15"/>
    </row>
    <row r="827">
      <c r="H827" s="15"/>
    </row>
    <row r="828">
      <c r="H828" s="15"/>
    </row>
    <row r="829">
      <c r="H829" s="15"/>
    </row>
    <row r="830">
      <c r="H830" s="15"/>
    </row>
    <row r="831">
      <c r="H831" s="15"/>
    </row>
    <row r="832">
      <c r="H832" s="15"/>
    </row>
    <row r="833">
      <c r="H833" s="15"/>
    </row>
    <row r="834">
      <c r="H834" s="15"/>
    </row>
    <row r="835">
      <c r="H835" s="15"/>
    </row>
    <row r="836">
      <c r="H836" s="15"/>
    </row>
    <row r="837">
      <c r="H837" s="15"/>
    </row>
    <row r="838">
      <c r="H838" s="15"/>
    </row>
    <row r="839">
      <c r="H839" s="15"/>
    </row>
    <row r="840">
      <c r="H840" s="15"/>
    </row>
    <row r="841">
      <c r="H841" s="15"/>
    </row>
    <row r="842">
      <c r="H842" s="15"/>
    </row>
    <row r="843">
      <c r="H843" s="15"/>
    </row>
    <row r="844">
      <c r="H844" s="15"/>
    </row>
    <row r="845">
      <c r="H845" s="15"/>
    </row>
    <row r="846">
      <c r="H846" s="15"/>
    </row>
    <row r="847">
      <c r="H847" s="15"/>
    </row>
    <row r="848">
      <c r="H848" s="15"/>
    </row>
    <row r="849">
      <c r="H849" s="15"/>
    </row>
    <row r="850">
      <c r="H850" s="15"/>
    </row>
    <row r="851">
      <c r="H851" s="15"/>
    </row>
    <row r="852">
      <c r="H852" s="15"/>
    </row>
    <row r="853">
      <c r="H853" s="15"/>
    </row>
    <row r="854">
      <c r="H854" s="15"/>
    </row>
    <row r="855">
      <c r="H855" s="15"/>
    </row>
    <row r="856">
      <c r="H856" s="15"/>
    </row>
    <row r="857">
      <c r="H857" s="15"/>
    </row>
    <row r="858">
      <c r="H858" s="15"/>
    </row>
    <row r="859">
      <c r="H859" s="15"/>
    </row>
    <row r="860">
      <c r="H860" s="15"/>
    </row>
    <row r="861">
      <c r="H861" s="15"/>
    </row>
    <row r="862">
      <c r="H862" s="15"/>
    </row>
    <row r="863">
      <c r="H863" s="15"/>
    </row>
    <row r="864">
      <c r="H864" s="15"/>
    </row>
    <row r="865">
      <c r="H865" s="15"/>
    </row>
    <row r="866">
      <c r="H866" s="15"/>
    </row>
    <row r="867">
      <c r="H867" s="15"/>
    </row>
    <row r="868">
      <c r="H868" s="15"/>
    </row>
    <row r="869">
      <c r="H869" s="15"/>
    </row>
    <row r="870">
      <c r="H870" s="15"/>
    </row>
    <row r="871">
      <c r="H871" s="15"/>
    </row>
    <row r="872">
      <c r="H872" s="15"/>
    </row>
    <row r="873">
      <c r="H873" s="15"/>
    </row>
    <row r="874">
      <c r="H874" s="15"/>
    </row>
    <row r="875">
      <c r="H875" s="15"/>
    </row>
    <row r="876">
      <c r="H876" s="15"/>
    </row>
    <row r="877">
      <c r="H877" s="15"/>
    </row>
    <row r="878">
      <c r="H878" s="15"/>
    </row>
    <row r="879">
      <c r="H879" s="15"/>
    </row>
    <row r="880">
      <c r="H880" s="15"/>
    </row>
    <row r="881">
      <c r="H881" s="15"/>
    </row>
    <row r="882">
      <c r="H882" s="15"/>
    </row>
    <row r="883">
      <c r="H883" s="15"/>
    </row>
    <row r="884">
      <c r="H884" s="15"/>
    </row>
    <row r="885">
      <c r="H885" s="15"/>
    </row>
    <row r="886">
      <c r="H886" s="15"/>
    </row>
    <row r="887">
      <c r="H887" s="15"/>
    </row>
    <row r="888">
      <c r="H888" s="15"/>
    </row>
    <row r="889">
      <c r="H889" s="15"/>
    </row>
    <row r="890">
      <c r="H890" s="15"/>
    </row>
    <row r="891">
      <c r="H891" s="15"/>
    </row>
    <row r="892">
      <c r="H892" s="15"/>
    </row>
    <row r="893">
      <c r="H893" s="15"/>
    </row>
    <row r="894">
      <c r="H894" s="15"/>
    </row>
    <row r="895">
      <c r="H895" s="15"/>
    </row>
    <row r="896">
      <c r="H896" s="15"/>
    </row>
    <row r="897">
      <c r="H897" s="15"/>
    </row>
    <row r="898">
      <c r="H898" s="15"/>
    </row>
    <row r="899">
      <c r="H899" s="15"/>
    </row>
    <row r="900">
      <c r="H900" s="15"/>
    </row>
    <row r="901">
      <c r="H901" s="15"/>
    </row>
    <row r="902">
      <c r="H902" s="15"/>
    </row>
    <row r="903">
      <c r="H903" s="15"/>
    </row>
    <row r="904">
      <c r="H904" s="15"/>
    </row>
    <row r="905">
      <c r="H905" s="15"/>
    </row>
    <row r="906">
      <c r="H906" s="15"/>
    </row>
    <row r="907">
      <c r="H907" s="15"/>
    </row>
    <row r="908">
      <c r="H908" s="15"/>
    </row>
    <row r="909">
      <c r="H909" s="15"/>
    </row>
    <row r="910">
      <c r="H910" s="15"/>
    </row>
    <row r="911">
      <c r="H911" s="15"/>
    </row>
    <row r="912">
      <c r="H912" s="15"/>
    </row>
    <row r="913">
      <c r="H913" s="15"/>
    </row>
    <row r="914">
      <c r="H914" s="15"/>
    </row>
    <row r="915">
      <c r="H915" s="15"/>
    </row>
    <row r="916">
      <c r="H916" s="15"/>
    </row>
    <row r="917">
      <c r="H917" s="15"/>
    </row>
    <row r="918">
      <c r="H918" s="15"/>
    </row>
    <row r="919">
      <c r="H919" s="15"/>
    </row>
    <row r="920">
      <c r="H920" s="15"/>
    </row>
    <row r="921">
      <c r="H921" s="15"/>
    </row>
    <row r="922">
      <c r="H922" s="15"/>
    </row>
    <row r="923">
      <c r="H923" s="15"/>
    </row>
    <row r="924">
      <c r="H924" s="15"/>
    </row>
    <row r="925">
      <c r="H925" s="15"/>
    </row>
    <row r="926">
      <c r="H926" s="15"/>
    </row>
    <row r="927">
      <c r="H927" s="15"/>
    </row>
    <row r="928">
      <c r="H928" s="15"/>
    </row>
    <row r="929">
      <c r="H929" s="15"/>
    </row>
    <row r="930">
      <c r="H930" s="15"/>
    </row>
    <row r="931">
      <c r="H931" s="15"/>
    </row>
    <row r="932">
      <c r="H932" s="15"/>
    </row>
    <row r="933">
      <c r="H933" s="15"/>
    </row>
    <row r="934">
      <c r="H934" s="15"/>
    </row>
    <row r="935">
      <c r="H935" s="15"/>
    </row>
    <row r="936">
      <c r="H936" s="15"/>
    </row>
    <row r="937">
      <c r="H937" s="15"/>
    </row>
    <row r="938">
      <c r="H938" s="15"/>
    </row>
    <row r="939">
      <c r="H939" s="15"/>
    </row>
    <row r="940">
      <c r="H940" s="15"/>
    </row>
    <row r="941">
      <c r="H941" s="15"/>
    </row>
    <row r="942">
      <c r="H942" s="15"/>
    </row>
    <row r="943">
      <c r="H943" s="15"/>
    </row>
    <row r="944">
      <c r="H944" s="15"/>
    </row>
    <row r="945">
      <c r="H945" s="15"/>
    </row>
    <row r="946">
      <c r="H946" s="15"/>
    </row>
    <row r="947">
      <c r="H947" s="15"/>
    </row>
    <row r="948">
      <c r="H948" s="15"/>
    </row>
    <row r="949">
      <c r="H949" s="15"/>
    </row>
    <row r="950">
      <c r="H950" s="15"/>
    </row>
    <row r="951">
      <c r="H951" s="15"/>
    </row>
    <row r="952">
      <c r="H952" s="15"/>
    </row>
    <row r="953">
      <c r="H953" s="15"/>
    </row>
    <row r="954">
      <c r="H954" s="15"/>
    </row>
    <row r="955">
      <c r="H955" s="15"/>
    </row>
    <row r="956">
      <c r="H956" s="15"/>
    </row>
    <row r="957">
      <c r="H957" s="15"/>
    </row>
    <row r="958">
      <c r="H958" s="15"/>
    </row>
    <row r="959">
      <c r="H959" s="15"/>
    </row>
    <row r="960">
      <c r="H960" s="15"/>
    </row>
    <row r="961">
      <c r="H961" s="15"/>
    </row>
    <row r="962">
      <c r="H962" s="15"/>
    </row>
    <row r="963">
      <c r="H963" s="15"/>
    </row>
    <row r="964">
      <c r="H964" s="15"/>
    </row>
    <row r="965">
      <c r="H965" s="15"/>
    </row>
    <row r="966">
      <c r="H966" s="15"/>
    </row>
    <row r="967">
      <c r="H967" s="15"/>
    </row>
    <row r="968">
      <c r="H968" s="15"/>
    </row>
    <row r="969">
      <c r="H969" s="15"/>
    </row>
    <row r="970">
      <c r="H970" s="15"/>
    </row>
    <row r="971">
      <c r="H971" s="15"/>
    </row>
    <row r="972">
      <c r="H972" s="15"/>
    </row>
    <row r="973">
      <c r="H973" s="15"/>
    </row>
    <row r="974">
      <c r="H974" s="15"/>
    </row>
    <row r="975">
      <c r="H975" s="15"/>
    </row>
    <row r="976">
      <c r="H976" s="15"/>
    </row>
    <row r="977">
      <c r="H977" s="15"/>
    </row>
    <row r="978">
      <c r="H978" s="15"/>
    </row>
    <row r="979">
      <c r="H979" s="15"/>
    </row>
    <row r="980">
      <c r="H980" s="15"/>
    </row>
    <row r="981">
      <c r="H981" s="15"/>
    </row>
    <row r="982">
      <c r="H982" s="15"/>
    </row>
    <row r="983">
      <c r="H983" s="15"/>
    </row>
    <row r="984">
      <c r="H984" s="15"/>
    </row>
    <row r="985">
      <c r="H985" s="15"/>
    </row>
    <row r="986">
      <c r="H986" s="15"/>
    </row>
    <row r="987">
      <c r="H987" s="15"/>
    </row>
    <row r="988">
      <c r="H988" s="15"/>
    </row>
    <row r="989">
      <c r="H989" s="15"/>
    </row>
    <row r="990">
      <c r="H990" s="15"/>
    </row>
    <row r="991">
      <c r="H991" s="15"/>
    </row>
    <row r="992">
      <c r="H992" s="15"/>
    </row>
    <row r="993">
      <c r="H993" s="15"/>
    </row>
    <row r="994">
      <c r="H994" s="15"/>
    </row>
    <row r="995">
      <c r="H995" s="15"/>
    </row>
    <row r="996">
      <c r="H996" s="15"/>
    </row>
    <row r="997">
      <c r="H997" s="15"/>
    </row>
    <row r="998">
      <c r="H998" s="15"/>
    </row>
    <row r="999">
      <c r="H999" s="15"/>
    </row>
    <row r="1000">
      <c r="H1000" s="15"/>
    </row>
    <row r="1001">
      <c r="H1001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23</v>
      </c>
      <c r="F1" s="1" t="s">
        <v>113</v>
      </c>
      <c r="G1" s="1" t="s">
        <v>4</v>
      </c>
      <c r="H1" s="1" t="s">
        <v>114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50.25" customHeight="1">
      <c r="A2" s="6" t="s">
        <v>115</v>
      </c>
      <c r="B2" s="6">
        <v>20.0</v>
      </c>
      <c r="C2" s="6">
        <v>20.0</v>
      </c>
      <c r="E2" s="7"/>
      <c r="F2" s="6"/>
      <c r="G2" s="6">
        <v>1.0</v>
      </c>
      <c r="H2" s="6" t="s">
        <v>116</v>
      </c>
    </row>
    <row r="3" ht="50.25" customHeight="1">
      <c r="A3" s="6" t="s">
        <v>117</v>
      </c>
      <c r="B3" s="6">
        <v>8.0</v>
      </c>
      <c r="C3" s="6">
        <v>7.5</v>
      </c>
      <c r="E3" s="7"/>
      <c r="F3" s="6"/>
      <c r="G3" s="6">
        <v>1.0</v>
      </c>
      <c r="H3" s="6" t="s">
        <v>118</v>
      </c>
    </row>
    <row r="4" ht="50.25" customHeight="1">
      <c r="A4" s="6" t="s">
        <v>119</v>
      </c>
      <c r="B4" s="6">
        <v>5.0</v>
      </c>
      <c r="C4" s="6">
        <v>4.0</v>
      </c>
      <c r="E4" s="7"/>
      <c r="F4" s="6"/>
      <c r="G4" s="6">
        <v>1.0</v>
      </c>
    </row>
    <row r="5" ht="50.25" customHeight="1">
      <c r="A5" s="6" t="s">
        <v>120</v>
      </c>
      <c r="B5" s="6">
        <v>2.0</v>
      </c>
      <c r="C5" s="6">
        <v>3.5</v>
      </c>
      <c r="E5" s="7"/>
      <c r="F5" s="6"/>
      <c r="G5" s="6">
        <v>0.0</v>
      </c>
    </row>
    <row r="6">
      <c r="A6" s="6" t="s">
        <v>121</v>
      </c>
      <c r="B6" s="6">
        <v>7.7</v>
      </c>
      <c r="C6" s="6">
        <v>10.0</v>
      </c>
      <c r="F6" s="6"/>
      <c r="G6" s="6">
        <v>1.0</v>
      </c>
      <c r="H6" s="6" t="s">
        <v>118</v>
      </c>
    </row>
    <row r="7">
      <c r="A7" s="6" t="s">
        <v>122</v>
      </c>
      <c r="B7" s="6">
        <v>4.0</v>
      </c>
      <c r="C7" s="6">
        <v>7.0</v>
      </c>
      <c r="F7" s="6"/>
      <c r="G7" s="6">
        <v>1.0</v>
      </c>
      <c r="H7" s="6" t="s">
        <v>118</v>
      </c>
    </row>
    <row r="8">
      <c r="A8" s="6" t="s">
        <v>123</v>
      </c>
      <c r="B8" s="6">
        <v>6.0</v>
      </c>
      <c r="C8" s="6">
        <v>7.0</v>
      </c>
      <c r="F8" s="6"/>
      <c r="G8" s="6">
        <v>0.0</v>
      </c>
      <c r="H8" s="6" t="s">
        <v>124</v>
      </c>
    </row>
    <row r="9">
      <c r="A9" s="6" t="s">
        <v>125</v>
      </c>
      <c r="B9" s="6">
        <v>3.5</v>
      </c>
      <c r="C9" s="6">
        <v>9.0</v>
      </c>
      <c r="D9" s="6" t="s">
        <v>126</v>
      </c>
      <c r="F9" s="6"/>
      <c r="G9" s="6">
        <v>1.0</v>
      </c>
      <c r="H9" s="6" t="s">
        <v>127</v>
      </c>
      <c r="I9" s="17"/>
    </row>
    <row r="10">
      <c r="A10" s="6" t="s">
        <v>128</v>
      </c>
      <c r="B10" s="6">
        <v>6.0</v>
      </c>
      <c r="D10" s="6" t="s">
        <v>129</v>
      </c>
    </row>
    <row r="11">
      <c r="A11" s="6" t="s">
        <v>130</v>
      </c>
      <c r="B11" s="6">
        <v>20.0</v>
      </c>
      <c r="C11" s="6">
        <v>27.0</v>
      </c>
      <c r="D11" s="6" t="s">
        <v>131</v>
      </c>
      <c r="G11" s="6">
        <v>1.0</v>
      </c>
      <c r="H11" s="6" t="s">
        <v>132</v>
      </c>
    </row>
    <row r="12">
      <c r="A12" s="6" t="s">
        <v>133</v>
      </c>
      <c r="B12" s="6">
        <v>5.0</v>
      </c>
      <c r="G12" s="6">
        <v>0.0</v>
      </c>
    </row>
    <row r="13">
      <c r="A13" s="6" t="s">
        <v>134</v>
      </c>
      <c r="B13" s="6">
        <v>5.0</v>
      </c>
      <c r="C13" s="6">
        <v>8.0</v>
      </c>
      <c r="G13" s="6">
        <v>0.0</v>
      </c>
    </row>
    <row r="14">
      <c r="A14" s="6" t="s">
        <v>135</v>
      </c>
      <c r="B14" s="6">
        <v>3.5</v>
      </c>
      <c r="H14" s="6" t="s">
        <v>136</v>
      </c>
    </row>
    <row r="15">
      <c r="A15" s="6" t="s">
        <v>123</v>
      </c>
      <c r="B15" s="6">
        <v>8.0</v>
      </c>
      <c r="C15" s="6">
        <v>5.0</v>
      </c>
    </row>
    <row r="16">
      <c r="A16" s="6" t="s">
        <v>137</v>
      </c>
      <c r="B16" s="6">
        <v>5.0</v>
      </c>
      <c r="D16" s="6" t="s">
        <v>138</v>
      </c>
      <c r="H16" s="6" t="s">
        <v>116</v>
      </c>
    </row>
    <row r="17">
      <c r="A17" s="6" t="s">
        <v>139</v>
      </c>
      <c r="B17" s="6">
        <v>2.5</v>
      </c>
      <c r="D17" s="6" t="s">
        <v>140</v>
      </c>
      <c r="H17" s="6" t="s">
        <v>116</v>
      </c>
    </row>
    <row r="20">
      <c r="B20" s="7">
        <f>median(B2:B17)</f>
        <v>5</v>
      </c>
      <c r="C20" s="7">
        <f>median(C2:C16)</f>
        <v>7.5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0.25" customHeight="1">
      <c r="A2" s="6">
        <v>53.0</v>
      </c>
      <c r="B2" s="6">
        <v>595.0</v>
      </c>
      <c r="C2" s="6" t="s">
        <v>94</v>
      </c>
      <c r="D2" s="6">
        <v>1.0</v>
      </c>
      <c r="F2" s="7"/>
      <c r="G2" s="6"/>
      <c r="H2" s="7"/>
    </row>
    <row r="3" ht="50.25" customHeight="1">
      <c r="A3" s="6">
        <v>53.0</v>
      </c>
      <c r="B3" s="6">
        <v>596.0</v>
      </c>
      <c r="D3" s="6">
        <v>1.0</v>
      </c>
      <c r="E3" s="6">
        <v>1.0</v>
      </c>
      <c r="F3" s="7"/>
    </row>
    <row r="4" ht="50.25" customHeight="1">
      <c r="A4" s="6">
        <v>53.0</v>
      </c>
      <c r="B4" s="6">
        <v>597.0</v>
      </c>
      <c r="C4" s="6" t="s">
        <v>94</v>
      </c>
      <c r="D4" s="6">
        <v>1.0</v>
      </c>
      <c r="F4" s="7"/>
    </row>
    <row r="5" ht="50.25" customHeight="1">
      <c r="A5" s="6">
        <v>53.0</v>
      </c>
      <c r="B5" s="6">
        <v>600.0</v>
      </c>
      <c r="C5" s="6" t="s">
        <v>17</v>
      </c>
      <c r="E5" s="6">
        <v>1.0</v>
      </c>
      <c r="F5" s="7"/>
    </row>
    <row r="6" ht="50.25" customHeight="1">
      <c r="A6" s="6">
        <v>53.0</v>
      </c>
      <c r="B6" s="6">
        <v>601.0</v>
      </c>
      <c r="D6" s="6">
        <v>1.0</v>
      </c>
      <c r="E6" s="6">
        <v>1.0</v>
      </c>
      <c r="F6" s="7"/>
    </row>
    <row r="7" ht="50.25" customHeight="1">
      <c r="A7" s="6">
        <v>53.0</v>
      </c>
      <c r="B7" s="6">
        <v>602.0</v>
      </c>
      <c r="F7" s="7"/>
    </row>
    <row r="8" ht="50.25" customHeight="1">
      <c r="A8" s="6">
        <v>53.0</v>
      </c>
      <c r="B8" s="6">
        <v>603.0</v>
      </c>
      <c r="F8" s="7"/>
    </row>
    <row r="9" ht="50.25" customHeight="1">
      <c r="A9" s="6">
        <v>53.0</v>
      </c>
      <c r="B9" s="6">
        <v>604.0</v>
      </c>
      <c r="F9" s="7"/>
    </row>
    <row r="10" ht="50.25" customHeight="1">
      <c r="A10" s="6">
        <v>53.0</v>
      </c>
      <c r="B10" s="6">
        <v>605.0</v>
      </c>
      <c r="F10" s="7"/>
    </row>
    <row r="11" ht="50.25" customHeight="1">
      <c r="A11" s="6">
        <v>53.0</v>
      </c>
      <c r="B11" s="6">
        <v>606.0</v>
      </c>
      <c r="F11" s="7"/>
    </row>
    <row r="12" ht="50.25" customHeight="1">
      <c r="A12" s="6">
        <v>53.0</v>
      </c>
      <c r="B12" s="6">
        <v>607.0</v>
      </c>
      <c r="D12" s="6">
        <v>1.0</v>
      </c>
      <c r="F12" s="7"/>
    </row>
    <row r="13" ht="50.25" customHeight="1">
      <c r="A13" s="6">
        <v>53.0</v>
      </c>
      <c r="B13" s="6">
        <v>608.0</v>
      </c>
      <c r="F13" s="7"/>
    </row>
    <row r="14" ht="50.25" customHeight="1">
      <c r="A14" s="6">
        <v>53.0</v>
      </c>
      <c r="B14" s="6">
        <v>609.0</v>
      </c>
      <c r="D14" s="6">
        <v>1.0</v>
      </c>
      <c r="E14" s="6">
        <v>1.0</v>
      </c>
      <c r="F14" s="7"/>
      <c r="G14" s="6"/>
      <c r="H14" s="7"/>
    </row>
    <row r="15" ht="50.25" customHeight="1">
      <c r="A15" s="6">
        <v>53.0</v>
      </c>
      <c r="B15" s="6">
        <v>610.0</v>
      </c>
      <c r="F15" s="7"/>
    </row>
    <row r="16" ht="50.25" customHeight="1">
      <c r="A16" s="6">
        <v>53.0</v>
      </c>
      <c r="B16" s="6">
        <v>611.0</v>
      </c>
      <c r="E16" s="6">
        <v>1.0</v>
      </c>
      <c r="F16" s="7"/>
    </row>
    <row r="17" ht="50.25" customHeight="1">
      <c r="A17" s="6">
        <v>53.0</v>
      </c>
      <c r="B17" s="6">
        <v>612.0</v>
      </c>
      <c r="F17" s="7"/>
    </row>
    <row r="18" ht="50.25" customHeight="1">
      <c r="A18" s="6">
        <v>53.0</v>
      </c>
      <c r="B18" s="6">
        <v>613.0</v>
      </c>
      <c r="F18" s="7"/>
    </row>
    <row r="19" ht="50.25" customHeight="1">
      <c r="A19" s="6">
        <v>53.0</v>
      </c>
      <c r="B19" s="6">
        <v>614.0</v>
      </c>
      <c r="D19" s="6">
        <v>1.0</v>
      </c>
      <c r="F19" s="7"/>
    </row>
    <row r="20" ht="50.25" customHeight="1">
      <c r="A20" s="6">
        <v>53.0</v>
      </c>
      <c r="B20" s="6">
        <v>615.0</v>
      </c>
      <c r="F20" s="7"/>
    </row>
    <row r="21" ht="50.25" customHeight="1">
      <c r="A21" s="6">
        <v>53.0</v>
      </c>
      <c r="B21" s="6">
        <v>616.0</v>
      </c>
      <c r="D21" s="6">
        <v>1.0</v>
      </c>
      <c r="F21" s="7"/>
    </row>
    <row r="22" ht="50.25" customHeight="1">
      <c r="A22" s="6">
        <v>53.0</v>
      </c>
      <c r="B22" s="6">
        <v>617.0</v>
      </c>
      <c r="F22" s="7"/>
    </row>
    <row r="23" ht="50.25" customHeight="1">
      <c r="A23" s="6">
        <v>53.0</v>
      </c>
      <c r="B23" s="6">
        <v>618.0</v>
      </c>
      <c r="E23" s="6">
        <v>1.0</v>
      </c>
      <c r="F23" s="7"/>
    </row>
    <row r="24" ht="50.25" customHeight="1">
      <c r="A24" s="6">
        <v>53.0</v>
      </c>
      <c r="B24" s="6">
        <v>619.0</v>
      </c>
      <c r="D24" s="6">
        <v>1.0</v>
      </c>
      <c r="F24" s="7"/>
    </row>
    <row r="25" ht="50.25" customHeight="1">
      <c r="A25" s="6">
        <v>53.0</v>
      </c>
      <c r="B25" s="6">
        <v>620.0</v>
      </c>
      <c r="F25" s="7"/>
    </row>
    <row r="26" ht="50.25" customHeight="1">
      <c r="A26" s="6">
        <v>53.0</v>
      </c>
      <c r="B26" s="6">
        <v>621.0</v>
      </c>
      <c r="F26" s="7"/>
    </row>
    <row r="27" ht="50.25" customHeight="1">
      <c r="A27" s="6">
        <v>53.0</v>
      </c>
      <c r="B27" s="6">
        <v>622.0</v>
      </c>
      <c r="F27" s="7"/>
    </row>
    <row r="28" ht="50.25" customHeight="1">
      <c r="A28" s="6">
        <v>53.0</v>
      </c>
      <c r="B28" s="6">
        <v>623.0</v>
      </c>
      <c r="F28" s="7"/>
    </row>
    <row r="29" ht="50.25" customHeight="1">
      <c r="A29" s="6">
        <v>53.0</v>
      </c>
      <c r="B29" s="6">
        <v>624.0</v>
      </c>
      <c r="F29" s="7"/>
    </row>
    <row r="30" ht="50.25" customHeight="1">
      <c r="A30" s="6">
        <v>53.0</v>
      </c>
      <c r="B30" s="6">
        <v>625.0</v>
      </c>
      <c r="F30" s="7"/>
    </row>
    <row r="31" ht="50.25" customHeight="1">
      <c r="A31" s="6">
        <v>53.0</v>
      </c>
      <c r="B31" s="6">
        <v>626.0</v>
      </c>
      <c r="D31" s="6">
        <v>1.0</v>
      </c>
      <c r="F31" s="7"/>
    </row>
    <row r="32" ht="50.25" customHeight="1">
      <c r="A32" s="6">
        <v>53.0</v>
      </c>
      <c r="B32" s="6">
        <v>628.0</v>
      </c>
      <c r="D32" s="6">
        <v>1.0</v>
      </c>
      <c r="F32" s="7"/>
    </row>
    <row r="33" ht="50.25" customHeight="1">
      <c r="A33" s="6">
        <v>53.0</v>
      </c>
      <c r="B33" s="6">
        <v>629.0</v>
      </c>
      <c r="F33" s="7"/>
    </row>
    <row r="34" ht="50.25" customHeight="1">
      <c r="A34" s="6">
        <v>53.0</v>
      </c>
      <c r="B34" s="6">
        <v>630.0</v>
      </c>
      <c r="F34" s="7"/>
    </row>
    <row r="35" ht="50.25" customHeight="1">
      <c r="A35" s="6">
        <v>53.0</v>
      </c>
      <c r="B35" s="6">
        <v>631.0</v>
      </c>
      <c r="F35" s="7"/>
    </row>
    <row r="36" ht="50.25" customHeight="1">
      <c r="A36" s="6">
        <v>53.0</v>
      </c>
      <c r="B36" s="6">
        <v>632.0</v>
      </c>
      <c r="F36" s="7"/>
    </row>
    <row r="37" ht="50.25" customHeight="1">
      <c r="A37" s="6">
        <v>53.0</v>
      </c>
      <c r="B37" s="6">
        <v>634.0</v>
      </c>
      <c r="F37" s="7"/>
    </row>
    <row r="38" ht="50.25" customHeight="1">
      <c r="A38" s="6">
        <v>53.0</v>
      </c>
      <c r="B38" s="6">
        <v>636.0</v>
      </c>
      <c r="F38" s="7"/>
    </row>
    <row r="39" ht="50.25" customHeight="1">
      <c r="A39" s="6">
        <v>53.0</v>
      </c>
      <c r="B39" s="6">
        <v>637.0</v>
      </c>
      <c r="D39" s="6">
        <v>1.0</v>
      </c>
      <c r="F39" s="7"/>
    </row>
    <row r="40" ht="50.25" customHeight="1">
      <c r="A40" s="6">
        <v>53.0</v>
      </c>
      <c r="B40" s="6">
        <v>638.0</v>
      </c>
      <c r="F40" s="7"/>
    </row>
    <row r="41" ht="50.25" customHeight="1">
      <c r="A41" s="6">
        <v>53.0</v>
      </c>
      <c r="B41" s="6">
        <v>720.0</v>
      </c>
      <c r="D41" s="6">
        <v>1.0</v>
      </c>
      <c r="F41" s="7"/>
    </row>
    <row r="44">
      <c r="C44" s="6" t="s">
        <v>141</v>
      </c>
      <c r="D44" s="7">
        <f t="shared" ref="D44:E44" si="1">sum(D2:D41)</f>
        <v>13</v>
      </c>
      <c r="E44" s="7">
        <f t="shared" si="1"/>
        <v>6</v>
      </c>
      <c r="F44" s="7">
        <f>count(B2:B41)</f>
        <v>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4" t="s">
        <v>142</v>
      </c>
      <c r="C1" s="4" t="s">
        <v>143</v>
      </c>
      <c r="D1" s="4" t="s">
        <v>6</v>
      </c>
      <c r="E1" s="6" t="s">
        <v>7</v>
      </c>
      <c r="F1" s="6" t="s">
        <v>8</v>
      </c>
      <c r="G1" s="6" t="s">
        <v>9</v>
      </c>
      <c r="H1" s="4" t="s">
        <v>144</v>
      </c>
      <c r="I1" s="4" t="s">
        <v>145</v>
      </c>
      <c r="J1" s="4" t="s">
        <v>146</v>
      </c>
      <c r="K1" s="4" t="s">
        <v>13</v>
      </c>
      <c r="L1" s="4" t="s">
        <v>147</v>
      </c>
      <c r="M1" s="4" t="s">
        <v>8</v>
      </c>
      <c r="N1" s="4" t="s">
        <v>9</v>
      </c>
      <c r="O1" s="4" t="s">
        <v>144</v>
      </c>
      <c r="P1" s="4" t="s">
        <v>145</v>
      </c>
      <c r="Q1" s="4" t="s">
        <v>146</v>
      </c>
      <c r="R1" s="4" t="s">
        <v>13</v>
      </c>
      <c r="S1" s="4" t="s">
        <v>14</v>
      </c>
      <c r="T1" s="4" t="s">
        <v>15</v>
      </c>
      <c r="U1" s="4" t="s">
        <v>148</v>
      </c>
      <c r="V1" s="4" t="s">
        <v>149</v>
      </c>
      <c r="W1" s="4" t="s">
        <v>150</v>
      </c>
      <c r="X1" s="4" t="s">
        <v>151</v>
      </c>
      <c r="Y1" s="4" t="s">
        <v>152</v>
      </c>
      <c r="Z1" s="4" t="s">
        <v>153</v>
      </c>
    </row>
    <row r="2">
      <c r="A2" s="6">
        <v>595.0</v>
      </c>
      <c r="B2" s="6">
        <v>595.0</v>
      </c>
      <c r="C2" s="8">
        <v>9.0</v>
      </c>
      <c r="D2" s="8">
        <v>0.004</v>
      </c>
      <c r="E2" s="7">
        <f t="shared" ref="E2:G2" si="1">L2*100</f>
        <v>33.6</v>
      </c>
      <c r="F2" s="7">
        <f t="shared" si="1"/>
        <v>10.2</v>
      </c>
      <c r="G2" s="7">
        <f t="shared" si="1"/>
        <v>8.6</v>
      </c>
      <c r="H2" s="8">
        <v>0.43</v>
      </c>
      <c r="I2" s="8">
        <v>1.135</v>
      </c>
      <c r="J2" s="8">
        <v>0.881</v>
      </c>
      <c r="K2" s="8">
        <v>0.66</v>
      </c>
      <c r="L2" s="8">
        <v>0.336</v>
      </c>
      <c r="M2" s="8">
        <v>0.102</v>
      </c>
      <c r="N2" s="8">
        <v>0.086</v>
      </c>
      <c r="O2" s="8">
        <v>0.43</v>
      </c>
      <c r="P2" s="8">
        <v>1.135</v>
      </c>
      <c r="Q2" s="8">
        <v>0.881</v>
      </c>
      <c r="R2" s="8">
        <v>0.66</v>
      </c>
      <c r="S2" s="8"/>
      <c r="T2" s="8"/>
      <c r="U2" s="8">
        <v>0.9</v>
      </c>
      <c r="V2" s="8">
        <v>0.197</v>
      </c>
      <c r="W2" s="8">
        <v>0.9</v>
      </c>
      <c r="X2" s="8">
        <v>0.197</v>
      </c>
      <c r="Y2" s="8">
        <v>0.85</v>
      </c>
      <c r="Z2" s="8">
        <v>0.166</v>
      </c>
    </row>
    <row r="3">
      <c r="A3" s="6">
        <v>596.0</v>
      </c>
      <c r="B3" s="8">
        <v>596.0</v>
      </c>
      <c r="C3" s="8">
        <v>18.0</v>
      </c>
      <c r="D3" s="8">
        <v>0.01</v>
      </c>
      <c r="E3" s="7">
        <f t="shared" ref="E3:G3" si="2">L3*100</f>
        <v>59.4</v>
      </c>
      <c r="F3" s="7">
        <f t="shared" si="2"/>
        <v>15</v>
      </c>
      <c r="G3" s="7">
        <f t="shared" si="2"/>
        <v>16</v>
      </c>
      <c r="H3" s="8">
        <v>0.348</v>
      </c>
      <c r="I3" s="8">
        <v>1.4</v>
      </c>
      <c r="J3" s="8">
        <v>0.714</v>
      </c>
      <c r="K3" s="8">
        <v>0.653</v>
      </c>
      <c r="L3" s="8">
        <v>0.594</v>
      </c>
      <c r="M3" s="8">
        <v>0.15</v>
      </c>
      <c r="N3" s="8">
        <v>0.16</v>
      </c>
      <c r="O3" s="8">
        <v>0.348</v>
      </c>
      <c r="P3" s="8">
        <v>1.4</v>
      </c>
      <c r="Q3" s="8">
        <v>0.714</v>
      </c>
      <c r="R3" s="8">
        <v>0.653</v>
      </c>
      <c r="S3" s="8"/>
      <c r="T3" s="8"/>
      <c r="U3" s="8">
        <v>1.028</v>
      </c>
      <c r="V3" s="8">
        <v>0.337</v>
      </c>
      <c r="W3" s="8">
        <v>1.028</v>
      </c>
      <c r="X3" s="8">
        <v>0.337</v>
      </c>
      <c r="Y3" s="8">
        <v>0.951</v>
      </c>
      <c r="Z3" s="8">
        <v>0.281</v>
      </c>
    </row>
    <row r="4">
      <c r="A4" s="6">
        <v>597.0</v>
      </c>
      <c r="B4" s="8">
        <v>597.0</v>
      </c>
      <c r="C4" s="8">
        <v>28.0</v>
      </c>
      <c r="D4" s="8">
        <v>0.003</v>
      </c>
      <c r="E4" s="7">
        <f t="shared" ref="E4:G4" si="3">L4*100</f>
        <v>36.3</v>
      </c>
      <c r="F4" s="7">
        <f t="shared" si="3"/>
        <v>10.2</v>
      </c>
      <c r="G4" s="7">
        <f t="shared" si="3"/>
        <v>8.6</v>
      </c>
      <c r="H4" s="8">
        <v>0.332</v>
      </c>
      <c r="I4" s="8">
        <v>1.085</v>
      </c>
      <c r="J4" s="8">
        <v>0.922</v>
      </c>
      <c r="K4" s="8">
        <v>0.571</v>
      </c>
      <c r="L4" s="8">
        <v>0.363</v>
      </c>
      <c r="M4" s="8">
        <v>0.102</v>
      </c>
      <c r="N4" s="8">
        <v>0.086</v>
      </c>
      <c r="O4" s="8">
        <v>0.332</v>
      </c>
      <c r="P4" s="8">
        <v>1.085</v>
      </c>
      <c r="Q4" s="8">
        <v>0.922</v>
      </c>
      <c r="R4" s="8">
        <v>0.571</v>
      </c>
      <c r="S4" s="8"/>
      <c r="T4" s="8"/>
      <c r="U4" s="8">
        <v>1.023</v>
      </c>
      <c r="V4" s="8">
        <v>0.616</v>
      </c>
      <c r="W4" s="8">
        <v>1.023</v>
      </c>
      <c r="X4" s="8">
        <v>0.616</v>
      </c>
      <c r="Y4" s="8">
        <v>0.971</v>
      </c>
      <c r="Z4" s="8">
        <v>0.586</v>
      </c>
    </row>
    <row r="5">
      <c r="A5" s="6">
        <v>600.0</v>
      </c>
      <c r="B5" s="8">
        <v>600.0</v>
      </c>
      <c r="C5" s="8">
        <v>27.0</v>
      </c>
      <c r="D5" s="8">
        <v>0.004</v>
      </c>
      <c r="E5" s="7">
        <f t="shared" ref="E5:G5" si="4">L5*100</f>
        <v>37.9</v>
      </c>
      <c r="F5" s="7">
        <f t="shared" si="4"/>
        <v>5.7</v>
      </c>
      <c r="G5" s="7">
        <f t="shared" si="4"/>
        <v>14.5</v>
      </c>
      <c r="H5" s="8">
        <v>0.36</v>
      </c>
      <c r="I5" s="8">
        <v>3.481</v>
      </c>
      <c r="J5" s="8">
        <v>0.287</v>
      </c>
      <c r="K5" s="8">
        <v>0.691</v>
      </c>
      <c r="L5" s="8">
        <v>0.379</v>
      </c>
      <c r="M5" s="8">
        <v>0.057</v>
      </c>
      <c r="N5" s="8">
        <v>0.145</v>
      </c>
      <c r="O5" s="8">
        <v>0.36</v>
      </c>
      <c r="P5" s="8">
        <v>3.481</v>
      </c>
      <c r="Q5" s="8">
        <v>0.287</v>
      </c>
      <c r="R5" s="8">
        <v>0.691</v>
      </c>
      <c r="S5" s="8"/>
      <c r="T5" s="8"/>
      <c r="U5" s="8">
        <v>1.156</v>
      </c>
      <c r="V5" s="8">
        <v>0.567</v>
      </c>
      <c r="W5" s="8">
        <v>1.156</v>
      </c>
      <c r="X5" s="8">
        <v>0.567</v>
      </c>
      <c r="Y5" s="8">
        <v>1.127</v>
      </c>
      <c r="Z5" s="8">
        <v>0.508</v>
      </c>
    </row>
    <row r="6">
      <c r="A6" s="6">
        <v>601.0</v>
      </c>
      <c r="B6" s="8">
        <v>601.0</v>
      </c>
      <c r="C6" s="8">
        <v>17.0</v>
      </c>
      <c r="D6" s="8">
        <v>0.012</v>
      </c>
      <c r="E6" s="7">
        <f t="shared" ref="E6:G6" si="5">L6*100</f>
        <v>64.3</v>
      </c>
      <c r="F6" s="7">
        <f t="shared" si="5"/>
        <v>16</v>
      </c>
      <c r="G6" s="7">
        <f t="shared" si="5"/>
        <v>18</v>
      </c>
      <c r="H6" s="8">
        <v>0.357</v>
      </c>
      <c r="I6" s="8">
        <v>1.366</v>
      </c>
      <c r="J6" s="8">
        <v>0.732</v>
      </c>
      <c r="K6" s="8">
        <v>0.666</v>
      </c>
      <c r="L6" s="8">
        <v>0.643</v>
      </c>
      <c r="M6" s="8">
        <v>0.16</v>
      </c>
      <c r="N6" s="8">
        <v>0.18</v>
      </c>
      <c r="O6" s="8">
        <v>0.357</v>
      </c>
      <c r="P6" s="8">
        <v>1.366</v>
      </c>
      <c r="Q6" s="8">
        <v>0.732</v>
      </c>
      <c r="R6" s="8">
        <v>0.666</v>
      </c>
      <c r="S6" s="8"/>
      <c r="T6" s="8"/>
      <c r="U6" s="8">
        <v>1.173</v>
      </c>
      <c r="V6" s="8">
        <v>0.324</v>
      </c>
      <c r="W6" s="8">
        <v>1.173</v>
      </c>
      <c r="X6" s="8">
        <v>0.324</v>
      </c>
      <c r="Y6" s="8">
        <v>1.096</v>
      </c>
      <c r="Z6" s="8">
        <v>0.26</v>
      </c>
    </row>
    <row r="7">
      <c r="A7" s="6">
        <v>602.0</v>
      </c>
      <c r="B7" s="8">
        <v>602.0</v>
      </c>
      <c r="C7" s="8">
        <v>32.0</v>
      </c>
      <c r="D7" s="8">
        <v>0.005</v>
      </c>
      <c r="E7" s="7">
        <f t="shared" ref="E7:G7" si="6">L7*100</f>
        <v>39.9</v>
      </c>
      <c r="F7" s="7">
        <f t="shared" si="6"/>
        <v>9</v>
      </c>
      <c r="G7" s="7">
        <f t="shared" si="6"/>
        <v>13.5</v>
      </c>
      <c r="H7" s="8">
        <v>0.355</v>
      </c>
      <c r="I7" s="8">
        <v>2.338</v>
      </c>
      <c r="J7" s="8">
        <v>0.428</v>
      </c>
      <c r="K7" s="8">
        <v>0.586</v>
      </c>
      <c r="L7" s="8">
        <v>0.399</v>
      </c>
      <c r="M7" s="8">
        <v>0.09</v>
      </c>
      <c r="N7" s="8">
        <v>0.135</v>
      </c>
      <c r="O7" s="8">
        <v>0.355</v>
      </c>
      <c r="P7" s="8">
        <v>2.338</v>
      </c>
      <c r="Q7" s="8">
        <v>0.428</v>
      </c>
      <c r="R7" s="8">
        <v>0.586</v>
      </c>
      <c r="S7" s="8"/>
      <c r="T7" s="8"/>
      <c r="U7" s="8">
        <v>1.206</v>
      </c>
      <c r="V7" s="8">
        <v>0.709</v>
      </c>
      <c r="W7" s="8">
        <v>1.206</v>
      </c>
      <c r="X7" s="8">
        <v>0.709</v>
      </c>
      <c r="Y7" s="8">
        <v>1.16</v>
      </c>
      <c r="Z7" s="8">
        <v>0.662</v>
      </c>
    </row>
    <row r="8">
      <c r="A8" s="6">
        <v>603.0</v>
      </c>
      <c r="B8" s="8">
        <v>603.0</v>
      </c>
      <c r="C8" s="8">
        <v>38.0</v>
      </c>
      <c r="D8" s="8">
        <v>0.003</v>
      </c>
      <c r="E8" s="7">
        <f t="shared" ref="E8:G8" si="7">L8*100</f>
        <v>27.9</v>
      </c>
      <c r="F8" s="7">
        <f t="shared" si="7"/>
        <v>7</v>
      </c>
      <c r="G8" s="7">
        <f t="shared" si="7"/>
        <v>9</v>
      </c>
      <c r="H8" s="8">
        <v>0.541</v>
      </c>
      <c r="I8" s="8">
        <v>1.812</v>
      </c>
      <c r="J8" s="8">
        <v>0.552</v>
      </c>
      <c r="K8" s="8">
        <v>0.745</v>
      </c>
      <c r="L8" s="8">
        <v>0.279</v>
      </c>
      <c r="M8" s="8">
        <v>0.07</v>
      </c>
      <c r="N8" s="8">
        <v>0.09</v>
      </c>
      <c r="O8" s="8">
        <v>0.541</v>
      </c>
      <c r="P8" s="8">
        <v>1.812</v>
      </c>
      <c r="Q8" s="8">
        <v>0.552</v>
      </c>
      <c r="R8" s="8">
        <v>0.745</v>
      </c>
      <c r="S8" s="8"/>
      <c r="T8" s="8"/>
      <c r="U8" s="8">
        <v>1.248</v>
      </c>
      <c r="V8" s="8">
        <v>0.922</v>
      </c>
      <c r="W8" s="8">
        <v>1.248</v>
      </c>
      <c r="X8" s="8">
        <v>0.922</v>
      </c>
      <c r="Y8" s="8">
        <v>1.211</v>
      </c>
      <c r="Z8" s="8">
        <v>0.885</v>
      </c>
    </row>
    <row r="9">
      <c r="A9" s="6">
        <v>604.0</v>
      </c>
      <c r="B9" s="8">
        <v>604.0</v>
      </c>
      <c r="C9" s="8">
        <v>6.0</v>
      </c>
      <c r="D9" s="8">
        <v>0.005</v>
      </c>
      <c r="E9" s="7">
        <f t="shared" ref="E9:G9" si="8">L9*100</f>
        <v>29.2</v>
      </c>
      <c r="F9" s="7">
        <f t="shared" si="8"/>
        <v>6.1</v>
      </c>
      <c r="G9" s="7">
        <f t="shared" si="8"/>
        <v>10.7</v>
      </c>
      <c r="H9" s="8">
        <v>0.68</v>
      </c>
      <c r="I9" s="8">
        <v>2.091</v>
      </c>
      <c r="J9" s="8">
        <v>0.478</v>
      </c>
      <c r="K9" s="8">
        <v>0.923</v>
      </c>
      <c r="L9" s="8">
        <v>0.292</v>
      </c>
      <c r="M9" s="8">
        <v>0.061</v>
      </c>
      <c r="N9" s="8">
        <v>0.107</v>
      </c>
      <c r="O9" s="8">
        <v>0.68</v>
      </c>
      <c r="P9" s="8">
        <v>2.091</v>
      </c>
      <c r="Q9" s="8">
        <v>0.478</v>
      </c>
      <c r="R9" s="8">
        <v>0.923</v>
      </c>
      <c r="S9" s="8"/>
      <c r="T9" s="8"/>
      <c r="U9" s="8">
        <v>1.276</v>
      </c>
      <c r="V9" s="8">
        <v>0.203</v>
      </c>
      <c r="W9" s="8">
        <v>1.276</v>
      </c>
      <c r="X9" s="8">
        <v>0.203</v>
      </c>
      <c r="Y9" s="8">
        <v>1.244</v>
      </c>
      <c r="Z9" s="8">
        <v>0.156</v>
      </c>
    </row>
    <row r="10">
      <c r="A10" s="6">
        <v>605.0</v>
      </c>
      <c r="B10" s="8">
        <v>605.0</v>
      </c>
      <c r="C10" s="8">
        <v>4.0</v>
      </c>
      <c r="D10" s="8">
        <v>0.003</v>
      </c>
      <c r="E10" s="7">
        <f t="shared" ref="E10:G10" si="9">L10*100</f>
        <v>28.4</v>
      </c>
      <c r="F10" s="7">
        <f t="shared" si="9"/>
        <v>7.4</v>
      </c>
      <c r="G10" s="7">
        <f t="shared" si="9"/>
        <v>9.2</v>
      </c>
      <c r="H10" s="8">
        <v>0.508</v>
      </c>
      <c r="I10" s="8">
        <v>1.572</v>
      </c>
      <c r="J10" s="8">
        <v>0.636</v>
      </c>
      <c r="K10" s="8">
        <v>0.715</v>
      </c>
      <c r="L10" s="8">
        <v>0.284</v>
      </c>
      <c r="M10" s="8">
        <v>0.074</v>
      </c>
      <c r="N10" s="8">
        <v>0.092</v>
      </c>
      <c r="O10" s="8">
        <v>0.508</v>
      </c>
      <c r="P10" s="8">
        <v>1.572</v>
      </c>
      <c r="Q10" s="8">
        <v>0.636</v>
      </c>
      <c r="R10" s="8">
        <v>0.715</v>
      </c>
      <c r="S10" s="8"/>
      <c r="T10" s="8"/>
      <c r="U10" s="8">
        <v>1.35</v>
      </c>
      <c r="V10" s="8">
        <v>0.163</v>
      </c>
      <c r="W10" s="8">
        <v>1.35</v>
      </c>
      <c r="X10" s="8">
        <v>0.163</v>
      </c>
      <c r="Y10" s="8">
        <v>1.311</v>
      </c>
      <c r="Z10" s="8">
        <v>0.131</v>
      </c>
    </row>
    <row r="11">
      <c r="A11" s="6">
        <v>606.0</v>
      </c>
      <c r="B11" s="8">
        <v>606.0</v>
      </c>
      <c r="C11" s="8">
        <v>1.0</v>
      </c>
      <c r="D11" s="8">
        <v>0.007</v>
      </c>
      <c r="E11" s="7">
        <f t="shared" ref="E11:G11" si="10">L11*100</f>
        <v>40.5</v>
      </c>
      <c r="F11" s="7">
        <f t="shared" si="10"/>
        <v>9.4</v>
      </c>
      <c r="G11" s="7">
        <f t="shared" si="10"/>
        <v>13.9</v>
      </c>
      <c r="H11" s="8">
        <v>0.529</v>
      </c>
      <c r="I11" s="8">
        <v>2.165</v>
      </c>
      <c r="J11" s="8">
        <v>0.462</v>
      </c>
      <c r="K11" s="8">
        <v>0.775</v>
      </c>
      <c r="L11" s="8">
        <v>0.405</v>
      </c>
      <c r="M11" s="8">
        <v>0.094</v>
      </c>
      <c r="N11" s="8">
        <v>0.139</v>
      </c>
      <c r="O11" s="8">
        <v>0.529</v>
      </c>
      <c r="P11" s="8">
        <v>2.165</v>
      </c>
      <c r="Q11" s="8">
        <v>0.462</v>
      </c>
      <c r="R11" s="8">
        <v>0.775</v>
      </c>
      <c r="S11" s="8">
        <v>5.5</v>
      </c>
      <c r="T11" s="8">
        <v>4.3</v>
      </c>
      <c r="U11" s="8">
        <v>1.491</v>
      </c>
      <c r="V11" s="8">
        <v>0.097</v>
      </c>
      <c r="W11" s="8">
        <v>1.491</v>
      </c>
      <c r="X11" s="8">
        <v>0.097</v>
      </c>
      <c r="Y11" s="8">
        <v>1.447</v>
      </c>
      <c r="Z11" s="8">
        <v>0.041</v>
      </c>
    </row>
    <row r="12">
      <c r="A12" s="6">
        <v>607.0</v>
      </c>
      <c r="B12" s="8">
        <v>607.0</v>
      </c>
      <c r="C12" s="8">
        <v>41.0</v>
      </c>
      <c r="D12" s="8">
        <v>0.005</v>
      </c>
      <c r="E12" s="7">
        <f t="shared" ref="E12:G12" si="11">L12*100</f>
        <v>39.2</v>
      </c>
      <c r="F12" s="7">
        <f t="shared" si="11"/>
        <v>10.5</v>
      </c>
      <c r="G12" s="7">
        <f t="shared" si="11"/>
        <v>10.7</v>
      </c>
      <c r="H12" s="8">
        <v>0.444</v>
      </c>
      <c r="I12" s="8">
        <v>1.282</v>
      </c>
      <c r="J12" s="8">
        <v>0.78</v>
      </c>
      <c r="K12" s="8">
        <v>0.697</v>
      </c>
      <c r="L12" s="8">
        <v>0.392</v>
      </c>
      <c r="M12" s="8">
        <v>0.105</v>
      </c>
      <c r="N12" s="8">
        <v>0.107</v>
      </c>
      <c r="O12" s="8">
        <v>0.444</v>
      </c>
      <c r="P12" s="8">
        <v>1.282</v>
      </c>
      <c r="Q12" s="8">
        <v>0.78</v>
      </c>
      <c r="R12" s="8">
        <v>0.697</v>
      </c>
      <c r="S12" s="8">
        <v>3.9</v>
      </c>
      <c r="T12" s="8">
        <v>2.9</v>
      </c>
      <c r="U12" s="8">
        <v>1.504</v>
      </c>
      <c r="V12" s="8">
        <v>1.021</v>
      </c>
      <c r="W12" s="8">
        <v>1.504</v>
      </c>
      <c r="X12" s="8">
        <v>1.021</v>
      </c>
      <c r="Y12" s="8">
        <v>1.451</v>
      </c>
      <c r="Z12" s="8">
        <v>0.98</v>
      </c>
    </row>
    <row r="13">
      <c r="A13" s="6">
        <v>608.0</v>
      </c>
      <c r="B13" s="8">
        <v>608.0</v>
      </c>
      <c r="C13" s="8">
        <v>20.0</v>
      </c>
      <c r="D13" s="8">
        <v>0.003</v>
      </c>
      <c r="E13" s="7">
        <f t="shared" ref="E13:G13" si="12">L13*100</f>
        <v>26</v>
      </c>
      <c r="F13" s="7">
        <f t="shared" si="12"/>
        <v>7.6</v>
      </c>
      <c r="G13" s="7">
        <f t="shared" si="12"/>
        <v>8.2</v>
      </c>
      <c r="H13" s="8">
        <v>0.575</v>
      </c>
      <c r="I13" s="8">
        <v>1.396</v>
      </c>
      <c r="J13" s="8">
        <v>0.716</v>
      </c>
      <c r="K13" s="8">
        <v>0.756</v>
      </c>
      <c r="L13" s="8">
        <v>0.26</v>
      </c>
      <c r="M13" s="8">
        <v>0.076</v>
      </c>
      <c r="N13" s="8">
        <v>0.082</v>
      </c>
      <c r="O13" s="8">
        <v>0.575</v>
      </c>
      <c r="P13" s="8">
        <v>1.396</v>
      </c>
      <c r="Q13" s="8">
        <v>0.716</v>
      </c>
      <c r="R13" s="8">
        <v>0.756</v>
      </c>
      <c r="S13" s="8"/>
      <c r="T13" s="8"/>
      <c r="U13" s="8">
        <v>1.617</v>
      </c>
      <c r="V13" s="8">
        <v>0.387</v>
      </c>
      <c r="W13" s="8">
        <v>1.617</v>
      </c>
      <c r="X13" s="8">
        <v>0.387</v>
      </c>
      <c r="Y13" s="8">
        <v>1.58</v>
      </c>
      <c r="Z13" s="8">
        <v>0.355</v>
      </c>
    </row>
    <row r="14">
      <c r="A14" s="6">
        <v>609.0</v>
      </c>
      <c r="B14" s="8">
        <v>609.0</v>
      </c>
      <c r="C14" s="8">
        <v>24.0</v>
      </c>
      <c r="D14" s="8">
        <v>0.004</v>
      </c>
      <c r="E14" s="7">
        <f t="shared" ref="E14:G14" si="13">L14*100</f>
        <v>48.7</v>
      </c>
      <c r="F14" s="7">
        <f t="shared" si="13"/>
        <v>11.7</v>
      </c>
      <c r="G14" s="7">
        <f t="shared" si="13"/>
        <v>13.3</v>
      </c>
      <c r="H14" s="8">
        <v>0.223</v>
      </c>
      <c r="I14" s="8">
        <v>1.963</v>
      </c>
      <c r="J14" s="8">
        <v>0.509</v>
      </c>
      <c r="K14" s="8">
        <v>0.467</v>
      </c>
      <c r="L14" s="8">
        <v>0.487</v>
      </c>
      <c r="M14" s="8">
        <v>0.117</v>
      </c>
      <c r="N14" s="8">
        <v>0.133</v>
      </c>
      <c r="O14" s="8">
        <v>0.223</v>
      </c>
      <c r="P14" s="8">
        <v>1.963</v>
      </c>
      <c r="Q14" s="8">
        <v>0.509</v>
      </c>
      <c r="R14" s="8">
        <v>0.467</v>
      </c>
      <c r="S14" s="8">
        <v>2.7</v>
      </c>
      <c r="T14" s="8">
        <v>2.0</v>
      </c>
      <c r="U14" s="8">
        <v>1.613</v>
      </c>
      <c r="V14" s="8">
        <v>0.528</v>
      </c>
      <c r="W14" s="8">
        <v>1.613</v>
      </c>
      <c r="X14" s="8">
        <v>0.528</v>
      </c>
      <c r="Y14" s="8">
        <v>1.553</v>
      </c>
      <c r="Z14" s="8">
        <v>0.482</v>
      </c>
    </row>
    <row r="15">
      <c r="A15" s="6">
        <v>610.0</v>
      </c>
      <c r="B15" s="8">
        <v>610.0</v>
      </c>
      <c r="C15" s="8">
        <v>34.0</v>
      </c>
      <c r="D15" s="8">
        <v>0.01</v>
      </c>
      <c r="E15" s="7">
        <f t="shared" ref="E15:G15" si="14">L15*100</f>
        <v>55.7</v>
      </c>
      <c r="F15" s="7">
        <f t="shared" si="14"/>
        <v>11.7</v>
      </c>
      <c r="G15" s="7">
        <f t="shared" si="14"/>
        <v>19.9</v>
      </c>
      <c r="H15" s="8">
        <v>0.391</v>
      </c>
      <c r="I15" s="8">
        <v>2.581</v>
      </c>
      <c r="J15" s="8">
        <v>0.387</v>
      </c>
      <c r="K15" s="8">
        <v>0.658</v>
      </c>
      <c r="L15" s="8">
        <v>0.557</v>
      </c>
      <c r="M15" s="8">
        <v>0.117</v>
      </c>
      <c r="N15" s="8">
        <v>0.199</v>
      </c>
      <c r="O15" s="8">
        <v>0.391</v>
      </c>
      <c r="P15" s="8">
        <v>2.581</v>
      </c>
      <c r="Q15" s="8">
        <v>0.387</v>
      </c>
      <c r="R15" s="8">
        <v>0.658</v>
      </c>
      <c r="S15" s="8"/>
      <c r="T15" s="8"/>
      <c r="U15" s="8">
        <v>1.691</v>
      </c>
      <c r="V15" s="8">
        <v>0.778</v>
      </c>
      <c r="W15" s="8">
        <v>1.691</v>
      </c>
      <c r="X15" s="8">
        <v>0.778</v>
      </c>
      <c r="Y15" s="8">
        <v>1.629</v>
      </c>
      <c r="Z15" s="8">
        <v>0.705</v>
      </c>
    </row>
    <row r="16">
      <c r="A16" s="6">
        <v>611.0</v>
      </c>
      <c r="B16" s="8">
        <v>611.0</v>
      </c>
      <c r="C16" s="8">
        <v>10.0</v>
      </c>
      <c r="D16" s="8">
        <v>0.009</v>
      </c>
      <c r="E16" s="7">
        <f t="shared" ref="E16:G16" si="15">L16*100</f>
        <v>79.4</v>
      </c>
      <c r="F16" s="7">
        <f t="shared" si="15"/>
        <v>10</v>
      </c>
      <c r="G16" s="7">
        <f t="shared" si="15"/>
        <v>30.1</v>
      </c>
      <c r="H16" s="8">
        <v>0.183</v>
      </c>
      <c r="I16" s="8">
        <v>5.372</v>
      </c>
      <c r="J16" s="8">
        <v>0.186</v>
      </c>
      <c r="K16" s="8">
        <v>0.5</v>
      </c>
      <c r="L16" s="8">
        <v>0.794</v>
      </c>
      <c r="M16" s="8">
        <v>0.1</v>
      </c>
      <c r="N16" s="8">
        <v>0.301</v>
      </c>
      <c r="O16" s="8">
        <v>0.183</v>
      </c>
      <c r="P16" s="8">
        <v>5.372</v>
      </c>
      <c r="Q16" s="8">
        <v>0.186</v>
      </c>
      <c r="R16" s="8">
        <v>0.5</v>
      </c>
      <c r="S16" s="8"/>
      <c r="T16" s="8"/>
      <c r="U16" s="8">
        <v>1.686</v>
      </c>
      <c r="V16" s="8">
        <v>0.33</v>
      </c>
      <c r="W16" s="8">
        <v>1.686</v>
      </c>
      <c r="X16" s="8">
        <v>0.33</v>
      </c>
      <c r="Y16" s="8">
        <v>1.623</v>
      </c>
      <c r="Z16" s="8">
        <v>0.213</v>
      </c>
    </row>
    <row r="17">
      <c r="A17" s="6">
        <v>612.0</v>
      </c>
      <c r="B17" s="8">
        <v>612.0</v>
      </c>
      <c r="C17" s="8">
        <v>2.0</v>
      </c>
      <c r="D17" s="8">
        <v>0.003</v>
      </c>
      <c r="E17" s="7">
        <f t="shared" ref="E17:G17" si="16">L17*100</f>
        <v>24.1</v>
      </c>
      <c r="F17" s="7">
        <f t="shared" si="16"/>
        <v>6.8</v>
      </c>
      <c r="G17" s="7">
        <f t="shared" si="16"/>
        <v>7.4</v>
      </c>
      <c r="H17" s="8">
        <v>0.599</v>
      </c>
      <c r="I17" s="8">
        <v>1.337</v>
      </c>
      <c r="J17" s="8">
        <v>0.748</v>
      </c>
      <c r="K17" s="8">
        <v>0.773</v>
      </c>
      <c r="L17" s="8">
        <v>0.241</v>
      </c>
      <c r="M17" s="8">
        <v>0.068</v>
      </c>
      <c r="N17" s="8">
        <v>0.074</v>
      </c>
      <c r="O17" s="8">
        <v>0.599</v>
      </c>
      <c r="P17" s="8">
        <v>1.337</v>
      </c>
      <c r="Q17" s="8">
        <v>0.748</v>
      </c>
      <c r="R17" s="8">
        <v>0.773</v>
      </c>
      <c r="S17" s="8"/>
      <c r="T17" s="8"/>
      <c r="U17" s="8">
        <v>1.679</v>
      </c>
      <c r="V17" s="8">
        <v>0.087</v>
      </c>
      <c r="W17" s="8">
        <v>1.679</v>
      </c>
      <c r="X17" s="8">
        <v>0.087</v>
      </c>
      <c r="Y17" s="8">
        <v>1.643</v>
      </c>
      <c r="Z17" s="8">
        <v>0.059</v>
      </c>
    </row>
    <row r="18">
      <c r="A18" s="6">
        <v>613.0</v>
      </c>
      <c r="B18" s="8">
        <v>613.0</v>
      </c>
      <c r="C18" s="8">
        <v>31.0</v>
      </c>
      <c r="D18" s="8">
        <v>0.009</v>
      </c>
      <c r="E18" s="7">
        <f t="shared" ref="E18:G18" si="17">L18*100</f>
        <v>54</v>
      </c>
      <c r="F18" s="7">
        <f t="shared" si="17"/>
        <v>13.9</v>
      </c>
      <c r="G18" s="7">
        <f t="shared" si="17"/>
        <v>17.2</v>
      </c>
      <c r="H18" s="8">
        <v>0.379</v>
      </c>
      <c r="I18" s="8">
        <v>1.907</v>
      </c>
      <c r="J18" s="8">
        <v>0.525</v>
      </c>
      <c r="K18" s="8">
        <v>0.622</v>
      </c>
      <c r="L18" s="8">
        <v>0.54</v>
      </c>
      <c r="M18" s="8">
        <v>0.139</v>
      </c>
      <c r="N18" s="8">
        <v>0.172</v>
      </c>
      <c r="O18" s="8">
        <v>0.379</v>
      </c>
      <c r="P18" s="8">
        <v>1.907</v>
      </c>
      <c r="Q18" s="8">
        <v>0.525</v>
      </c>
      <c r="R18" s="8">
        <v>0.622</v>
      </c>
      <c r="S18" s="8"/>
      <c r="T18" s="8"/>
      <c r="U18" s="8">
        <v>1.828</v>
      </c>
      <c r="V18" s="8">
        <v>0.702</v>
      </c>
      <c r="W18" s="8">
        <v>1.828</v>
      </c>
      <c r="X18" s="8">
        <v>0.702</v>
      </c>
      <c r="Y18" s="8">
        <v>1.756</v>
      </c>
      <c r="Z18" s="8">
        <v>0.641</v>
      </c>
    </row>
    <row r="19">
      <c r="A19" s="6">
        <v>614.0</v>
      </c>
      <c r="B19" s="8">
        <v>614.0</v>
      </c>
      <c r="C19" s="8">
        <v>3.0</v>
      </c>
      <c r="D19" s="8">
        <v>0.004</v>
      </c>
      <c r="E19" s="7">
        <f t="shared" ref="E19:G19" si="18">L19*100</f>
        <v>36.1</v>
      </c>
      <c r="F19" s="7">
        <f t="shared" si="18"/>
        <v>9.6</v>
      </c>
      <c r="G19" s="7">
        <f t="shared" si="18"/>
        <v>10</v>
      </c>
      <c r="H19" s="8">
        <v>0.413</v>
      </c>
      <c r="I19" s="8">
        <v>1.127</v>
      </c>
      <c r="J19" s="8">
        <v>0.887</v>
      </c>
      <c r="K19" s="8">
        <v>0.65</v>
      </c>
      <c r="L19" s="8">
        <v>0.361</v>
      </c>
      <c r="M19" s="8">
        <v>0.096</v>
      </c>
      <c r="N19" s="8">
        <v>0.1</v>
      </c>
      <c r="O19" s="8">
        <v>0.413</v>
      </c>
      <c r="P19" s="8">
        <v>1.127</v>
      </c>
      <c r="Q19" s="8">
        <v>0.887</v>
      </c>
      <c r="R19" s="8">
        <v>0.65</v>
      </c>
      <c r="S19" s="8"/>
      <c r="T19" s="8"/>
      <c r="U19" s="8">
        <v>1.812</v>
      </c>
      <c r="V19" s="8">
        <v>0.11</v>
      </c>
      <c r="W19" s="8">
        <v>1.812</v>
      </c>
      <c r="X19" s="8">
        <v>0.11</v>
      </c>
      <c r="Y19" s="8">
        <v>1.764</v>
      </c>
      <c r="Z19" s="8">
        <v>0.076</v>
      </c>
    </row>
    <row r="20">
      <c r="A20" s="6">
        <v>615.0</v>
      </c>
      <c r="B20" s="8">
        <v>615.0</v>
      </c>
      <c r="C20" s="8">
        <v>15.0</v>
      </c>
      <c r="D20" s="8">
        <v>0.005</v>
      </c>
      <c r="E20" s="7">
        <f t="shared" ref="E20:G20" si="19">L20*100</f>
        <v>40.6</v>
      </c>
      <c r="F20" s="7">
        <f t="shared" si="19"/>
        <v>9.8</v>
      </c>
      <c r="G20" s="7">
        <f t="shared" si="19"/>
        <v>13.5</v>
      </c>
      <c r="H20" s="8">
        <v>0.409</v>
      </c>
      <c r="I20" s="8">
        <v>2.346</v>
      </c>
      <c r="J20" s="8">
        <v>0.426</v>
      </c>
      <c r="K20" s="8">
        <v>0.649</v>
      </c>
      <c r="L20" s="8">
        <v>0.406</v>
      </c>
      <c r="M20" s="8">
        <v>0.098</v>
      </c>
      <c r="N20" s="8">
        <v>0.135</v>
      </c>
      <c r="O20" s="8">
        <v>0.409</v>
      </c>
      <c r="P20" s="8">
        <v>2.346</v>
      </c>
      <c r="Q20" s="8">
        <v>0.426</v>
      </c>
      <c r="R20" s="8">
        <v>0.649</v>
      </c>
      <c r="S20" s="8"/>
      <c r="T20" s="8"/>
      <c r="U20" s="8">
        <v>1.86</v>
      </c>
      <c r="V20" s="8">
        <v>0.303</v>
      </c>
      <c r="W20" s="8">
        <v>1.86</v>
      </c>
      <c r="X20" s="8">
        <v>0.303</v>
      </c>
      <c r="Y20" s="8">
        <v>1.807</v>
      </c>
      <c r="Z20" s="8">
        <v>0.252</v>
      </c>
    </row>
    <row r="21">
      <c r="A21" s="6">
        <v>616.0</v>
      </c>
      <c r="B21" s="8">
        <v>616.0</v>
      </c>
      <c r="C21" s="8">
        <v>25.0</v>
      </c>
      <c r="D21" s="8">
        <v>0.003</v>
      </c>
      <c r="E21" s="7">
        <f t="shared" ref="E21:G21" si="20">L21*100</f>
        <v>25.1</v>
      </c>
      <c r="F21" s="7">
        <f t="shared" si="20"/>
        <v>6.6</v>
      </c>
      <c r="G21" s="7">
        <f t="shared" si="20"/>
        <v>7.8</v>
      </c>
      <c r="H21" s="8">
        <v>0.621</v>
      </c>
      <c r="I21" s="8">
        <v>1.311</v>
      </c>
      <c r="J21" s="8">
        <v>0.763</v>
      </c>
      <c r="K21" s="8">
        <v>0.812</v>
      </c>
      <c r="L21" s="8">
        <v>0.251</v>
      </c>
      <c r="M21" s="8">
        <v>0.066</v>
      </c>
      <c r="N21" s="8">
        <v>0.078</v>
      </c>
      <c r="O21" s="8">
        <v>0.621</v>
      </c>
      <c r="P21" s="8">
        <v>1.311</v>
      </c>
      <c r="Q21" s="8">
        <v>0.763</v>
      </c>
      <c r="R21" s="8">
        <v>0.812</v>
      </c>
      <c r="S21" s="8"/>
      <c r="T21" s="8"/>
      <c r="U21" s="8">
        <v>1.935</v>
      </c>
      <c r="V21" s="8">
        <v>0.517</v>
      </c>
      <c r="W21" s="8">
        <v>1.935</v>
      </c>
      <c r="X21" s="8">
        <v>0.517</v>
      </c>
      <c r="Y21" s="8">
        <v>1.902</v>
      </c>
      <c r="Z21" s="8">
        <v>0.486</v>
      </c>
    </row>
    <row r="22">
      <c r="A22" s="6">
        <v>617.0</v>
      </c>
      <c r="B22" s="8">
        <v>617.0</v>
      </c>
      <c r="C22" s="8">
        <v>12.0</v>
      </c>
      <c r="D22" s="8">
        <v>0.003</v>
      </c>
      <c r="E22" s="7">
        <f t="shared" ref="E22:G22" si="21">L22*100</f>
        <v>27.3</v>
      </c>
      <c r="F22" s="7">
        <f t="shared" si="21"/>
        <v>7</v>
      </c>
      <c r="G22" s="7">
        <f t="shared" si="21"/>
        <v>9</v>
      </c>
      <c r="H22" s="8">
        <v>0.52</v>
      </c>
      <c r="I22" s="8">
        <v>1.53</v>
      </c>
      <c r="J22" s="8">
        <v>0.654</v>
      </c>
      <c r="K22" s="8">
        <v>0.726</v>
      </c>
      <c r="L22" s="8">
        <v>0.273</v>
      </c>
      <c r="M22" s="8">
        <v>0.07</v>
      </c>
      <c r="N22" s="8">
        <v>0.09</v>
      </c>
      <c r="O22" s="8">
        <v>0.52</v>
      </c>
      <c r="P22" s="8">
        <v>1.53</v>
      </c>
      <c r="Q22" s="8">
        <v>0.654</v>
      </c>
      <c r="R22" s="8">
        <v>0.726</v>
      </c>
      <c r="S22" s="8"/>
      <c r="T22" s="8"/>
      <c r="U22" s="8">
        <v>1.966</v>
      </c>
      <c r="V22" s="8">
        <v>0.271</v>
      </c>
      <c r="W22" s="8">
        <v>1.966</v>
      </c>
      <c r="X22" s="8">
        <v>0.271</v>
      </c>
      <c r="Y22" s="8">
        <v>1.928</v>
      </c>
      <c r="Z22" s="8">
        <v>0.236</v>
      </c>
    </row>
    <row r="23">
      <c r="A23" s="6">
        <v>618.0</v>
      </c>
      <c r="B23" s="8">
        <v>618.0</v>
      </c>
      <c r="C23" s="8">
        <v>21.0</v>
      </c>
      <c r="D23" s="8">
        <v>0.004</v>
      </c>
      <c r="E23" s="7">
        <f t="shared" ref="E23:G23" si="22">L23*100</f>
        <v>38.9</v>
      </c>
      <c r="F23" s="7">
        <f t="shared" si="22"/>
        <v>8.6</v>
      </c>
      <c r="G23" s="7">
        <f t="shared" si="22"/>
        <v>12.7</v>
      </c>
      <c r="H23" s="8">
        <v>0.345</v>
      </c>
      <c r="I23" s="8">
        <v>2.346</v>
      </c>
      <c r="J23" s="8">
        <v>0.426</v>
      </c>
      <c r="K23" s="8">
        <v>0.621</v>
      </c>
      <c r="L23" s="8">
        <v>0.389</v>
      </c>
      <c r="M23" s="8">
        <v>0.086</v>
      </c>
      <c r="N23" s="8">
        <v>0.127</v>
      </c>
      <c r="O23" s="8">
        <v>0.345</v>
      </c>
      <c r="P23" s="8">
        <v>2.346</v>
      </c>
      <c r="Q23" s="8">
        <v>0.426</v>
      </c>
      <c r="R23" s="8">
        <v>0.621</v>
      </c>
      <c r="S23" s="8"/>
      <c r="T23" s="8"/>
      <c r="U23" s="8">
        <v>2.045</v>
      </c>
      <c r="V23" s="8">
        <v>0.437</v>
      </c>
      <c r="W23" s="8">
        <v>2.045</v>
      </c>
      <c r="X23" s="8">
        <v>0.437</v>
      </c>
      <c r="Y23" s="8">
        <v>1.998</v>
      </c>
      <c r="Z23" s="8">
        <v>0.391</v>
      </c>
    </row>
    <row r="24">
      <c r="A24" s="6">
        <v>619.0</v>
      </c>
      <c r="B24" s="8">
        <v>619.0</v>
      </c>
      <c r="C24" s="8">
        <v>30.0</v>
      </c>
      <c r="D24" s="8">
        <v>0.005</v>
      </c>
      <c r="E24" s="7">
        <f t="shared" ref="E24:G24" si="23">L24*100</f>
        <v>42.7</v>
      </c>
      <c r="F24" s="7">
        <f t="shared" si="23"/>
        <v>11.3</v>
      </c>
      <c r="G24" s="7">
        <f t="shared" si="23"/>
        <v>13.5</v>
      </c>
      <c r="H24" s="8">
        <v>0.348</v>
      </c>
      <c r="I24" s="8">
        <v>1.749</v>
      </c>
      <c r="J24" s="8">
        <v>0.572</v>
      </c>
      <c r="K24" s="8">
        <v>0.554</v>
      </c>
      <c r="L24" s="8">
        <v>0.427</v>
      </c>
      <c r="M24" s="8">
        <v>0.113</v>
      </c>
      <c r="N24" s="8">
        <v>0.135</v>
      </c>
      <c r="O24" s="8">
        <v>0.348</v>
      </c>
      <c r="P24" s="8">
        <v>1.749</v>
      </c>
      <c r="Q24" s="8">
        <v>0.572</v>
      </c>
      <c r="R24" s="8">
        <v>0.554</v>
      </c>
      <c r="S24" s="8"/>
      <c r="T24" s="8"/>
      <c r="U24" s="8">
        <v>2.126</v>
      </c>
      <c r="V24" s="8">
        <v>0.663</v>
      </c>
      <c r="W24" s="8">
        <v>2.126</v>
      </c>
      <c r="X24" s="8">
        <v>0.663</v>
      </c>
      <c r="Y24" s="8">
        <v>2.07</v>
      </c>
      <c r="Z24" s="8">
        <v>0.617</v>
      </c>
    </row>
    <row r="25">
      <c r="A25" s="6">
        <v>620.0</v>
      </c>
      <c r="B25" s="8">
        <v>620.0</v>
      </c>
      <c r="C25" s="8">
        <v>26.0</v>
      </c>
      <c r="D25" s="8">
        <v>0.005</v>
      </c>
      <c r="E25" s="7">
        <f t="shared" ref="E25:G25" si="24">L25*100</f>
        <v>29.9</v>
      </c>
      <c r="F25" s="7">
        <f t="shared" si="24"/>
        <v>8.4</v>
      </c>
      <c r="G25" s="7">
        <f t="shared" si="24"/>
        <v>9.4</v>
      </c>
      <c r="H25" s="8">
        <v>0.639</v>
      </c>
      <c r="I25" s="8">
        <v>1.23</v>
      </c>
      <c r="J25" s="8">
        <v>0.813</v>
      </c>
      <c r="K25" s="8">
        <v>0.819</v>
      </c>
      <c r="L25" s="8">
        <v>0.299</v>
      </c>
      <c r="M25" s="8">
        <v>0.084</v>
      </c>
      <c r="N25" s="8">
        <v>0.094</v>
      </c>
      <c r="O25" s="8">
        <v>0.639</v>
      </c>
      <c r="P25" s="8">
        <v>1.23</v>
      </c>
      <c r="Q25" s="8">
        <v>0.813</v>
      </c>
      <c r="R25" s="8">
        <v>0.819</v>
      </c>
      <c r="S25" s="8"/>
      <c r="T25" s="8"/>
      <c r="U25" s="8">
        <v>2.131</v>
      </c>
      <c r="V25" s="8">
        <v>0.533</v>
      </c>
      <c r="W25" s="8">
        <v>2.131</v>
      </c>
      <c r="X25" s="8">
        <v>0.533</v>
      </c>
      <c r="Y25" s="8">
        <v>2.09</v>
      </c>
      <c r="Z25" s="8">
        <v>0.496</v>
      </c>
    </row>
    <row r="26">
      <c r="A26" s="6">
        <v>621.0</v>
      </c>
      <c r="B26" s="8">
        <v>621.0</v>
      </c>
      <c r="C26" s="8">
        <v>13.0</v>
      </c>
      <c r="D26" s="8">
        <v>0.003</v>
      </c>
      <c r="E26" s="7">
        <f t="shared" ref="E26:G26" si="25">L26*100</f>
        <v>26.2</v>
      </c>
      <c r="F26" s="7">
        <f t="shared" si="25"/>
        <v>7.6</v>
      </c>
      <c r="G26" s="7">
        <f t="shared" si="25"/>
        <v>7.8</v>
      </c>
      <c r="H26" s="8">
        <v>0.489</v>
      </c>
      <c r="I26" s="8">
        <v>1.542</v>
      </c>
      <c r="J26" s="8">
        <v>0.649</v>
      </c>
      <c r="K26" s="8">
        <v>0.707</v>
      </c>
      <c r="L26" s="8">
        <v>0.262</v>
      </c>
      <c r="M26" s="8">
        <v>0.076</v>
      </c>
      <c r="N26" s="8">
        <v>0.078</v>
      </c>
      <c r="O26" s="8">
        <v>0.489</v>
      </c>
      <c r="P26" s="8">
        <v>1.542</v>
      </c>
      <c r="Q26" s="8">
        <v>0.649</v>
      </c>
      <c r="R26" s="8">
        <v>0.707</v>
      </c>
      <c r="S26" s="8"/>
      <c r="T26" s="8"/>
      <c r="U26" s="8">
        <v>2.159</v>
      </c>
      <c r="V26" s="8">
        <v>0.271</v>
      </c>
      <c r="W26" s="8">
        <v>2.159</v>
      </c>
      <c r="X26" s="8">
        <v>0.271</v>
      </c>
      <c r="Y26" s="8">
        <v>2.117</v>
      </c>
      <c r="Z26" s="8">
        <v>0.244</v>
      </c>
    </row>
    <row r="27">
      <c r="A27" s="6">
        <v>622.0</v>
      </c>
      <c r="B27" s="8">
        <v>622.0</v>
      </c>
      <c r="C27" s="8">
        <v>11.0</v>
      </c>
      <c r="D27" s="8">
        <v>0.002</v>
      </c>
      <c r="E27" s="7">
        <f t="shared" ref="E27:G27" si="26">L27*100</f>
        <v>19.6</v>
      </c>
      <c r="F27" s="7">
        <f t="shared" si="26"/>
        <v>6.1</v>
      </c>
      <c r="G27" s="7">
        <f t="shared" si="26"/>
        <v>5.3</v>
      </c>
      <c r="H27" s="8">
        <v>0.568</v>
      </c>
      <c r="I27" s="8">
        <v>1.234</v>
      </c>
      <c r="J27" s="8">
        <v>0.811</v>
      </c>
      <c r="K27" s="8">
        <v>0.764</v>
      </c>
      <c r="L27" s="8">
        <v>0.196</v>
      </c>
      <c r="M27" s="8">
        <v>0.061</v>
      </c>
      <c r="N27" s="8">
        <v>0.053</v>
      </c>
      <c r="O27" s="8">
        <v>0.568</v>
      </c>
      <c r="P27" s="8">
        <v>1.234</v>
      </c>
      <c r="Q27" s="8">
        <v>0.811</v>
      </c>
      <c r="R27" s="8">
        <v>0.764</v>
      </c>
      <c r="S27" s="8"/>
      <c r="T27" s="8"/>
      <c r="U27" s="8">
        <v>2.227</v>
      </c>
      <c r="V27" s="8">
        <v>0.253</v>
      </c>
      <c r="W27" s="8">
        <v>2.227</v>
      </c>
      <c r="X27" s="8">
        <v>0.253</v>
      </c>
      <c r="Y27" s="8">
        <v>2.193</v>
      </c>
      <c r="Z27" s="8">
        <v>0.232</v>
      </c>
    </row>
    <row r="28">
      <c r="A28" s="6">
        <v>623.0</v>
      </c>
      <c r="B28" s="8">
        <v>623.0</v>
      </c>
      <c r="C28" s="8">
        <v>19.0</v>
      </c>
      <c r="D28" s="8">
        <v>0.002</v>
      </c>
      <c r="E28" s="7">
        <f t="shared" ref="E28:G28" si="27">L28*100</f>
        <v>21.7</v>
      </c>
      <c r="F28" s="7">
        <f t="shared" si="27"/>
        <v>7.6</v>
      </c>
      <c r="G28" s="7">
        <f t="shared" si="27"/>
        <v>5.5</v>
      </c>
      <c r="H28" s="8">
        <v>0.609</v>
      </c>
      <c r="I28" s="8">
        <v>1.218</v>
      </c>
      <c r="J28" s="8">
        <v>0.821</v>
      </c>
      <c r="K28" s="8">
        <v>0.779</v>
      </c>
      <c r="L28" s="8">
        <v>0.217</v>
      </c>
      <c r="M28" s="8">
        <v>0.076</v>
      </c>
      <c r="N28" s="8">
        <v>0.055</v>
      </c>
      <c r="O28" s="8">
        <v>0.609</v>
      </c>
      <c r="P28" s="8">
        <v>1.218</v>
      </c>
      <c r="Q28" s="8">
        <v>0.821</v>
      </c>
      <c r="R28" s="8">
        <v>0.779</v>
      </c>
      <c r="S28" s="8"/>
      <c r="T28" s="8"/>
      <c r="U28" s="8">
        <v>2.218</v>
      </c>
      <c r="V28" s="8">
        <v>0.339</v>
      </c>
      <c r="W28" s="8">
        <v>2.218</v>
      </c>
      <c r="X28" s="8">
        <v>0.339</v>
      </c>
      <c r="Y28" s="8">
        <v>2.18</v>
      </c>
      <c r="Z28" s="8">
        <v>0.318</v>
      </c>
    </row>
    <row r="29">
      <c r="A29" s="6">
        <v>624.0</v>
      </c>
      <c r="B29" s="8">
        <v>624.0</v>
      </c>
      <c r="C29" s="8">
        <v>29.0</v>
      </c>
      <c r="D29" s="8">
        <v>0.003</v>
      </c>
      <c r="E29" s="7">
        <f t="shared" ref="E29:G29" si="28">L29*100</f>
        <v>27.3</v>
      </c>
      <c r="F29" s="7">
        <f t="shared" si="28"/>
        <v>8.2</v>
      </c>
      <c r="G29" s="7">
        <f t="shared" si="28"/>
        <v>8</v>
      </c>
      <c r="H29" s="8">
        <v>0.514</v>
      </c>
      <c r="I29" s="8">
        <v>1.323</v>
      </c>
      <c r="J29" s="8">
        <v>0.756</v>
      </c>
      <c r="K29" s="8">
        <v>0.715</v>
      </c>
      <c r="L29" s="8">
        <v>0.273</v>
      </c>
      <c r="M29" s="8">
        <v>0.082</v>
      </c>
      <c r="N29" s="8">
        <v>0.08</v>
      </c>
      <c r="O29" s="8">
        <v>0.514</v>
      </c>
      <c r="P29" s="8">
        <v>1.323</v>
      </c>
      <c r="Q29" s="8">
        <v>0.756</v>
      </c>
      <c r="R29" s="8">
        <v>0.715</v>
      </c>
      <c r="S29" s="8"/>
      <c r="T29" s="8"/>
      <c r="U29" s="8">
        <v>2.233</v>
      </c>
      <c r="V29" s="8">
        <v>0.62</v>
      </c>
      <c r="W29" s="8">
        <v>2.233</v>
      </c>
      <c r="X29" s="8">
        <v>0.62</v>
      </c>
      <c r="Y29" s="8">
        <v>2.189</v>
      </c>
      <c r="Z29" s="8">
        <v>0.592</v>
      </c>
    </row>
    <row r="30">
      <c r="A30" s="6">
        <v>625.0</v>
      </c>
      <c r="B30" s="8">
        <v>625.0</v>
      </c>
      <c r="C30" s="8">
        <v>35.0</v>
      </c>
      <c r="D30" s="8">
        <v>0.003</v>
      </c>
      <c r="E30" s="7">
        <f t="shared" ref="E30:G30" si="29">L30*100</f>
        <v>27.4</v>
      </c>
      <c r="F30" s="7">
        <f t="shared" si="29"/>
        <v>6.4</v>
      </c>
      <c r="G30" s="7">
        <f t="shared" si="29"/>
        <v>9.6</v>
      </c>
      <c r="H30" s="8">
        <v>0.469</v>
      </c>
      <c r="I30" s="8">
        <v>1.984</v>
      </c>
      <c r="J30" s="8">
        <v>0.504</v>
      </c>
      <c r="K30" s="8">
        <v>0.73</v>
      </c>
      <c r="L30" s="8">
        <v>0.274</v>
      </c>
      <c r="M30" s="8">
        <v>0.064</v>
      </c>
      <c r="N30" s="8">
        <v>0.096</v>
      </c>
      <c r="O30" s="8">
        <v>0.469</v>
      </c>
      <c r="P30" s="8">
        <v>1.984</v>
      </c>
      <c r="Q30" s="8">
        <v>0.504</v>
      </c>
      <c r="R30" s="8">
        <v>0.73</v>
      </c>
      <c r="S30" s="8"/>
      <c r="T30" s="8"/>
      <c r="U30" s="8">
        <v>2.204</v>
      </c>
      <c r="V30" s="8">
        <v>0.82</v>
      </c>
      <c r="W30" s="8">
        <v>2.204</v>
      </c>
      <c r="X30" s="8">
        <v>0.82</v>
      </c>
      <c r="Y30" s="8">
        <v>2.172</v>
      </c>
      <c r="Z30" s="8">
        <v>0.787</v>
      </c>
    </row>
    <row r="31">
      <c r="A31" s="6">
        <v>626.0</v>
      </c>
      <c r="B31" s="8">
        <v>626.0</v>
      </c>
      <c r="C31" s="8">
        <v>37.0</v>
      </c>
      <c r="D31" s="8">
        <v>0.003</v>
      </c>
      <c r="E31" s="7">
        <f t="shared" ref="E31:G31" si="30">L31*100</f>
        <v>35.2</v>
      </c>
      <c r="F31" s="7">
        <f t="shared" si="30"/>
        <v>8.8</v>
      </c>
      <c r="G31" s="7">
        <f t="shared" si="30"/>
        <v>10.9</v>
      </c>
      <c r="H31" s="8">
        <v>0.347</v>
      </c>
      <c r="I31" s="8">
        <v>1.713</v>
      </c>
      <c r="J31" s="8">
        <v>0.584</v>
      </c>
      <c r="K31" s="8">
        <v>0.57</v>
      </c>
      <c r="L31" s="8">
        <v>0.352</v>
      </c>
      <c r="M31" s="8">
        <v>0.088</v>
      </c>
      <c r="N31" s="8">
        <v>0.109</v>
      </c>
      <c r="O31" s="8">
        <v>0.347</v>
      </c>
      <c r="P31" s="8">
        <v>1.713</v>
      </c>
      <c r="Q31" s="8">
        <v>0.584</v>
      </c>
      <c r="R31" s="8">
        <v>0.57</v>
      </c>
      <c r="S31" s="8"/>
      <c r="T31" s="8"/>
      <c r="U31" s="8">
        <v>2.259</v>
      </c>
      <c r="V31" s="8">
        <v>0.897</v>
      </c>
      <c r="W31" s="8">
        <v>2.259</v>
      </c>
      <c r="X31" s="8">
        <v>0.897</v>
      </c>
      <c r="Y31" s="8">
        <v>2.217</v>
      </c>
      <c r="Z31" s="8">
        <v>0.861</v>
      </c>
    </row>
    <row r="32">
      <c r="A32" s="6">
        <v>628.0</v>
      </c>
      <c r="B32" s="8">
        <v>627.0</v>
      </c>
      <c r="C32" s="8">
        <v>36.0</v>
      </c>
      <c r="D32" s="8">
        <v>0.003</v>
      </c>
      <c r="E32" s="7">
        <f t="shared" ref="E32:G32" si="31">L32*100</f>
        <v>29.3</v>
      </c>
      <c r="F32" s="7">
        <f t="shared" si="31"/>
        <v>8</v>
      </c>
      <c r="G32" s="7">
        <f t="shared" si="31"/>
        <v>8.4</v>
      </c>
      <c r="H32" s="8">
        <v>0.485</v>
      </c>
      <c r="I32" s="8">
        <v>1.397</v>
      </c>
      <c r="J32" s="8">
        <v>0.716</v>
      </c>
      <c r="K32" s="8">
        <v>0.705</v>
      </c>
      <c r="L32" s="8">
        <v>0.293</v>
      </c>
      <c r="M32" s="8">
        <v>0.08</v>
      </c>
      <c r="N32" s="8">
        <v>0.084</v>
      </c>
      <c r="O32" s="8">
        <v>0.485</v>
      </c>
      <c r="P32" s="8">
        <v>1.397</v>
      </c>
      <c r="Q32" s="8">
        <v>0.716</v>
      </c>
      <c r="R32" s="8">
        <v>0.705</v>
      </c>
      <c r="S32" s="8"/>
      <c r="T32" s="8"/>
      <c r="U32" s="8">
        <v>2.33</v>
      </c>
      <c r="V32" s="8">
        <v>0.829</v>
      </c>
      <c r="W32" s="8">
        <v>2.33</v>
      </c>
      <c r="X32" s="8">
        <v>0.829</v>
      </c>
      <c r="Y32" s="8">
        <v>2.285</v>
      </c>
      <c r="Z32" s="8">
        <v>0.795</v>
      </c>
    </row>
    <row r="33">
      <c r="A33" s="6">
        <v>629.0</v>
      </c>
      <c r="B33" s="8">
        <v>628.0</v>
      </c>
      <c r="C33" s="8">
        <v>23.0</v>
      </c>
      <c r="D33" s="8">
        <v>0.004</v>
      </c>
      <c r="E33" s="7">
        <f t="shared" ref="E33:G33" si="32">L33*100</f>
        <v>29.4</v>
      </c>
      <c r="F33" s="7">
        <f t="shared" si="32"/>
        <v>9</v>
      </c>
      <c r="G33" s="7">
        <f t="shared" si="32"/>
        <v>8.2</v>
      </c>
      <c r="H33" s="8">
        <v>0.523</v>
      </c>
      <c r="I33" s="8">
        <v>1.32</v>
      </c>
      <c r="J33" s="8">
        <v>0.758</v>
      </c>
      <c r="K33" s="8">
        <v>0.731</v>
      </c>
      <c r="L33" s="8">
        <v>0.294</v>
      </c>
      <c r="M33" s="8">
        <v>0.09</v>
      </c>
      <c r="N33" s="8">
        <v>0.082</v>
      </c>
      <c r="O33" s="8">
        <v>0.523</v>
      </c>
      <c r="P33" s="8">
        <v>1.32</v>
      </c>
      <c r="Q33" s="8">
        <v>0.758</v>
      </c>
      <c r="R33" s="8">
        <v>0.731</v>
      </c>
      <c r="S33" s="8"/>
      <c r="T33" s="8"/>
      <c r="U33" s="8">
        <v>2.269</v>
      </c>
      <c r="V33" s="8">
        <v>0.471</v>
      </c>
      <c r="W33" s="8">
        <v>2.269</v>
      </c>
      <c r="X33" s="8">
        <v>0.471</v>
      </c>
      <c r="Y33" s="8">
        <v>2.221</v>
      </c>
      <c r="Z33" s="8">
        <v>0.439</v>
      </c>
    </row>
    <row r="34">
      <c r="A34" s="6">
        <v>630.0</v>
      </c>
      <c r="B34" s="8">
        <v>629.0</v>
      </c>
      <c r="C34" s="8">
        <v>7.0</v>
      </c>
      <c r="D34" s="8">
        <v>0.003</v>
      </c>
      <c r="E34" s="7">
        <f t="shared" ref="E34:G34" si="33">L34*100</f>
        <v>28</v>
      </c>
      <c r="F34" s="7">
        <f t="shared" si="33"/>
        <v>7.2</v>
      </c>
      <c r="G34" s="7">
        <f t="shared" si="33"/>
        <v>9</v>
      </c>
      <c r="H34" s="8">
        <v>0.479</v>
      </c>
      <c r="I34" s="8">
        <v>1.663</v>
      </c>
      <c r="J34" s="8">
        <v>0.601</v>
      </c>
      <c r="K34" s="8">
        <v>0.708</v>
      </c>
      <c r="L34" s="8">
        <v>0.28</v>
      </c>
      <c r="M34" s="8">
        <v>0.072</v>
      </c>
      <c r="N34" s="8">
        <v>0.09</v>
      </c>
      <c r="O34" s="8">
        <v>0.479</v>
      </c>
      <c r="P34" s="8">
        <v>1.663</v>
      </c>
      <c r="Q34" s="8">
        <v>0.601</v>
      </c>
      <c r="R34" s="8">
        <v>0.708</v>
      </c>
      <c r="S34" s="8"/>
      <c r="T34" s="8"/>
      <c r="U34" s="8">
        <v>2.289</v>
      </c>
      <c r="V34" s="8">
        <v>0.192</v>
      </c>
      <c r="W34" s="8">
        <v>2.289</v>
      </c>
      <c r="X34" s="8">
        <v>0.192</v>
      </c>
      <c r="Y34" s="8">
        <v>2.25</v>
      </c>
      <c r="Z34" s="8">
        <v>0.16</v>
      </c>
    </row>
    <row r="35">
      <c r="A35" s="6">
        <v>631.0</v>
      </c>
      <c r="B35" s="8">
        <v>630.0</v>
      </c>
      <c r="C35" s="8">
        <v>22.0</v>
      </c>
      <c r="D35" s="8">
        <v>0.002</v>
      </c>
      <c r="E35" s="7">
        <f t="shared" ref="E35:G35" si="34">L35*100</f>
        <v>17.4</v>
      </c>
      <c r="F35" s="7">
        <f t="shared" si="34"/>
        <v>5.3</v>
      </c>
      <c r="G35" s="7">
        <f t="shared" si="34"/>
        <v>5.3</v>
      </c>
      <c r="H35" s="8">
        <v>0.829</v>
      </c>
      <c r="I35" s="8">
        <v>1.081</v>
      </c>
      <c r="J35" s="8">
        <v>0.925</v>
      </c>
      <c r="K35" s="8">
        <v>0.928</v>
      </c>
      <c r="L35" s="8">
        <v>0.174</v>
      </c>
      <c r="M35" s="8">
        <v>0.053</v>
      </c>
      <c r="N35" s="8">
        <v>0.053</v>
      </c>
      <c r="O35" s="8">
        <v>0.829</v>
      </c>
      <c r="P35" s="8">
        <v>1.081</v>
      </c>
      <c r="Q35" s="8">
        <v>0.925</v>
      </c>
      <c r="R35" s="8">
        <v>0.928</v>
      </c>
      <c r="S35" s="8"/>
      <c r="T35" s="8"/>
      <c r="U35" s="8">
        <v>2.338</v>
      </c>
      <c r="V35" s="8">
        <v>0.447</v>
      </c>
      <c r="W35" s="8">
        <v>2.338</v>
      </c>
      <c r="X35" s="8">
        <v>0.447</v>
      </c>
      <c r="Y35" s="8">
        <v>2.309</v>
      </c>
      <c r="Z35" s="8">
        <v>0.422</v>
      </c>
    </row>
    <row r="36">
      <c r="A36" s="6">
        <v>632.0</v>
      </c>
      <c r="B36" s="8">
        <v>631.0</v>
      </c>
      <c r="C36" s="8">
        <v>40.0</v>
      </c>
      <c r="D36" s="8">
        <v>0.007</v>
      </c>
      <c r="E36" s="7">
        <f t="shared" ref="E36:G36" si="35">L36*100</f>
        <v>43.8</v>
      </c>
      <c r="F36" s="7">
        <f t="shared" si="35"/>
        <v>9.8</v>
      </c>
      <c r="G36" s="7">
        <f t="shared" si="35"/>
        <v>15.4</v>
      </c>
      <c r="H36" s="8">
        <v>0.442</v>
      </c>
      <c r="I36" s="8">
        <v>2.429</v>
      </c>
      <c r="J36" s="8">
        <v>0.412</v>
      </c>
      <c r="K36" s="8">
        <v>0.696</v>
      </c>
      <c r="L36" s="8">
        <v>0.438</v>
      </c>
      <c r="M36" s="8">
        <v>0.098</v>
      </c>
      <c r="N36" s="8">
        <v>0.154</v>
      </c>
      <c r="O36" s="8">
        <v>0.442</v>
      </c>
      <c r="P36" s="8">
        <v>2.429</v>
      </c>
      <c r="Q36" s="8">
        <v>0.412</v>
      </c>
      <c r="R36" s="8">
        <v>0.696</v>
      </c>
      <c r="S36" s="8"/>
      <c r="T36" s="8"/>
      <c r="U36" s="8">
        <v>2.345</v>
      </c>
      <c r="V36" s="8">
        <v>0.97</v>
      </c>
      <c r="W36" s="8">
        <v>2.345</v>
      </c>
      <c r="X36" s="8">
        <v>0.97</v>
      </c>
      <c r="Y36" s="8">
        <v>2.289</v>
      </c>
      <c r="Z36" s="8">
        <v>0.912</v>
      </c>
    </row>
    <row r="37">
      <c r="A37" s="6">
        <v>634.0</v>
      </c>
      <c r="B37" s="8">
        <v>632.0</v>
      </c>
      <c r="C37" s="8">
        <v>39.0</v>
      </c>
      <c r="D37" s="8">
        <v>0.006</v>
      </c>
      <c r="E37" s="7">
        <f t="shared" ref="E37:G37" si="36">L37*100</f>
        <v>37.3</v>
      </c>
      <c r="F37" s="7">
        <f t="shared" si="36"/>
        <v>12.5</v>
      </c>
      <c r="G37" s="7">
        <f t="shared" si="36"/>
        <v>10.2</v>
      </c>
      <c r="H37" s="8">
        <v>0.535</v>
      </c>
      <c r="I37" s="8">
        <v>2.064</v>
      </c>
      <c r="J37" s="8">
        <v>0.485</v>
      </c>
      <c r="K37" s="8">
        <v>0.818</v>
      </c>
      <c r="L37" s="8">
        <v>0.373</v>
      </c>
      <c r="M37" s="8">
        <v>0.125</v>
      </c>
      <c r="N37" s="8">
        <v>0.102</v>
      </c>
      <c r="O37" s="8">
        <v>0.535</v>
      </c>
      <c r="P37" s="8">
        <v>2.064</v>
      </c>
      <c r="Q37" s="8">
        <v>0.485</v>
      </c>
      <c r="R37" s="8">
        <v>0.818</v>
      </c>
      <c r="S37" s="8"/>
      <c r="T37" s="8"/>
      <c r="U37" s="8">
        <v>2.473</v>
      </c>
      <c r="V37" s="8">
        <v>0.949</v>
      </c>
      <c r="W37" s="8">
        <v>2.473</v>
      </c>
      <c r="X37" s="8">
        <v>0.949</v>
      </c>
      <c r="Y37" s="8">
        <v>2.41</v>
      </c>
      <c r="Z37" s="8">
        <v>0.904</v>
      </c>
    </row>
    <row r="38">
      <c r="A38" s="6">
        <v>636.0</v>
      </c>
      <c r="B38" s="8">
        <v>634.0</v>
      </c>
      <c r="C38" s="8">
        <v>5.0</v>
      </c>
      <c r="D38" s="8">
        <v>0.004</v>
      </c>
      <c r="E38" s="7">
        <f t="shared" ref="E38:G38" si="37">L38*100</f>
        <v>33.8</v>
      </c>
      <c r="F38" s="7">
        <f t="shared" si="37"/>
        <v>9.2</v>
      </c>
      <c r="G38" s="7">
        <f t="shared" si="37"/>
        <v>10.5</v>
      </c>
      <c r="H38" s="8">
        <v>0.409</v>
      </c>
      <c r="I38" s="8">
        <v>1.527</v>
      </c>
      <c r="J38" s="8">
        <v>0.655</v>
      </c>
      <c r="K38" s="8">
        <v>0.663</v>
      </c>
      <c r="L38" s="8">
        <v>0.338</v>
      </c>
      <c r="M38" s="8">
        <v>0.092</v>
      </c>
      <c r="N38" s="8">
        <v>0.105</v>
      </c>
      <c r="O38" s="8">
        <v>0.409</v>
      </c>
      <c r="P38" s="8">
        <v>1.527</v>
      </c>
      <c r="Q38" s="8">
        <v>0.655</v>
      </c>
      <c r="R38" s="8">
        <v>0.663</v>
      </c>
      <c r="S38" s="8"/>
      <c r="T38" s="8"/>
      <c r="U38" s="8">
        <v>2.408</v>
      </c>
      <c r="V38" s="8">
        <v>0.168</v>
      </c>
      <c r="W38" s="8">
        <v>2.408</v>
      </c>
      <c r="X38" s="8">
        <v>0.168</v>
      </c>
      <c r="Y38" s="8">
        <v>2.357</v>
      </c>
      <c r="Z38" s="8">
        <v>0.133</v>
      </c>
    </row>
    <row r="39">
      <c r="A39" s="6">
        <v>637.0</v>
      </c>
      <c r="B39" s="8">
        <v>636.0</v>
      </c>
      <c r="C39" s="8">
        <v>33.0</v>
      </c>
      <c r="D39" s="8">
        <v>0.004</v>
      </c>
      <c r="E39" s="7">
        <f t="shared" ref="E39:G39" si="38">L39*100</f>
        <v>28.6</v>
      </c>
      <c r="F39" s="7">
        <f t="shared" si="38"/>
        <v>8.2</v>
      </c>
      <c r="G39" s="7">
        <f t="shared" si="38"/>
        <v>8.8</v>
      </c>
      <c r="H39" s="8">
        <v>0.566</v>
      </c>
      <c r="I39" s="8">
        <v>1.47</v>
      </c>
      <c r="J39" s="8">
        <v>0.68</v>
      </c>
      <c r="K39" s="8">
        <v>0.748</v>
      </c>
      <c r="L39" s="8">
        <v>0.286</v>
      </c>
      <c r="M39" s="8">
        <v>0.082</v>
      </c>
      <c r="N39" s="8">
        <v>0.088</v>
      </c>
      <c r="O39" s="8">
        <v>0.566</v>
      </c>
      <c r="P39" s="8">
        <v>1.47</v>
      </c>
      <c r="Q39" s="8">
        <v>0.68</v>
      </c>
      <c r="R39" s="8">
        <v>0.748</v>
      </c>
      <c r="S39" s="8"/>
      <c r="T39" s="8"/>
      <c r="U39" s="8">
        <v>2.538</v>
      </c>
      <c r="V39" s="8">
        <v>0.731</v>
      </c>
      <c r="W39" s="8">
        <v>2.538</v>
      </c>
      <c r="X39" s="8">
        <v>0.731</v>
      </c>
      <c r="Y39" s="8">
        <v>2.498</v>
      </c>
      <c r="Z39" s="8">
        <v>0.695</v>
      </c>
    </row>
    <row r="40">
      <c r="A40" s="6">
        <v>638.0</v>
      </c>
      <c r="B40" s="8">
        <v>637.0</v>
      </c>
      <c r="C40" s="8">
        <v>16.0</v>
      </c>
      <c r="D40" s="8">
        <v>0.003</v>
      </c>
      <c r="E40" s="7">
        <f t="shared" ref="E40:G40" si="39">L40*100</f>
        <v>31.7</v>
      </c>
      <c r="F40" s="7">
        <f t="shared" si="39"/>
        <v>8.2</v>
      </c>
      <c r="G40" s="7">
        <f t="shared" si="39"/>
        <v>10.2</v>
      </c>
      <c r="H40" s="8">
        <v>0.401</v>
      </c>
      <c r="I40" s="8">
        <v>1.672</v>
      </c>
      <c r="J40" s="8">
        <v>0.598</v>
      </c>
      <c r="K40" s="8">
        <v>0.619</v>
      </c>
      <c r="L40" s="8">
        <v>0.317</v>
      </c>
      <c r="M40" s="8">
        <v>0.082</v>
      </c>
      <c r="N40" s="8">
        <v>0.102</v>
      </c>
      <c r="O40" s="8">
        <v>0.401</v>
      </c>
      <c r="P40" s="8">
        <v>1.672</v>
      </c>
      <c r="Q40" s="8">
        <v>0.598</v>
      </c>
      <c r="R40" s="8">
        <v>0.619</v>
      </c>
      <c r="S40" s="8"/>
      <c r="T40" s="8"/>
      <c r="U40" s="8">
        <v>2.544</v>
      </c>
      <c r="V40" s="8">
        <v>0.289</v>
      </c>
      <c r="W40" s="8">
        <v>2.544</v>
      </c>
      <c r="X40" s="8">
        <v>0.289</v>
      </c>
      <c r="Y40" s="8">
        <v>2.5</v>
      </c>
      <c r="Z40" s="8">
        <v>0.254</v>
      </c>
    </row>
    <row r="41">
      <c r="A41" s="6">
        <v>720.0</v>
      </c>
      <c r="B41" s="8">
        <v>638.0</v>
      </c>
      <c r="C41" s="8">
        <v>14.0</v>
      </c>
      <c r="D41" s="8">
        <v>0.004</v>
      </c>
      <c r="E41" s="7">
        <f t="shared" ref="E41:G41" si="40">L41*100</f>
        <v>30.7</v>
      </c>
      <c r="F41" s="7">
        <f t="shared" si="40"/>
        <v>8.6</v>
      </c>
      <c r="G41" s="7">
        <f t="shared" si="40"/>
        <v>9.4</v>
      </c>
      <c r="H41" s="8">
        <v>0.469</v>
      </c>
      <c r="I41" s="8">
        <v>1.355</v>
      </c>
      <c r="J41" s="8">
        <v>0.738</v>
      </c>
      <c r="K41" s="8">
        <v>0.682</v>
      </c>
      <c r="L41" s="8">
        <v>0.307</v>
      </c>
      <c r="M41" s="8">
        <v>0.086</v>
      </c>
      <c r="N41" s="8">
        <v>0.094</v>
      </c>
      <c r="O41" s="8">
        <v>0.469</v>
      </c>
      <c r="P41" s="8">
        <v>1.355</v>
      </c>
      <c r="Q41" s="8">
        <v>0.738</v>
      </c>
      <c r="R41" s="8">
        <v>0.682</v>
      </c>
      <c r="S41" s="8"/>
      <c r="T41" s="8"/>
      <c r="U41" s="8">
        <v>3.263</v>
      </c>
      <c r="V41" s="8">
        <v>0.277</v>
      </c>
      <c r="W41" s="8">
        <v>3.263</v>
      </c>
      <c r="X41" s="8">
        <v>0.277</v>
      </c>
      <c r="Y41" s="8">
        <v>3.219</v>
      </c>
      <c r="Z41" s="8">
        <v>0.244</v>
      </c>
    </row>
    <row r="42">
      <c r="B42" s="8">
        <v>720.0</v>
      </c>
      <c r="C42" s="8">
        <v>8.0</v>
      </c>
      <c r="D42" s="8">
        <v>0.002</v>
      </c>
      <c r="E42" s="7">
        <f t="shared" ref="E42:G42" si="41">L42*100</f>
        <v>24.5</v>
      </c>
      <c r="F42" s="7">
        <f t="shared" si="41"/>
        <v>7.4</v>
      </c>
      <c r="G42" s="7">
        <f t="shared" si="41"/>
        <v>7</v>
      </c>
      <c r="H42" s="8">
        <v>0.476</v>
      </c>
      <c r="I42" s="8">
        <v>1.139</v>
      </c>
      <c r="J42" s="8">
        <v>0.878</v>
      </c>
      <c r="K42" s="8">
        <v>0.678</v>
      </c>
      <c r="L42" s="8">
        <v>0.245</v>
      </c>
      <c r="M42" s="8">
        <v>0.074</v>
      </c>
      <c r="N42" s="8">
        <v>0.07</v>
      </c>
      <c r="O42" s="8">
        <v>0.476</v>
      </c>
      <c r="P42" s="8">
        <v>1.139</v>
      </c>
      <c r="Q42" s="8">
        <v>0.878</v>
      </c>
      <c r="R42" s="8">
        <v>0.678</v>
      </c>
      <c r="S42" s="8"/>
      <c r="T42" s="8"/>
      <c r="U42" s="8">
        <v>3.261</v>
      </c>
      <c r="V42" s="8">
        <v>0.19</v>
      </c>
      <c r="W42" s="8">
        <v>3.261</v>
      </c>
      <c r="X42" s="8">
        <v>0.19</v>
      </c>
      <c r="Y42" s="8">
        <v>3.223</v>
      </c>
      <c r="Z42" s="8">
        <v>0.164</v>
      </c>
    </row>
  </sheetData>
  <autoFilter ref="$B$1:$AA$1001">
    <sortState ref="B1:AA1001">
      <sortCondition ref="B1:B1001"/>
    </sortState>
  </autoFilter>
  <drawing r:id="rId1"/>
</worksheet>
</file>