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els" sheetId="1" r:id="rId4"/>
    <sheet state="visible" name="Motifs" sheetId="2" r:id="rId5"/>
    <sheet state="visible" name="Pivot Table 1" sheetId="3" r:id="rId6"/>
    <sheet state="visible" name="ERA_MOTIF_TYPES.csv" sheetId="4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<sst xmlns="http://schemas.openxmlformats.org/spreadsheetml/2006/main" count="3674" uniqueCount="886">
  <si>
    <t>PANEL_ID</t>
  </si>
  <si>
    <t>ERA_ID</t>
  </si>
  <si>
    <t>BECKENSALL_ID</t>
  </si>
  <si>
    <t>VERSION</t>
  </si>
  <si>
    <t>PANEL_NAME</t>
  </si>
  <si>
    <t>PANEL_NUMBER</t>
  </si>
  <si>
    <t>IS_PUBLIC</t>
  </si>
  <si>
    <t>UPDATED_BY</t>
  </si>
  <si>
    <t>UPDATED</t>
  </si>
  <si>
    <t>ARCHIVE_FOLDER</t>
  </si>
  <si>
    <t>Amerside Law</t>
  </si>
  <si>
    <t>3a</t>
  </si>
  <si>
    <t>Beadnell Caravan Park</t>
  </si>
  <si>
    <t>North Sunderland, Seahouses</t>
  </si>
  <si>
    <t>Turf Knowe</t>
  </si>
  <si>
    <t>a</t>
  </si>
  <si>
    <t>West Park Camp, Birtley</t>
  </si>
  <si>
    <t>Carry House Camp, Birtley</t>
  </si>
  <si>
    <t>Gunner Peak Camp, Barrasford</t>
  </si>
  <si>
    <t>b</t>
  </si>
  <si>
    <t>Blue Crag, Colwell</t>
  </si>
  <si>
    <t>Homers Lane, Warden</t>
  </si>
  <si>
    <t>Houxty Cottage</t>
  </si>
  <si>
    <t>Hartleyburn Common</t>
  </si>
  <si>
    <t>1a</t>
  </si>
  <si>
    <t>1b</t>
  </si>
  <si>
    <t>1c</t>
  </si>
  <si>
    <t>1d</t>
  </si>
  <si>
    <t>1e</t>
  </si>
  <si>
    <t>Prudhoe Castle</t>
  </si>
  <si>
    <t>High Shaw Farm</t>
  </si>
  <si>
    <t>Chesters Roman Site</t>
  </si>
  <si>
    <t>Holy Island</t>
  </si>
  <si>
    <t>Fowberry Excavation Site Kerbstone</t>
  </si>
  <si>
    <t>West Horton 6 Portable</t>
  </si>
  <si>
    <t>c</t>
  </si>
  <si>
    <t>Weetwood Cairn</t>
  </si>
  <si>
    <t>e</t>
  </si>
  <si>
    <t>q</t>
  </si>
  <si>
    <t>s</t>
  </si>
  <si>
    <t>x</t>
  </si>
  <si>
    <t>gg</t>
  </si>
  <si>
    <t>jj</t>
  </si>
  <si>
    <t>Weetwood Cairn Kerbstone</t>
  </si>
  <si>
    <t>The Ringses</t>
  </si>
  <si>
    <t>6c</t>
  </si>
  <si>
    <t>Throckley Bank Portable</t>
  </si>
  <si>
    <t>Buttony</t>
  </si>
  <si>
    <t>Highburn House</t>
  </si>
  <si>
    <t>Alnwick Castle Museum-Unprovenanced Rock</t>
  </si>
  <si>
    <t>Standing Stone Newtown Mill</t>
  </si>
  <si>
    <t>Hill Farm, Chatton</t>
  </si>
  <si>
    <t>Reaveley Hill</t>
  </si>
  <si>
    <t>Hexham Abbey, Monastic Workshop</t>
  </si>
  <si>
    <t>Bulman's Rigg</t>
  </si>
  <si>
    <t>Burntridge Moor</t>
  </si>
  <si>
    <t>Stobs Cross</t>
  </si>
  <si>
    <t>Weetwood Moor</t>
  </si>
  <si>
    <t>8a</t>
  </si>
  <si>
    <t>8c</t>
  </si>
  <si>
    <t>8d</t>
  </si>
  <si>
    <t>Weetwood Moor North</t>
  </si>
  <si>
    <t>ab</t>
  </si>
  <si>
    <t>ac</t>
  </si>
  <si>
    <t>ad</t>
  </si>
  <si>
    <t>ae</t>
  </si>
  <si>
    <t>Witton Hall Farm</t>
  </si>
  <si>
    <t>Fulforth Farm</t>
  </si>
  <si>
    <t>Old Deanham</t>
  </si>
  <si>
    <t>I</t>
  </si>
  <si>
    <t>Shield Croft Farm, Hexham</t>
  </si>
  <si>
    <t>8e</t>
  </si>
  <si>
    <t>8f</t>
  </si>
  <si>
    <t>Black Hill Gate</t>
  </si>
  <si>
    <t>Barningham Moor</t>
  </si>
  <si>
    <t>Lartington, The Rigg</t>
  </si>
  <si>
    <t>Low Crag Farm</t>
  </si>
  <si>
    <t>Scargill Low Moor</t>
  </si>
  <si>
    <t>High Crag</t>
  </si>
  <si>
    <t>Thwaite Hall</t>
  </si>
  <si>
    <t>Thorsgill</t>
  </si>
  <si>
    <t>Egglestone, Folly House</t>
  </si>
  <si>
    <t>Bowlees, Keedholm Scar</t>
  </si>
  <si>
    <t>Brignall, Moor House Farm</t>
  </si>
  <si>
    <t>Hawkesley Hill</t>
  </si>
  <si>
    <t>Crag Hill</t>
  </si>
  <si>
    <t>Knott Hill</t>
  </si>
  <si>
    <t>Whinney Hill</t>
  </si>
  <si>
    <t>Lamb's Knowe</t>
  </si>
  <si>
    <t>Brownridge Burn</t>
  </si>
  <si>
    <t>Whitehill Head/Chatton Sandyford</t>
  </si>
  <si>
    <t>Chatton Sandyford</t>
  </si>
  <si>
    <t>Camp Hill</t>
  </si>
  <si>
    <t>N01</t>
  </si>
  <si>
    <t>Lucker Moor</t>
  </si>
  <si>
    <t>N2</t>
  </si>
  <si>
    <t>Millstone Hill</t>
  </si>
  <si>
    <t>Willie Law</t>
  </si>
  <si>
    <t>Ox-Eye</t>
  </si>
  <si>
    <t>Ros Castle</t>
  </si>
  <si>
    <t>Hepburn Moor</t>
  </si>
  <si>
    <t>Hepburn Moor unenclosed</t>
  </si>
  <si>
    <t>Hepburn Moor Unenclosed</t>
  </si>
  <si>
    <t>Bewick Moor North</t>
  </si>
  <si>
    <t>Blawearie-Bewick Moor</t>
  </si>
  <si>
    <t>b(i)</t>
  </si>
  <si>
    <t>N02</t>
  </si>
  <si>
    <t>N03</t>
  </si>
  <si>
    <t>Harehope</t>
  </si>
  <si>
    <t>Langleeford</t>
  </si>
  <si>
    <t>Old Bewick</t>
  </si>
  <si>
    <t>1i</t>
  </si>
  <si>
    <t>Old Bewick Quarry</t>
  </si>
  <si>
    <t>Alwinton/Newton/Clennell Cottages</t>
  </si>
  <si>
    <t>1h</t>
  </si>
  <si>
    <t>1g</t>
  </si>
  <si>
    <t>Bolam</t>
  </si>
  <si>
    <t>Ord</t>
  </si>
  <si>
    <t>The Duddo Stones</t>
  </si>
  <si>
    <t>Broomridge</t>
  </si>
  <si>
    <t>Goatscrag</t>
  </si>
  <si>
    <t>Goatscrag Rock Shelter</t>
  </si>
  <si>
    <t>Roughting Linn</t>
  </si>
  <si>
    <t>Hare Law Crags</t>
  </si>
  <si>
    <t>High Chesters (Cairnheads)</t>
  </si>
  <si>
    <t>Doddington Sheepfold</t>
  </si>
  <si>
    <t>d</t>
  </si>
  <si>
    <t>3b</t>
  </si>
  <si>
    <t>3c</t>
  </si>
  <si>
    <t>4a</t>
  </si>
  <si>
    <t>4c</t>
  </si>
  <si>
    <t>4b</t>
  </si>
  <si>
    <t>5a</t>
  </si>
  <si>
    <t>6e</t>
  </si>
  <si>
    <t>6d</t>
  </si>
  <si>
    <t>6a</t>
  </si>
  <si>
    <t>6b</t>
  </si>
  <si>
    <t>6f</t>
  </si>
  <si>
    <t>Hazelrigg</t>
  </si>
  <si>
    <t>Doddington North</t>
  </si>
  <si>
    <t>Dod Law Quarry Site</t>
  </si>
  <si>
    <t>A</t>
  </si>
  <si>
    <t>Dod Law Excavation Site</t>
  </si>
  <si>
    <t>F</t>
  </si>
  <si>
    <t>B</t>
  </si>
  <si>
    <t>E</t>
  </si>
  <si>
    <t>Dod Law Main Rock</t>
  </si>
  <si>
    <t>C</t>
  </si>
  <si>
    <t>West Horton</t>
  </si>
  <si>
    <t>5b</t>
  </si>
  <si>
    <t>5c</t>
  </si>
  <si>
    <t>Dod Law Enclosure Site</t>
  </si>
  <si>
    <t>West Horton Pillbox</t>
  </si>
  <si>
    <t>2c</t>
  </si>
  <si>
    <t>West Horton Diesel Tank Hill</t>
  </si>
  <si>
    <t>1f</t>
  </si>
  <si>
    <t>Lyham Moor</t>
  </si>
  <si>
    <t>Gled Law</t>
  </si>
  <si>
    <t>Cuddy's Cave</t>
  </si>
  <si>
    <t>2f</t>
  </si>
  <si>
    <t>2d</t>
  </si>
  <si>
    <t>2b</t>
  </si>
  <si>
    <t>2e</t>
  </si>
  <si>
    <t>2a</t>
  </si>
  <si>
    <t>Ketley Crag Rock Shelter</t>
  </si>
  <si>
    <t>Chatton</t>
  </si>
  <si>
    <t>8b</t>
  </si>
  <si>
    <t>9a</t>
  </si>
  <si>
    <t>9b</t>
  </si>
  <si>
    <t>West Hill, Kirknewton</t>
  </si>
  <si>
    <t>Torlee House, Kirknewton</t>
  </si>
  <si>
    <t>15b</t>
  </si>
  <si>
    <t>15a</t>
  </si>
  <si>
    <t>aa</t>
  </si>
  <si>
    <t>2m</t>
  </si>
  <si>
    <t>4d</t>
  </si>
  <si>
    <t>2h</t>
  </si>
  <si>
    <t>2g</t>
  </si>
  <si>
    <t>2i</t>
  </si>
  <si>
    <t>2k</t>
  </si>
  <si>
    <t>2j</t>
  </si>
  <si>
    <t>2l</t>
  </si>
  <si>
    <t>Coldmartin</t>
  </si>
  <si>
    <t>Green Castle</t>
  </si>
  <si>
    <t>Whitsunbank</t>
  </si>
  <si>
    <t>Fowberry Excavation Site</t>
  </si>
  <si>
    <t>North Plantation</t>
  </si>
  <si>
    <t>Fowberry Mains/Fowberry Park</t>
  </si>
  <si>
    <t>f</t>
  </si>
  <si>
    <t>h</t>
  </si>
  <si>
    <t>Ewe Hill</t>
  </si>
  <si>
    <t>Coldmartin Tower</t>
  </si>
  <si>
    <t>Way to Wooler</t>
  </si>
  <si>
    <t>Fowberry Enclosure</t>
  </si>
  <si>
    <t>Wandylaw</t>
  </si>
  <si>
    <t>South Middleton Moor</t>
  </si>
  <si>
    <t>Heddon Hill</t>
  </si>
  <si>
    <t>J</t>
  </si>
  <si>
    <t>Black Bog Dean</t>
  </si>
  <si>
    <t>Kettley Crags</t>
  </si>
  <si>
    <t>g</t>
  </si>
  <si>
    <t>Snook Bank</t>
  </si>
  <si>
    <t>4b(i)</t>
  </si>
  <si>
    <t>4b(ii)</t>
  </si>
  <si>
    <t>4d(iii)</t>
  </si>
  <si>
    <t>4e</t>
  </si>
  <si>
    <t>4f</t>
  </si>
  <si>
    <t>4g</t>
  </si>
  <si>
    <t>N06</t>
  </si>
  <si>
    <t>N13</t>
  </si>
  <si>
    <t>7c</t>
  </si>
  <si>
    <t>7a</t>
  </si>
  <si>
    <t>7b west</t>
  </si>
  <si>
    <t>7d</t>
  </si>
  <si>
    <t>N14</t>
  </si>
  <si>
    <t>5d</t>
  </si>
  <si>
    <t>6f (i)</t>
  </si>
  <si>
    <t>6f (ii)</t>
  </si>
  <si>
    <t>6f (iii)</t>
  </si>
  <si>
    <t>6f (iv)</t>
  </si>
  <si>
    <t>6l</t>
  </si>
  <si>
    <t>6i</t>
  </si>
  <si>
    <t>6t</t>
  </si>
  <si>
    <t>6m</t>
  </si>
  <si>
    <t>6g</t>
  </si>
  <si>
    <t>6h</t>
  </si>
  <si>
    <t>6k</t>
  </si>
  <si>
    <t>6n</t>
  </si>
  <si>
    <t>6s</t>
  </si>
  <si>
    <t>6p</t>
  </si>
  <si>
    <t>6o</t>
  </si>
  <si>
    <t>6u</t>
  </si>
  <si>
    <t>6q</t>
  </si>
  <si>
    <t>6r</t>
  </si>
  <si>
    <t>N03/04</t>
  </si>
  <si>
    <t>N10</t>
  </si>
  <si>
    <t>N09</t>
  </si>
  <si>
    <t>N15</t>
  </si>
  <si>
    <t>5e</t>
  </si>
  <si>
    <t>N16</t>
  </si>
  <si>
    <t>4d(ii)</t>
  </si>
  <si>
    <t>6j</t>
  </si>
  <si>
    <t>N08</t>
  </si>
  <si>
    <t>5f</t>
  </si>
  <si>
    <t>N17</t>
  </si>
  <si>
    <t>N18</t>
  </si>
  <si>
    <t>N19</t>
  </si>
  <si>
    <t>N20</t>
  </si>
  <si>
    <t>N21</t>
  </si>
  <si>
    <t>N22</t>
  </si>
  <si>
    <t>N23</t>
  </si>
  <si>
    <t>Hunterheugh</t>
  </si>
  <si>
    <t>8g</t>
  </si>
  <si>
    <t>8h</t>
  </si>
  <si>
    <t>Titlington Mount</t>
  </si>
  <si>
    <t>7b east</t>
  </si>
  <si>
    <t>Millstone Burn</t>
  </si>
  <si>
    <t>N04</t>
  </si>
  <si>
    <t>N05</t>
  </si>
  <si>
    <t>6a(i)</t>
  </si>
  <si>
    <t>6a(ii)</t>
  </si>
  <si>
    <t>6c(i)</t>
  </si>
  <si>
    <t>6c(ii)</t>
  </si>
  <si>
    <t>6c(iii)</t>
  </si>
  <si>
    <t>5e(i)</t>
  </si>
  <si>
    <t>5e(ii)</t>
  </si>
  <si>
    <t>5e(iii)</t>
  </si>
  <si>
    <t>3b(west)</t>
  </si>
  <si>
    <t>3b(east)</t>
  </si>
  <si>
    <t>3c(i)</t>
  </si>
  <si>
    <t>3c(ii)</t>
  </si>
  <si>
    <t>3c(iii)</t>
  </si>
  <si>
    <t>3d</t>
  </si>
  <si>
    <t>N07</t>
  </si>
  <si>
    <t>3e(ii)</t>
  </si>
  <si>
    <t>3e(i)</t>
  </si>
  <si>
    <t>3bb</t>
  </si>
  <si>
    <t>2dd</t>
  </si>
  <si>
    <t>2bb</t>
  </si>
  <si>
    <t>1k</t>
  </si>
  <si>
    <t>1j</t>
  </si>
  <si>
    <t>7b</t>
  </si>
  <si>
    <t>Millstone Burn Standing Stone</t>
  </si>
  <si>
    <t>1l</t>
  </si>
  <si>
    <t>3f</t>
  </si>
  <si>
    <t>5g</t>
  </si>
  <si>
    <t>5i</t>
  </si>
  <si>
    <t>5h</t>
  </si>
  <si>
    <t>4d(i)</t>
  </si>
  <si>
    <t>Wellhope</t>
  </si>
  <si>
    <t>Hawick Farm</t>
  </si>
  <si>
    <t>Hollinside Farm</t>
  </si>
  <si>
    <t>Lemmington Wood</t>
  </si>
  <si>
    <t>Corby's Crags Open</t>
  </si>
  <si>
    <t>Corby's Crags Rock Shelter</t>
  </si>
  <si>
    <t>Caller Crag</t>
  </si>
  <si>
    <t>Thrunton Wood</t>
  </si>
  <si>
    <t>Lamp Hill</t>
  </si>
  <si>
    <t>Rough Castles</t>
  </si>
  <si>
    <t>Midstead</t>
  </si>
  <si>
    <t>Powburn</t>
  </si>
  <si>
    <t>Morwick</t>
  </si>
  <si>
    <t>Crocky's Heugh</t>
  </si>
  <si>
    <t>Lowick Lowsteads</t>
  </si>
  <si>
    <t>Dod Law Excavation Site (Tate)</t>
  </si>
  <si>
    <t>D</t>
  </si>
  <si>
    <t>Doddington Quarry</t>
  </si>
  <si>
    <t>Hetton North Farm</t>
  </si>
  <si>
    <t>Weetwood Clavering</t>
  </si>
  <si>
    <t>Weetwood Portable</t>
  </si>
  <si>
    <t>Lilburn Hill Farm</t>
  </si>
  <si>
    <t>Lilburn South Stead Farm</t>
  </si>
  <si>
    <t>A Hidden Site</t>
  </si>
  <si>
    <t>Belshill Quarry</t>
  </si>
  <si>
    <t>Dod Law (Maclaughlan)</t>
  </si>
  <si>
    <t>Milfield South Henge</t>
  </si>
  <si>
    <t>Yeavering, Kirk Newton</t>
  </si>
  <si>
    <t>Whitelaw, Kirknewton</t>
  </si>
  <si>
    <t>Yetlington Lane</t>
  </si>
  <si>
    <t>Seafield Farm, Seahouses</t>
  </si>
  <si>
    <t>Brockdam Moor</t>
  </si>
  <si>
    <t>Ouston, Pike Hill</t>
  </si>
  <si>
    <t>The Pitland Hills Cairn, Birtley</t>
  </si>
  <si>
    <t>Hunters Hill, Ovington</t>
  </si>
  <si>
    <t>Dod Law Enclosure (Tate)</t>
  </si>
  <si>
    <t>Dod Law The Main Rock</t>
  </si>
  <si>
    <t>Doddington Quarry (Hancock Museum)</t>
  </si>
  <si>
    <t>Fowberry Excavation Site - Cairn r</t>
  </si>
  <si>
    <t>Alnmouth Wall Rock</t>
  </si>
  <si>
    <t>Harbottle Peels</t>
  </si>
  <si>
    <t>The Fawns, Kirkwhelpington</t>
  </si>
  <si>
    <t>Cambo,Wallington</t>
  </si>
  <si>
    <t>Doddington North (Rea)</t>
  </si>
  <si>
    <t>Beanley Portable</t>
  </si>
  <si>
    <t>Fenwick Fell Field</t>
  </si>
  <si>
    <t>Corbridge</t>
  </si>
  <si>
    <t>St John Lee Church</t>
  </si>
  <si>
    <t>Dod Law Cist (Procter)</t>
  </si>
  <si>
    <t>Ingoe Wall</t>
  </si>
  <si>
    <t>Watch Law Farm</t>
  </si>
  <si>
    <t>Dod Law Excavation Site Object</t>
  </si>
  <si>
    <t>Gib Field</t>
  </si>
  <si>
    <t>Ben Rhydding</t>
  </si>
  <si>
    <t>Grubstones Ridge</t>
  </si>
  <si>
    <t>Craven Hall Hill</t>
  </si>
  <si>
    <t>Stocks Hill</t>
  </si>
  <si>
    <t>Low Plain</t>
  </si>
  <si>
    <t>Hirst Wood</t>
  </si>
  <si>
    <t>Hope Farm</t>
  </si>
  <si>
    <t>Lane End</t>
  </si>
  <si>
    <t>Primrose Lane</t>
  </si>
  <si>
    <t>Glovershaw</t>
  </si>
  <si>
    <t>Loadpit Beck</t>
  </si>
  <si>
    <t>Coldstone Beck</t>
  </si>
  <si>
    <t>Dene Hole</t>
  </si>
  <si>
    <t>01a</t>
  </si>
  <si>
    <t>Green Hill Wood</t>
  </si>
  <si>
    <t>West End</t>
  </si>
  <si>
    <t>Fenny Shaw</t>
  </si>
  <si>
    <t>Carr Lane</t>
  </si>
  <si>
    <t>Cabin Hill</t>
  </si>
  <si>
    <t>05a</t>
  </si>
  <si>
    <t>Cow and Calf</t>
  </si>
  <si>
    <t>Rivock</t>
  </si>
  <si>
    <t>24a</t>
  </si>
  <si>
    <t>24b</t>
  </si>
  <si>
    <t>24c</t>
  </si>
  <si>
    <t>29a</t>
  </si>
  <si>
    <t>Black Beck Hole</t>
  </si>
  <si>
    <t>Coarse Stone Edge</t>
  </si>
  <si>
    <t>02a</t>
  </si>
  <si>
    <t>Silver Well</t>
  </si>
  <si>
    <t>Weary Hill</t>
  </si>
  <si>
    <t>Barmishaw</t>
  </si>
  <si>
    <t>Graining's Head</t>
  </si>
  <si>
    <t>Badger Stone</t>
  </si>
  <si>
    <t>Green Gates</t>
  </si>
  <si>
    <t>Willy Hall's Wood</t>
  </si>
  <si>
    <t>White Wells</t>
  </si>
  <si>
    <t>Panorama Rocks</t>
  </si>
  <si>
    <t>Green Crag Slack</t>
  </si>
  <si>
    <t>Green Crag</t>
  </si>
  <si>
    <t>Green Grag</t>
  </si>
  <si>
    <t>The Tarn</t>
  </si>
  <si>
    <t>Baildon Hill</t>
  </si>
  <si>
    <t>Baildon Green</t>
  </si>
  <si>
    <t>Bracken Hall Crag</t>
  </si>
  <si>
    <t>Catten Stones</t>
  </si>
  <si>
    <t>01b</t>
  </si>
  <si>
    <t>01c</t>
  </si>
  <si>
    <t>Dobrudden</t>
  </si>
  <si>
    <t>Dobrudden (South)</t>
  </si>
  <si>
    <t>Prod Lane</t>
  </si>
  <si>
    <t>Soldier's Trench</t>
  </si>
  <si>
    <t>Bracken Hall Farm</t>
  </si>
  <si>
    <t>Westwood Drive</t>
  </si>
  <si>
    <t>12A</t>
  </si>
  <si>
    <t>How Beck</t>
  </si>
  <si>
    <t>Doubler Stones (S)</t>
  </si>
  <si>
    <t>Doubler Stones Allotment</t>
  </si>
  <si>
    <t>Doubler Stones (N)</t>
  </si>
  <si>
    <t>Low Fold Farm</t>
  </si>
  <si>
    <t>Unknown</t>
  </si>
  <si>
    <t>Dobrudden (south)</t>
  </si>
  <si>
    <t>Woofa Bank</t>
  </si>
  <si>
    <t>09a</t>
  </si>
  <si>
    <t>Pancake Ridge</t>
  </si>
  <si>
    <t>11a</t>
  </si>
  <si>
    <t>Burley Moor</t>
  </si>
  <si>
    <t>Two Eggs (S)</t>
  </si>
  <si>
    <t>Two Eggs (N)</t>
  </si>
  <si>
    <t>Ashlar Chair</t>
  </si>
  <si>
    <t>Thimble Stones</t>
  </si>
  <si>
    <t>East Buck Stones</t>
  </si>
  <si>
    <t>Whetstone Gate</t>
  </si>
  <si>
    <t>White Crag Moss</t>
  </si>
  <si>
    <t>High Ash Farm</t>
  </si>
  <si>
    <t>Todmor Stones</t>
  </si>
  <si>
    <t>Stanbury Hill</t>
  </si>
  <si>
    <t>Hawksworth Spring</t>
  </si>
  <si>
    <t>Browgate</t>
  </si>
  <si>
    <t>Pennythorn Hill</t>
  </si>
  <si>
    <t>Eaves crag</t>
  </si>
  <si>
    <t>Gill Beck</t>
  </si>
  <si>
    <t>Birch Close</t>
  </si>
  <si>
    <t>Faweather Grange</t>
  </si>
  <si>
    <t>Backstone Beck</t>
  </si>
  <si>
    <t>Cranshaw Thorn Hill</t>
  </si>
  <si>
    <t>Pancake Stone</t>
  </si>
  <si>
    <t>Lanshaw Lad</t>
  </si>
  <si>
    <t>Lanshaw Delves</t>
  </si>
  <si>
    <t>Idol Stone</t>
  </si>
  <si>
    <t>Ilkley Crags</t>
  </si>
  <si>
    <t>Hangingstones</t>
  </si>
  <si>
    <t>Gill Head</t>
  </si>
  <si>
    <t>Addingham Crag</t>
  </si>
  <si>
    <t>Little Skirtful of Stones</t>
  </si>
  <si>
    <t>28a</t>
  </si>
  <si>
    <t>Horncliffe</t>
  </si>
  <si>
    <t>Black Knoll</t>
  </si>
  <si>
    <t>Dove Hall</t>
  </si>
  <si>
    <t>Elam Grange</t>
  </si>
  <si>
    <t>Black Beck</t>
  </si>
  <si>
    <t>Hardwick House</t>
  </si>
  <si>
    <t>Low Hill</t>
  </si>
  <si>
    <t>Lode Pit Lane</t>
  </si>
  <si>
    <t>Hangingstones Rock</t>
  </si>
  <si>
    <t>Hawk Stone</t>
  </si>
  <si>
    <t>Hangingstone Road</t>
  </si>
  <si>
    <t>Hoyle Court</t>
  </si>
  <si>
    <t>Hardwick Holes</t>
  </si>
  <si>
    <t>High Brunthwaite</t>
  </si>
  <si>
    <t>Southpiece</t>
  </si>
  <si>
    <t>Heygate Stone</t>
  </si>
  <si>
    <t>Glovershaw Farm</t>
  </si>
  <si>
    <t>01d</t>
  </si>
  <si>
    <t>01e</t>
  </si>
  <si>
    <t>Brunthwaite Crag</t>
  </si>
  <si>
    <t>Haw</t>
  </si>
  <si>
    <t>The Springs</t>
  </si>
  <si>
    <t>Meadowsweet Farm</t>
  </si>
  <si>
    <t>Panorama Woods</t>
  </si>
  <si>
    <t>Jenny Lane</t>
  </si>
  <si>
    <t>Hawksworth Shaw</t>
  </si>
  <si>
    <t>Lanshaw</t>
  </si>
  <si>
    <t>Little Skirtful of Stones Cairn</t>
  </si>
  <si>
    <t>Rushy Beck</t>
  </si>
  <si>
    <t>Stead Crag</t>
  </si>
  <si>
    <t>Sread Crag</t>
  </si>
  <si>
    <t>Stead</t>
  </si>
  <si>
    <t>08a</t>
  </si>
  <si>
    <t>17a</t>
  </si>
  <si>
    <t>3g</t>
  </si>
  <si>
    <t>3e</t>
  </si>
  <si>
    <t>3N2</t>
  </si>
  <si>
    <t>3N3</t>
  </si>
  <si>
    <t>3N1</t>
  </si>
  <si>
    <t>1N1</t>
  </si>
  <si>
    <t>Old Bewick Camp</t>
  </si>
  <si>
    <t>Bewick Hill</t>
  </si>
  <si>
    <t>Beanley Moor</t>
  </si>
  <si>
    <t>Brandon Hillhead</t>
  </si>
  <si>
    <t>Mountain Farm</t>
  </si>
  <si>
    <t>Alnham Northfield</t>
  </si>
  <si>
    <t>Alnmouth Wall</t>
  </si>
  <si>
    <t>Biddlestone</t>
  </si>
  <si>
    <t>Debdon Whitefield</t>
  </si>
  <si>
    <t>Football Cairn</t>
  </si>
  <si>
    <t>Chirnells Moor</t>
  </si>
  <si>
    <t>Addeyheugh</t>
  </si>
  <si>
    <t>j</t>
  </si>
  <si>
    <t>k</t>
  </si>
  <si>
    <t>l</t>
  </si>
  <si>
    <t>m</t>
  </si>
  <si>
    <t>i</t>
  </si>
  <si>
    <t>n</t>
  </si>
  <si>
    <t>Cartington Carriageway</t>
  </si>
  <si>
    <t>West Hills (Bracken Wood)</t>
  </si>
  <si>
    <t>West Hills</t>
  </si>
  <si>
    <t>Cartington Cave</t>
  </si>
  <si>
    <t>Pinfold Bank</t>
  </si>
  <si>
    <t>Westcliffe House</t>
  </si>
  <si>
    <t>Whitton Burn</t>
  </si>
  <si>
    <t>North Lordenshaw</t>
  </si>
  <si>
    <t>6x</t>
  </si>
  <si>
    <t>6aa</t>
  </si>
  <si>
    <t>Whitton Burn/North Lordenshaw</t>
  </si>
  <si>
    <t>standing stone</t>
  </si>
  <si>
    <t>6v</t>
  </si>
  <si>
    <t>6w</t>
  </si>
  <si>
    <t>6y</t>
  </si>
  <si>
    <t>6z</t>
  </si>
  <si>
    <t>6z(i)</t>
  </si>
  <si>
    <t>6h(3)</t>
  </si>
  <si>
    <t>6ab</t>
  </si>
  <si>
    <t>6h(2)</t>
  </si>
  <si>
    <t>6h(1)</t>
  </si>
  <si>
    <t>6ac</t>
  </si>
  <si>
    <t>6ad</t>
  </si>
  <si>
    <t>Pauperhaugh Farm</t>
  </si>
  <si>
    <t>Simonside Moor</t>
  </si>
  <si>
    <t>East Lordenshaw</t>
  </si>
  <si>
    <t>4o</t>
  </si>
  <si>
    <t>Bearpaw</t>
  </si>
  <si>
    <t>4n</t>
  </si>
  <si>
    <t>4q</t>
  </si>
  <si>
    <t>4m</t>
  </si>
  <si>
    <t>4p</t>
  </si>
  <si>
    <t>4r</t>
  </si>
  <si>
    <t>4g-north</t>
  </si>
  <si>
    <t>4f-west</t>
  </si>
  <si>
    <t>4f-east</t>
  </si>
  <si>
    <t>4l</t>
  </si>
  <si>
    <t>4k</t>
  </si>
  <si>
    <t>4j</t>
  </si>
  <si>
    <t>East Lordenshaw Cairn</t>
  </si>
  <si>
    <t>4g-south</t>
  </si>
  <si>
    <t>West Lordenshaw</t>
  </si>
  <si>
    <t>4i</t>
  </si>
  <si>
    <t>4a-north</t>
  </si>
  <si>
    <t>4a-south</t>
  </si>
  <si>
    <t>4h</t>
  </si>
  <si>
    <t>3r</t>
  </si>
  <si>
    <t>3q</t>
  </si>
  <si>
    <t>West Lordenshaw (Birky Hill)</t>
  </si>
  <si>
    <t>3p</t>
  </si>
  <si>
    <t>N2d</t>
  </si>
  <si>
    <t>1d (Horseshoe rock)</t>
  </si>
  <si>
    <t>Lordenshaw Hillfort</t>
  </si>
  <si>
    <t>3o</t>
  </si>
  <si>
    <t>3m</t>
  </si>
  <si>
    <t>3l</t>
  </si>
  <si>
    <t>7e</t>
  </si>
  <si>
    <t>3j</t>
  </si>
  <si>
    <t>3k</t>
  </si>
  <si>
    <t>7f</t>
  </si>
  <si>
    <t>Ravensheugh</t>
  </si>
  <si>
    <t>3n</t>
  </si>
  <si>
    <t>3i</t>
  </si>
  <si>
    <t>2c extension 1</t>
  </si>
  <si>
    <t>3h</t>
  </si>
  <si>
    <t>2c extension 2</t>
  </si>
  <si>
    <t>South Lordenshaw</t>
  </si>
  <si>
    <t>2a(i)</t>
  </si>
  <si>
    <t>2a(ii)</t>
  </si>
  <si>
    <t>AL2</t>
  </si>
  <si>
    <t>AL1</t>
  </si>
  <si>
    <t>Garleigh Moor East</t>
  </si>
  <si>
    <t>Fontburn</t>
  </si>
  <si>
    <t>a(ii)</t>
  </si>
  <si>
    <t>a(i)</t>
  </si>
  <si>
    <t>a(iii)</t>
  </si>
  <si>
    <t>a(iv)</t>
  </si>
  <si>
    <t>c(ii)</t>
  </si>
  <si>
    <t>c(i)</t>
  </si>
  <si>
    <t>a(vii)</t>
  </si>
  <si>
    <t>a(viii)</t>
  </si>
  <si>
    <t>a(vi)</t>
  </si>
  <si>
    <t>a(v)</t>
  </si>
  <si>
    <t>Salters Nick Rock Shelter</t>
  </si>
  <si>
    <t>Throckley Bank</t>
  </si>
  <si>
    <t>Knaresdale</t>
  </si>
  <si>
    <t>Low Thornhope Farm</t>
  </si>
  <si>
    <t>Knarsdale</t>
  </si>
  <si>
    <t>Millstone Hill portable</t>
  </si>
  <si>
    <t>Fallowlees Burn Stone</t>
  </si>
  <si>
    <t>Stone 'From near Rothbury'</t>
  </si>
  <si>
    <t>The Knitsley Stone</t>
  </si>
  <si>
    <t>Fulforth Farm stone</t>
  </si>
  <si>
    <t>White House Farm, Witton Gilbert</t>
  </si>
  <si>
    <t>Tunstall Reservoir</t>
  </si>
  <si>
    <t>West Brandon</t>
  </si>
  <si>
    <t>Carr Crags</t>
  </si>
  <si>
    <t>Woolly Hills</t>
  </si>
  <si>
    <t>Ray-Sunniside</t>
  </si>
  <si>
    <t>Ray Burn Enclosure</t>
  </si>
  <si>
    <t>Howden Hill</t>
  </si>
  <si>
    <t>Tony's Patch</t>
  </si>
  <si>
    <t>Joicey Shaft</t>
  </si>
  <si>
    <t>Thornborough</t>
  </si>
  <si>
    <t>Whitley Pike</t>
  </si>
  <si>
    <t>Davy's Lee</t>
  </si>
  <si>
    <t>King Wanless Green (cist)</t>
  </si>
  <si>
    <t>King's Crag (cup marked and pecked stones)</t>
  </si>
  <si>
    <t>Greenlee Lough</t>
  </si>
  <si>
    <t>GoatstonesThe Four Poster - West</t>
  </si>
  <si>
    <t>Goatstones The Four Poster - North</t>
  </si>
  <si>
    <t>Goatstones The Four Poster - South</t>
  </si>
  <si>
    <t>Goatstones The Four Poster - East</t>
  </si>
  <si>
    <t>Goatstones</t>
  </si>
  <si>
    <t>Goatstones e</t>
  </si>
  <si>
    <t>Goatstones a</t>
  </si>
  <si>
    <t>Goatstones d</t>
  </si>
  <si>
    <t>Goatstones b</t>
  </si>
  <si>
    <t>Goatstones i</t>
  </si>
  <si>
    <t>Goatstones c</t>
  </si>
  <si>
    <t>Goatstones f</t>
  </si>
  <si>
    <t>Goatstones g</t>
  </si>
  <si>
    <t>Goatstones h</t>
  </si>
  <si>
    <t>Goatstones l</t>
  </si>
  <si>
    <t>Goatstones k</t>
  </si>
  <si>
    <t>Goatstones j</t>
  </si>
  <si>
    <t>Goatstones n</t>
  </si>
  <si>
    <t>Goatstones o</t>
  </si>
  <si>
    <t>Goatstones p</t>
  </si>
  <si>
    <t>Mount Farm, Simonburn</t>
  </si>
  <si>
    <t>Carr Hill</t>
  </si>
  <si>
    <t>Matfen Standing Stone</t>
  </si>
  <si>
    <t>Swinburne Standing Stone</t>
  </si>
  <si>
    <t>Warrior Stone</t>
  </si>
  <si>
    <t>Ingoe, Sandyway Heads</t>
  </si>
  <si>
    <t>Padon Hill</t>
  </si>
  <si>
    <t>Scrainwood Quarry</t>
  </si>
  <si>
    <t>Scrainwood</t>
  </si>
  <si>
    <t>Dour Hill Long Cairn</t>
  </si>
  <si>
    <t>Bellshiel Law</t>
  </si>
  <si>
    <t>Tod Crag</t>
  </si>
  <si>
    <t>Wallington Newhouses</t>
  </si>
  <si>
    <t>Reenes Farm</t>
  </si>
  <si>
    <t>Paines Bridge, Wallington</t>
  </si>
  <si>
    <t>Middleton Bank Top</t>
  </si>
  <si>
    <t>N1b</t>
  </si>
  <si>
    <t>Shaftoe Jubilee Stone</t>
  </si>
  <si>
    <t>Shaftoe</t>
  </si>
  <si>
    <t>Possible cup marked stone near The Poind and Man</t>
  </si>
  <si>
    <t>Cup marks west of Poind and Man</t>
  </si>
  <si>
    <t>West Shaftoe Farm</t>
  </si>
  <si>
    <t>Ferney Chesters</t>
  </si>
  <si>
    <t>Beside the Devil's Causeway</t>
  </si>
  <si>
    <t>Shortflatt</t>
  </si>
  <si>
    <t>Hallington, Cheviot House</t>
  </si>
  <si>
    <t>Black Heddon area</t>
  </si>
  <si>
    <t>Byrness Forest Office Site</t>
  </si>
  <si>
    <t>Ewe Hill, Hethpool</t>
  </si>
  <si>
    <t>East Loups's</t>
  </si>
  <si>
    <t>Loups's Hill</t>
  </si>
  <si>
    <t>West Loups's</t>
  </si>
  <si>
    <t>Kearton Rigg</t>
  </si>
  <si>
    <t>Goldsborough Rigg</t>
  </si>
  <si>
    <t>How Beck Head</t>
  </si>
  <si>
    <t>Howgill Grange</t>
  </si>
  <si>
    <t>Blake Hill</t>
  </si>
  <si>
    <t>Romaldkirk Moor</t>
  </si>
  <si>
    <t>Hunderthwaite Moor</t>
  </si>
  <si>
    <t>Hillgill Plantation</t>
  </si>
  <si>
    <t>Blackton Reservoir</t>
  </si>
  <si>
    <t>Bracken Rigg</t>
  </si>
  <si>
    <t>Guestwick Hills</t>
  </si>
  <si>
    <t>Ellingham</t>
  </si>
  <si>
    <t>Fowberry Cairn excavation site</t>
  </si>
  <si>
    <t>Lilburn Portable</t>
  </si>
  <si>
    <t>Rimside, Millstone Burn</t>
  </si>
  <si>
    <t>portable a</t>
  </si>
  <si>
    <t>bb</t>
  </si>
  <si>
    <t>cc</t>
  </si>
  <si>
    <t>dd</t>
  </si>
  <si>
    <t>ee</t>
  </si>
  <si>
    <t>ff</t>
  </si>
  <si>
    <t>hh</t>
  </si>
  <si>
    <t>ii</t>
  </si>
  <si>
    <t>kk</t>
  </si>
  <si>
    <t>ll</t>
  </si>
  <si>
    <t>o</t>
  </si>
  <si>
    <t>p</t>
  </si>
  <si>
    <t>r</t>
  </si>
  <si>
    <t>t</t>
  </si>
  <si>
    <t>u</t>
  </si>
  <si>
    <t>v</t>
  </si>
  <si>
    <t>w</t>
  </si>
  <si>
    <t>y</t>
  </si>
  <si>
    <t>z</t>
  </si>
  <si>
    <t>Weetwood portable</t>
  </si>
  <si>
    <t>Allen Banks</t>
  </si>
  <si>
    <t>Blueburn Farm, Rothbury</t>
  </si>
  <si>
    <t>Buttony Cist</t>
  </si>
  <si>
    <t>Cartington Castle</t>
  </si>
  <si>
    <t>Fowberry Moor Farm, Island/Deershed Plantation</t>
  </si>
  <si>
    <t>Dod Law 'Cist'</t>
  </si>
  <si>
    <t>Dod Law excavation - site object</t>
  </si>
  <si>
    <t>Dod Law portable</t>
  </si>
  <si>
    <t>Embleton Steads</t>
  </si>
  <si>
    <t>Ford Westfield</t>
  </si>
  <si>
    <t>Fowberry Excavation Site - cairn</t>
  </si>
  <si>
    <t>Fowberry Moor Cairn</t>
  </si>
  <si>
    <t>Fowberry Moor portable</t>
  </si>
  <si>
    <t>Chillingham/Hepburn Moor</t>
  </si>
  <si>
    <t>Hunterheugh excavation</t>
  </si>
  <si>
    <t>portable 1</t>
  </si>
  <si>
    <t>portable 2</t>
  </si>
  <si>
    <t>portable 3</t>
  </si>
  <si>
    <t>Hunterheugh 1 excavation - portable</t>
  </si>
  <si>
    <t>Lilburn burial</t>
  </si>
  <si>
    <t>Museum of Antiquities - Unprovenanced Rock</t>
  </si>
  <si>
    <t>Nafferton</t>
  </si>
  <si>
    <t>Todlaw Pike</t>
  </si>
  <si>
    <t>Weetwood Bridge portable</t>
  </si>
  <si>
    <t>Wooler Cottage</t>
  </si>
  <si>
    <t>Lickar Moor</t>
  </si>
  <si>
    <t>Millstone Burn portable</t>
  </si>
  <si>
    <t>The Ringses Portable</t>
  </si>
  <si>
    <t>West Horton portable</t>
  </si>
  <si>
    <t>Alnwick Fords, Longframlington</t>
  </si>
  <si>
    <t>Langleydale Common</t>
  </si>
  <si>
    <t>Hindon Edge</t>
  </si>
  <si>
    <t>Stobgreen Plantation</t>
  </si>
  <si>
    <t>Barnard Castle Allotment</t>
  </si>
  <si>
    <t>Peatmoor Crag</t>
  </si>
  <si>
    <t>Brackenheads</t>
  </si>
  <si>
    <t>Stobgreen Plantation 'The Grayson Stone'</t>
  </si>
  <si>
    <t>Winston Station</t>
  </si>
  <si>
    <t>Gainford stone</t>
  </si>
  <si>
    <t>Greta Bridge Roman site</t>
  </si>
  <si>
    <t>Dalton portable</t>
  </si>
  <si>
    <t>The Dalton Stone</t>
  </si>
  <si>
    <t>Slab from Gayles Moor</t>
  </si>
  <si>
    <t>The Ryton Stone</t>
  </si>
  <si>
    <t>Ryton</t>
  </si>
  <si>
    <t>site</t>
  </si>
  <si>
    <t>Goatstones The Four Poster</t>
  </si>
  <si>
    <t>Morwick Rock Shelter</t>
  </si>
  <si>
    <t>The Pitland Hills cairn, Birtley</t>
  </si>
  <si>
    <t>Lordenshaws</t>
  </si>
  <si>
    <t>Harbottle</t>
  </si>
  <si>
    <t>csi test</t>
  </si>
  <si>
    <t>Black Pots</t>
  </si>
  <si>
    <t>Swastika Stone</t>
  </si>
  <si>
    <t>Woodhouse Crag</t>
  </si>
  <si>
    <t>Piper's Crag</t>
  </si>
  <si>
    <t>03a</t>
  </si>
  <si>
    <t>Briery Wood</t>
  </si>
  <si>
    <t>Bradup</t>
  </si>
  <si>
    <t>Bucking Hill</t>
  </si>
  <si>
    <t>High Carr</t>
  </si>
  <si>
    <t>High Moor</t>
  </si>
  <si>
    <t>Pinfold Hill</t>
  </si>
  <si>
    <t>Rough Holden</t>
  </si>
  <si>
    <t>Robin Hood Wood</t>
  </si>
  <si>
    <t>Rivock Edge</t>
  </si>
  <si>
    <t>06a</t>
  </si>
  <si>
    <t>pytest</t>
  </si>
  <si>
    <t>Eaves Crag</t>
  </si>
  <si>
    <t>MOTIF_TYPE_ID</t>
  </si>
  <si>
    <t>VALUE</t>
  </si>
  <si>
    <t>Motif</t>
  </si>
  <si>
    <t>Location</t>
  </si>
  <si>
    <t>SUM of VALUE</t>
  </si>
  <si>
    <t>Angular groove around a cup</t>
  </si>
  <si>
    <t>Arc</t>
  </si>
  <si>
    <t>Basin</t>
  </si>
  <si>
    <t>Bowls</t>
  </si>
  <si>
    <t>Channels</t>
  </si>
  <si>
    <t>Chevron</t>
  </si>
  <si>
    <t>Cluster of midget cups</t>
  </si>
  <si>
    <t>Concentric rings</t>
  </si>
  <si>
    <t>Counter-sunk</t>
  </si>
  <si>
    <t>Crossed groove</t>
  </si>
  <si>
    <t>Cup and arc (or semi-ovoid)</t>
  </si>
  <si>
    <t>Cup and Groove</t>
  </si>
  <si>
    <t>Cup and groove with arc</t>
  </si>
  <si>
    <t>Cup and groove with multiple arcs</t>
  </si>
  <si>
    <t>Cup and groove with multiple penannulars</t>
  </si>
  <si>
    <t>Cup and groove with penannular</t>
  </si>
  <si>
    <t>Cup and keyhole</t>
  </si>
  <si>
    <t>Cup and multiple arcs</t>
  </si>
  <si>
    <t>Cup and multiple keyholes</t>
  </si>
  <si>
    <t>Cup and multiple penannulars</t>
  </si>
  <si>
    <t>Cup and multiple rings</t>
  </si>
  <si>
    <t>Cup and penannular</t>
  </si>
  <si>
    <t>Cup and ring</t>
  </si>
  <si>
    <t>Cup and ring with exterior groove</t>
  </si>
  <si>
    <t>Cup and ring with interior groove</t>
  </si>
  <si>
    <t>Cup Groove and arc</t>
  </si>
  <si>
    <t>Cup Groove and multi arc</t>
  </si>
  <si>
    <t>Cup Groove and multi penannular</t>
  </si>
  <si>
    <t>Cup Groove and multi ring</t>
  </si>
  <si>
    <t>Cup Groove and penannular</t>
  </si>
  <si>
    <t>Cup Groove and single ring</t>
  </si>
  <si>
    <t>Cup with groove cutting through multiple rings</t>
  </si>
  <si>
    <t>Cup with groove cutting through ring</t>
  </si>
  <si>
    <t>Cups countersunk</t>
  </si>
  <si>
    <t>Cups in a straight or curved line</t>
  </si>
  <si>
    <t>Cups Single</t>
  </si>
  <si>
    <t>Curved groove</t>
  </si>
  <si>
    <t>curved or straight line</t>
  </si>
  <si>
    <t>Domino patterns and parallel lines</t>
  </si>
  <si>
    <t>Dumb-bell</t>
  </si>
  <si>
    <t>Grid or hatchings</t>
  </si>
  <si>
    <t>Grid/hatching</t>
  </si>
  <si>
    <t>Groove and cups</t>
  </si>
  <si>
    <t>Heart shaped groove containing cups, some connected, and one with a groove leading out</t>
  </si>
  <si>
    <t>Heart, Cups and Groove</t>
  </si>
  <si>
    <t>Horned spiral</t>
  </si>
  <si>
    <t>Keyhole</t>
  </si>
  <si>
    <t>Keyhole and cup</t>
  </si>
  <si>
    <t>Keyhole cup and groove</t>
  </si>
  <si>
    <t>Keyhole enclosed by pennanular</t>
  </si>
  <si>
    <t>Keyhole with groove leading out from central cup</t>
  </si>
  <si>
    <t>Left hand spiral</t>
  </si>
  <si>
    <t>Linear</t>
  </si>
  <si>
    <t>Linear and angular groove</t>
  </si>
  <si>
    <t>Long groove</t>
  </si>
  <si>
    <t>Midget cup</t>
  </si>
  <si>
    <t>Multi Arc</t>
  </si>
  <si>
    <t>Multi Arc + cup</t>
  </si>
  <si>
    <t>Multi Keyhole and Cup</t>
  </si>
  <si>
    <t>Multi Penanular</t>
  </si>
  <si>
    <t>Multi Penanular + cup</t>
  </si>
  <si>
    <t>Multi Ring</t>
  </si>
  <si>
    <t>Multi Ring + cup</t>
  </si>
  <si>
    <t>Multi Square Groove and cups</t>
  </si>
  <si>
    <t>Multiple arcs</t>
  </si>
  <si>
    <t>Multiple penannulars</t>
  </si>
  <si>
    <t>Multiple rectangular grooves enclosing cups</t>
  </si>
  <si>
    <t>Multiple square grooves</t>
  </si>
  <si>
    <t>Occulus</t>
  </si>
  <si>
    <t>Oval groove enclosing cups</t>
  </si>
  <si>
    <t>Parallel</t>
  </si>
  <si>
    <t>Parallel Domino</t>
  </si>
  <si>
    <t>Parallel grooves</t>
  </si>
  <si>
    <t>Penannular</t>
  </si>
  <si>
    <t>Pick marks</t>
  </si>
  <si>
    <t>Radiates</t>
  </si>
  <si>
    <t>Random Cluster</t>
  </si>
  <si>
    <t>Random peck marks</t>
  </si>
  <si>
    <t>Right hand spiral</t>
  </si>
  <si>
    <t>Ring</t>
  </si>
  <si>
    <t>Ring with an inner cup with two radiates that meet the ring</t>
  </si>
  <si>
    <t>Rosette</t>
  </si>
  <si>
    <t>Rosette enclosed by a ring</t>
  </si>
  <si>
    <t>Rosette enclosed by two concentric rings, the central cup having a groove that cuts the rings</t>
  </si>
  <si>
    <t>Rossette</t>
  </si>
  <si>
    <t>Rossette and Groove</t>
  </si>
  <si>
    <t>Row of midget cups</t>
  </si>
  <si>
    <t>Running spiral</t>
  </si>
  <si>
    <t>S shaped spiral</t>
  </si>
  <si>
    <t>Serpentine</t>
  </si>
  <si>
    <t>Serpentine groove</t>
  </si>
  <si>
    <t>Single Arc</t>
  </si>
  <si>
    <t>Single Arc + cup</t>
  </si>
  <si>
    <t>Single or multiple cups</t>
  </si>
  <si>
    <t>Single Penannular</t>
  </si>
  <si>
    <t>Single Penannular + cup</t>
  </si>
  <si>
    <t>Single Ring</t>
  </si>
  <si>
    <t>Single Ring + cup</t>
  </si>
  <si>
    <t>Spiral Left</t>
  </si>
  <si>
    <t>Spiral Right</t>
  </si>
  <si>
    <t>Spiral Running</t>
  </si>
  <si>
    <t>Spiral Triple</t>
  </si>
  <si>
    <t>Square groove</t>
  </si>
  <si>
    <t>Square Groove and cups</t>
  </si>
  <si>
    <t>Three parallel grooves</t>
  </si>
  <si>
    <t>Triple spiral</t>
  </si>
  <si>
    <t>Two cups linked by a groove</t>
  </si>
  <si>
    <t>Grand Total</t>
  </si>
  <si>
    <t>NAME</t>
  </si>
  <si>
    <t>DESCRIPTION</t>
  </si>
  <si>
    <t>BECKENSALL_ORDER</t>
  </si>
  <si>
    <t>ERA Motif Type</t>
  </si>
  <si>
    <t>Keyhole and ring</t>
  </si>
  <si>
    <t>Penannular and Keyhole</t>
  </si>
  <si>
    <t>Triangle</t>
  </si>
  <si>
    <t>Horned spiral left</t>
  </si>
  <si>
    <t>Horned spiral right</t>
  </si>
  <si>
    <t>Beckensall Motif Type</t>
  </si>
  <si>
    <t>Complex keyhole</t>
  </si>
  <si>
    <t>Cup and groove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</si>
</sst>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</font>
    <font>
      <name val="Arial"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5626" sheet="Motifs"/>
  </cacheSource>
  <cacheFields>
    <cacheField name="PANEL_ID" numFmtId="0">
      <sharedItems containsSemiMixedTypes="0" containsString="0" containsNumber="1" containsInteger="1">
        <n v="1.0"/>
        <n v="3.0"/>
        <n v="4.0"/>
        <n v="5.0"/>
        <n v="6.0"/>
        <n v="7.0"/>
        <n v="8.0"/>
        <n v="9.0"/>
        <n v="10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5.0"/>
        <n v="116.0"/>
        <n v="117.0"/>
        <n v="118.0"/>
        <n v="119.0"/>
        <n v="120.0"/>
        <n v="121.0"/>
        <n v="122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2.0"/>
        <n v="193.0"/>
        <n v="194.0"/>
        <n v="195.0"/>
        <n v="196.0"/>
        <n v="197.0"/>
        <n v="198.0"/>
        <n v="199.0"/>
        <n v="200.0"/>
        <n v="201.0"/>
        <n v="202.0"/>
        <n v="204.0"/>
        <n v="205.0"/>
        <n v="206.0"/>
        <n v="207.0"/>
        <n v="208.0"/>
        <n v="209.0"/>
        <n v="210.0"/>
        <n v="211.0"/>
        <n v="212.0"/>
        <n v="213.0"/>
        <n v="214.0"/>
        <n v="216.0"/>
        <n v="374.0"/>
        <n v="375.0"/>
        <n v="376.0"/>
        <n v="377.0"/>
        <n v="378.0"/>
        <n v="379.0"/>
        <n v="380.0"/>
        <n v="382.0"/>
        <n v="390.0"/>
        <n v="391.0"/>
        <n v="392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3.0"/>
        <n v="584.0"/>
        <n v="585.0"/>
        <n v="586.0"/>
        <n v="587.0"/>
        <n v="588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9.0"/>
        <n v="620.0"/>
        <n v="652.0"/>
        <n v="654.0"/>
        <n v="656.0"/>
        <n v="657.0"/>
        <n v="658.0"/>
        <n v="660.0"/>
        <n v="661.0"/>
        <n v="662.0"/>
        <n v="664.0"/>
        <n v="665.0"/>
        <n v="666.0"/>
        <n v="667.0"/>
        <n v="668.0"/>
        <n v="673.0"/>
        <n v="674.0"/>
        <n v="675.0"/>
        <n v="677.0"/>
        <n v="679.0"/>
        <n v="680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5.0"/>
        <n v="707.0"/>
        <n v="708.0"/>
        <n v="709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3.0"/>
        <n v="735.0"/>
        <n v="736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6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8.0"/>
        <n v="779.0"/>
        <n v="780.0"/>
        <n v="781.0"/>
        <n v="782.0"/>
        <n v="783.0"/>
        <n v="784.0"/>
        <n v="785.0"/>
        <n v="787.0"/>
        <n v="790.0"/>
        <n v="791.0"/>
        <n v="795.0"/>
        <n v="796.0"/>
        <n v="797.0"/>
        <n v="798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9.0"/>
        <n v="890.0"/>
        <n v="891.0"/>
        <n v="892.0"/>
        <n v="894.0"/>
        <n v="895.0"/>
        <n v="896.0"/>
        <n v="897.0"/>
        <n v="899.0"/>
        <n v="900.0"/>
        <n v="901.0"/>
        <n v="902.0"/>
        <n v="903.0"/>
        <n v="904.0"/>
        <n v="906.0"/>
        <n v="907.0"/>
        <n v="908.0"/>
        <n v="909.0"/>
        <n v="910.0"/>
        <n v="911.0"/>
        <n v="912.0"/>
        <n v="913.0"/>
        <n v="915.0"/>
        <n v="916.0"/>
        <n v="917.0"/>
        <n v="918.0"/>
        <n v="919.0"/>
        <n v="920.0"/>
        <n v="921.0"/>
        <n v="922.0"/>
        <n v="923.0"/>
        <n v="924.0"/>
        <n v="925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7.0"/>
        <n v="968.0"/>
        <n v="971.0"/>
        <n v="975.0"/>
        <n v="976.0"/>
        <n v="977.0"/>
        <n v="980.0"/>
        <n v="981.0"/>
        <n v="982.0"/>
        <n v="986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4.0"/>
        <n v="1095.0"/>
        <n v="1096.0"/>
        <n v="1097.0"/>
        <n v="1098.0"/>
        <n v="1099.0"/>
        <n v="1100.0"/>
        <n v="1103.0"/>
        <n v="1104.0"/>
        <n v="1105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1.0"/>
        <n v="1204.0"/>
        <n v="1205.0"/>
        <n v="1206.0"/>
        <n v="1207.0"/>
        <n v="1208.0"/>
        <n v="1209.0"/>
        <n v="1210.0"/>
        <n v="1211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9.0"/>
        <n v="1340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7.0"/>
        <n v="1368.0"/>
        <n v="1369.0"/>
        <n v="1373.0"/>
        <n v="1374.0"/>
        <n v="1375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3.0"/>
        <n v="1414.0"/>
        <n v="1415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550.0"/>
        <n v="1551.0"/>
        <n v="1552.0"/>
        <n v="1553.0"/>
        <n v="1554.0"/>
        <n v="1555.0"/>
        <n v="1556.0"/>
        <n v="1557.0"/>
        <n v="1559.0"/>
        <n v="1560.0"/>
        <n v="1561.0"/>
        <n v="1562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1.0"/>
        <n v="1602.0"/>
        <n v="1603.0"/>
        <n v="1604.0"/>
        <n v="1605.0"/>
        <n v="1607.0"/>
        <n v="1608.0"/>
        <n v="1609.0"/>
        <n v="1610.0"/>
        <n v="1613.0"/>
        <n v="1614.0"/>
        <n v="1615.0"/>
        <n v="1616.0"/>
        <n v="1617.0"/>
        <n v="1618.0"/>
        <n v="1619.0"/>
        <n v="1620.0"/>
        <n v="1621.0"/>
        <n v="1623.0"/>
        <n v="1624.0"/>
        <n v="1625.0"/>
        <n v="1626.0"/>
        <n v="1627.0"/>
        <n v="1628.0"/>
        <n v="1629.0"/>
        <n v="1634.0"/>
        <n v="1635.0"/>
        <n v="1637.0"/>
        <n v="1638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4.0"/>
        <n v="1746.0"/>
        <n v="1747.0"/>
        <n v="1748.0"/>
        <n v="1749.0"/>
        <n v="1752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40.0"/>
        <n v="1841.0"/>
        <n v="1842.0"/>
        <n v="1843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5.0"/>
        <n v="1916.0"/>
        <n v="1919.0"/>
        <n v="2005.0"/>
        <n v="2006.0"/>
        <n v="2007.0"/>
        <n v="2008.0"/>
        <n v="2009.0"/>
        <n v="2010.0"/>
        <n v="2011.0"/>
        <n v="2012.0"/>
        <n v="2013.0"/>
        <n v="2016.0"/>
        <n v="2019.0"/>
        <n v="2020.0"/>
        <n v="2021.0"/>
        <n v="2023.0"/>
        <n v="2025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6.0"/>
        <n v="2048.0"/>
        <n v="2056.0"/>
        <n v="2060.0"/>
        <n v="2160.0"/>
        <n v="2183.0"/>
        <n v="2200.0"/>
        <n v="2201.0"/>
        <n v="2202.0"/>
        <n v="2203.0"/>
        <n v="2204.0"/>
        <n v="2220.0"/>
        <n v="2221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7.0"/>
        <n v="2358.0"/>
        <n v="2359.0"/>
        <n v="2360.0"/>
        <n v="2361.0"/>
        <n v="2362.0"/>
        <n v="2363.0"/>
        <n v="2364.0"/>
        <n v="2371.0"/>
        <n v="2372.0"/>
        <n v="2373.0"/>
        <n v="2374.0"/>
        <n v="2375.0"/>
        <n v="2381.0"/>
        <n v="2382.0"/>
        <n v="2383.0"/>
        <n v="2384.0"/>
        <n v="2385.0"/>
        <n v="2386.0"/>
        <n v="2387.0"/>
        <n v="2388.0"/>
        <n v="2389.0"/>
        <n v="2390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8.0"/>
        <n v="2449.0"/>
        <n v="2450.0"/>
        <n v="2451.0"/>
        <n v="2452.0"/>
        <n v="2453.0"/>
        <n v="2454.0"/>
        <n v="2456.0"/>
        <n v="2457.0"/>
        <n v="2458.0"/>
        <n v="2459.0"/>
        <n v="2460.0"/>
        <n v="2463.0"/>
        <n v="2465.0"/>
        <n v="2466.0"/>
        <n v="2468.0"/>
        <n v="2469.0"/>
        <n v="2470.0"/>
        <n v="2471.0"/>
        <n v="2472.0"/>
        <n v="2473.0"/>
        <n v="2474.0"/>
        <n v="2475.0"/>
        <n v="2477.0"/>
        <n v="2478.0"/>
        <n v="2479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3.0"/>
        <n v="2504.0"/>
        <n v="2505.0"/>
        <n v="2506.0"/>
        <n v="2507.0"/>
        <n v="2508.0"/>
        <n v="2509.0"/>
        <n v="2510.0"/>
        <n v="2515.0"/>
        <n v="2516.0"/>
        <n v="2517.0"/>
        <n v="2518.0"/>
        <n v="2519.0"/>
        <n v="2520.0"/>
        <n v="2521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3.0"/>
        <n v="2564.0"/>
        <n v="2565.0"/>
        <n v="2566.0"/>
        <n v="2568.0"/>
        <n v="2569.0"/>
        <n v="2570.0"/>
        <n v="2571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20.0"/>
        <n v="2621.0"/>
        <n v="2622.0"/>
        <n v="2623.0"/>
        <n v="2624.0"/>
        <n v="2625.0"/>
        <n v="2626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5.0"/>
        <n v="2647.0"/>
        <n v="2648.0"/>
        <n v="2649.0"/>
        <n v="2650.0"/>
        <n v="2651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860.0"/>
        <n v="2861.0"/>
        <n v="2862.0"/>
        <n v="2880.0"/>
        <n v="2901.0"/>
        <n v="2902.0"/>
        <n v="2903.0"/>
        <n v="2904.0"/>
        <n v="2906.0"/>
        <n v="2907.0"/>
        <n v="2940.0"/>
      </sharedItems>
    </cacheField>
    <cacheField name="MOTIF_TYPE_ID" numFmtId="0">
      <sharedItems containsSemiMixedTypes="0" containsString="0" containsNumber="1" containsInteger="1">
        <n v="52.0"/>
        <n v="66.0"/>
        <n v="2.0"/>
        <n v="12.0"/>
        <n v="13.0"/>
        <n v="14.0"/>
        <n v="16.0"/>
        <n v="31.0"/>
        <n v="36.0"/>
        <n v="57.0"/>
        <n v="58.0"/>
        <n v="64.0"/>
        <n v="71.0"/>
        <n v="72.0"/>
        <n v="74.0"/>
        <n v="84.0"/>
        <n v="87.0"/>
        <n v="102.0"/>
        <n v="105.0"/>
        <n v="107.0"/>
        <n v="7.0"/>
        <n v="33.0"/>
        <n v="59.0"/>
        <n v="70.0"/>
        <n v="100.0"/>
        <n v="103.0"/>
        <n v="110.0"/>
        <n v="10.0"/>
        <n v="73.0"/>
        <n v="17.0"/>
        <n v="32.0"/>
        <n v="60.0"/>
        <n v="1.0"/>
        <n v="54.0"/>
        <n v="55.0"/>
        <n v="61.0"/>
        <n v="62.0"/>
        <n v="65.0"/>
        <n v="68.0"/>
        <n v="69.0"/>
        <n v="88.0"/>
        <n v="90.0"/>
        <n v="109.0"/>
        <n v="104.0"/>
        <n v="67.0"/>
        <n v="6.0"/>
        <n v="82.0"/>
        <n v="101.0"/>
        <n v="45.0"/>
        <n v="51.0"/>
        <n v="83.0"/>
        <n v="27.0"/>
        <n v="44.0"/>
        <n v="53.0"/>
        <n v="93.0"/>
        <n v="94.0"/>
        <n v="11.0"/>
        <n v="15.0"/>
        <n v="50.0"/>
        <n v="4.0"/>
        <n v="34.0"/>
        <n v="46.0"/>
        <n v="80.0"/>
        <n v="47.0"/>
        <n v="48.0"/>
        <n v="49.0"/>
        <n v="63.0"/>
        <n v="85.0"/>
        <n v="86.0"/>
        <n v="108.0"/>
        <n v="35.0"/>
        <n v="18.0"/>
        <n v="77.0"/>
        <n v="22.0"/>
        <n v="95.0"/>
        <n v="115.0"/>
        <n v="3.0"/>
        <n v="19.0"/>
        <n v="21.0"/>
        <n v="5.0"/>
        <n v="78.0"/>
        <n v="25.0"/>
        <n v="116.0"/>
        <n v="24.0"/>
        <n v="106.0"/>
        <n v="9.0"/>
        <n v="81.0"/>
        <n v="37.0"/>
        <n v="8.0"/>
        <n v="29.0"/>
        <n v="91.0"/>
        <n v="56.0"/>
        <n v="111.0"/>
        <n v="112.0"/>
        <n v="39.0"/>
        <n v="40.0"/>
        <n v="97.0"/>
        <n v="98.0"/>
        <n v="99.0"/>
        <n v="114.0"/>
        <n v="96.0"/>
        <n v="41.0"/>
        <n v="92.0"/>
        <n v="38.0"/>
        <n v="113.0"/>
        <n v="26.0"/>
        <n v="28.0"/>
        <n v="89.0"/>
        <n v="117.0"/>
        <n v="118.0"/>
      </sharedItems>
    </cacheField>
    <cacheField name="VALUE" numFmtId="0">
      <sharedItems containsString="0" containsBlank="1" containsNumber="1" containsInteger="1">
        <n v="5.0"/>
        <n v="1.0"/>
        <n v="3.0"/>
        <n v="2.0"/>
        <n v="12.0"/>
        <n v="6.0"/>
        <n v="20.0"/>
        <n v="10.0"/>
        <n v="102.0"/>
        <n v="7.0"/>
        <n v="11.0"/>
        <n v="4.0"/>
        <n v="16.0"/>
        <n v="8.0"/>
        <n v="54.0"/>
        <n v="35.0"/>
        <n v="17.0"/>
        <n v="46.0"/>
        <n v="15.0"/>
        <n v="32.0"/>
        <n v="18.0"/>
        <n v="24.0"/>
        <n v="14.0"/>
        <n v="9.0"/>
        <n v="13.0"/>
        <n v="49.0"/>
        <n v="43.0"/>
        <n v="27.0"/>
        <n v="21.0"/>
        <n v="19.0"/>
        <n v="38.0"/>
        <n v="29.0"/>
        <n v="23.0"/>
        <n v="25.0"/>
        <n v="34.0"/>
        <n v="134.0"/>
        <n v="40.0"/>
        <n v="61.0"/>
        <n v="30.0"/>
        <n v="62.0"/>
        <n v="26.0"/>
        <n v="36.0"/>
        <n v="22.0"/>
        <n v="50.0"/>
        <n v="45.0"/>
        <n v="33.0"/>
        <n v="28.0"/>
        <n v="37.0"/>
        <n v="70.0"/>
        <n v="65.0"/>
        <n v="76.0"/>
        <n v="39.0"/>
        <n v="80.0"/>
        <n v="67.0"/>
        <n v="60.0"/>
        <n v="89.0"/>
        <n v="31.0"/>
        <n v="72.0"/>
        <n v="92.0"/>
        <n v="79.0"/>
        <n v="51.0"/>
        <n v="68.0"/>
        <m/>
        <n v="58.0"/>
        <n v="0.0"/>
        <n v="66.0"/>
      </sharedItems>
    </cacheField>
    <cacheField name="Motif" numFmtId="0">
      <sharedItems>
        <s v="Single or multiple cups"/>
        <s v="Cup and groove with multiple penannulars"/>
        <s v="Random Cluster"/>
        <s v="Multi Arc"/>
        <s v="Single Ring + cup"/>
        <s v="Multi Ring + cup"/>
        <s v="Single Arc + cup"/>
        <s v="Cup and Groove"/>
        <s v="Cup Groove and arc"/>
        <s v="Cup and ring"/>
        <s v="Cup and multiple rings"/>
        <s v="Cup with groove cutting through multiple rings"/>
        <s v="Penannular"/>
        <s v="Multiple penannulars"/>
        <s v="Multiple arcs"/>
        <s v="Oval groove enclosing cups"/>
        <s v="Linear and angular groove"/>
        <s v="Crossed groove"/>
        <s v="Two cups linked by a groove"/>
        <s v="Cup and ring with exterior groove"/>
        <s v="Single Ring"/>
        <s v="Cup Groove and multi ring"/>
        <s v="Cup and penannular"/>
        <s v="Concentric rings"/>
        <s v="Pick marks"/>
        <s v="Curved groove"/>
        <s v="Single Arc"/>
        <s v="Arc"/>
        <s v="Single Penannular + cup"/>
        <s v="Cup Groove and single ring"/>
        <s v="Cup and multiple penannulars"/>
        <s v="Cups Single"/>
        <s v="Rosette"/>
        <s v="Cups in a straight or curved line"/>
        <s v="Cup and arc (or semi-ovoid)"/>
        <s v="Cup and multiple arcs"/>
        <s v="Cup and groove with penannular"/>
        <s v="Cup and groove with multiple arcs"/>
        <s v="Ring"/>
        <s v="Parallel grooves"/>
        <s v="Serpentine groove"/>
        <s v="Radiates"/>
        <s v="Angular groove around a cup"/>
        <s v="Cup and groove with arc"/>
        <s v="curved or straight line"/>
        <s v="Rosette enclosed by a ring"/>
        <s v="Occulus"/>
        <s v="Rossette and Groove"/>
        <s v="Bowls"/>
        <s v="Rosette enclosed by two concentric rings, the central cup having a groove that cuts the rings"/>
        <s v="Serpentine"/>
        <s v="Rossette"/>
        <s v="Domino patterns and parallel lines"/>
        <s v="Midget cup"/>
        <s v="Basin"/>
        <s v="Single Penannular"/>
        <s v="Multi Penanular + cup"/>
        <s v="Channels"/>
        <s v="Counter-sunk"/>
        <s v="Cup Groove and penannular"/>
        <s v="Groove and cups"/>
        <s v="Cup and keyhole"/>
        <s v="Heart, Cups and Groove"/>
        <s v="Square Groove and cups"/>
        <s v="Multi Square Groove and cups"/>
        <s v="Cup with groove cutting through ring"/>
        <s v="Heart shaped groove containing cups, some connected, and one with a groove leading out"/>
        <s v="Multiple rectangular grooves enclosing cups"/>
        <s v="Cup and ring with interior groove"/>
        <s v="Cup Groove and multi penannular"/>
        <s v="Multi Arc + cup"/>
        <s v="Keyhole enclosed by pennanular"/>
        <s v="Keyhole and cup"/>
        <s v="Three parallel grooves"/>
        <s v="Square groove"/>
        <s v="Parallel Domino"/>
        <s v="Keyhole"/>
        <s v="Keyhole cup and groove"/>
        <s v="Keyhole with groove leading out from central cup"/>
        <s v="Linear"/>
        <s v="Multiple square grooves"/>
        <s v="Multi Keyhole and Cup"/>
        <s v="Long groove"/>
        <s v="Multi Penanular"/>
        <s v="Cup and multiple keyholes"/>
        <s v="Cup Groove and multi arc"/>
        <s v="Multi Ring"/>
        <s v="Grid/hatching"/>
        <s v="Grid or hatchings"/>
        <s v="Cups countersunk"/>
        <s v="Cluster of midget cups"/>
        <s v="Row of midget cups"/>
        <s v="Spiral Right"/>
        <s v="Spiral Running"/>
        <s v="Horned spiral"/>
        <s v="Left hand spiral"/>
        <s v="Right hand spiral"/>
        <s v="S shaped spiral"/>
        <s v="Running spiral"/>
        <s v="Spiral Triple"/>
        <s v="Triple spiral"/>
        <s v="Spiral Left"/>
        <s v="Ring with an inner cup with two radiates that meet the ring"/>
        <s v="Parallel"/>
        <s v="Chevron"/>
        <s v="Dumb-bell"/>
        <s v="Random peck marks"/>
      </sharedItems>
    </cacheField>
    <cacheField name="Location" numFmtId="0">
      <sharedItems>
        <s v="Ord"/>
        <s v="The Duddo Stones"/>
        <s v="Broomridge"/>
        <s v="Goatscrag"/>
        <s v="Roughting Linn"/>
        <s v="Hare Law Crags"/>
        <s v="High Chesters (Cairnheads)"/>
        <s v="Doddington Sheepfold"/>
        <s v="The Ringses"/>
        <s v="Hazelrigg"/>
        <s v="Doddington North"/>
        <s v="Dod Law Quarry Site"/>
        <s v="Dod Law Excavation Site"/>
        <s v="Dod Law Main Rock"/>
        <s v="West Horton"/>
        <s v="Dod Law Enclosure Site"/>
        <s v="West Horton Pillbox"/>
        <s v="West Horton Diesel Tank Hill"/>
        <s v="Lyham Moor"/>
        <s v="Gled Law"/>
        <s v="Buttony"/>
        <s v="Cuddy's Cave"/>
        <s v="Ketley Crag Rock Shelter"/>
        <s v="Chatton"/>
        <s v="West Hill, Kirknewton"/>
        <s v="Weetwood Moor North"/>
        <s v="Weetwood Moor"/>
        <s v="Coldmartin"/>
        <s v="Green Castle"/>
        <s v="Whitsunbank"/>
        <s v="Fowberry Excavation Site"/>
        <s v="North Plantation"/>
        <s v="Fowberry Mains/Fowberry Park"/>
        <s v="Ewe Hill"/>
        <s v="Amerside Law"/>
        <s v="Coldmartin Tower"/>
        <s v="Way to Wooler"/>
        <s v="Fowberry Enclosure"/>
        <s v="Wandylaw"/>
        <s v="South Middleton Moor"/>
        <s v="Heddon Hill"/>
        <s v="Black Bog Dean"/>
        <s v="Snook Bank"/>
        <s v="Hunterheugh"/>
        <s v="Titlington Mount"/>
        <s v="Millstone Burn"/>
        <s v="Millstone Burn Standing Stone"/>
        <s v="Wellhope"/>
        <s v="Hawick Farm"/>
        <s v="Hollinside Farm"/>
        <s v="Lemmington Wood"/>
        <s v="Corby's Crags Open"/>
        <s v="Corby's Crags Rock Shelter"/>
        <s v="Caller Crag"/>
        <s v="Lamp Hill"/>
        <s v="Rough Castles"/>
        <s v="Midstead"/>
        <s v="Powburn"/>
        <s v="Morwick"/>
        <s v="Crocky's Heugh"/>
        <s v="Weetwood Clavering"/>
        <s v="Weetwood Portable"/>
        <s v="Belshill Quarry"/>
        <s v="Milfield South Henge"/>
        <s v="Whitelaw, Kirknewton"/>
        <s v="Yetlington Lane"/>
        <s v="Brockdam Moor"/>
        <s v="Ouston, Pike Hill"/>
        <s v="The Pitland Hills Cairn, Birtley"/>
        <s v="Hunters Hill, Ovington"/>
        <s v="Fowberry Excavation Site - Cairn r"/>
        <s v="Harbottle Peels"/>
        <s v="The Fawns, Kirkwhelpington"/>
        <s v="Cambo,Wallington"/>
        <s v="Beanley Portable"/>
        <s v="Fenwick Fell Field"/>
        <s v="Corbridge"/>
        <s v="St John Lee Church"/>
        <s v="Shield Croft Farm, Hexham"/>
        <s v="Dod Law Cist (Procter)"/>
        <s v="Ingoe Wall"/>
        <s v="Watch Law Farm"/>
        <s v="Dod Law Excavation Site Object"/>
        <s v="Turf Knowe"/>
        <s v="Beadnell Caravan Park"/>
        <s v="Carry House Camp, Birtley"/>
        <s v="Gunner Peak Camp, Barrasford"/>
        <s v="Homers Lane, Warden"/>
        <s v="Houxty Cottage"/>
        <s v="Hartleyburn Common"/>
        <s v="Prudhoe Castle"/>
        <s v="High Shaw Farm"/>
        <s v="Chesters Roman Site"/>
        <s v="Holy Island"/>
        <s v="Fowberry Excavation Site Kerbstone"/>
        <s v="West Horton 6 Portable"/>
        <s v="Weetwood Cairn"/>
        <s v="Weetwood Cairn Kerbstone"/>
        <s v="Throckley Bank Portable"/>
        <s v="Highburn House"/>
        <s v="Alnwick Castle Museum-Unprovenanced Rock"/>
        <s v="Standing Stone Newtown Mill"/>
        <s v="Reaveley Hill"/>
        <s v="Hexham Abbey, Monastic Workshop"/>
        <s v="Bulman's Rigg"/>
        <s v="Burntridge Moor"/>
        <s v="Stobs Cross"/>
        <s v="Witton Hall Farm"/>
        <s v="Old Deanham"/>
        <s v="Black Hill Gate"/>
        <s v="Barningham Moor"/>
        <s v="Lartington, The Rigg"/>
        <s v="Low Crag Farm"/>
        <s v="Scargill Low Moor"/>
        <s v="High Crag"/>
        <s v="Thwaite Hall"/>
        <s v="Thorsgill"/>
        <s v="Brignall, Moor House Farm"/>
        <s v="Hawkesley Hill"/>
        <s v="Crag Hill"/>
        <s v="Knott Hill"/>
        <s v="Whinney Hill"/>
        <s v="Lamb's Knowe"/>
        <s v="Brownridge Burn"/>
        <s v="Whitehill Head/Chatton Sandyford"/>
        <s v="Chatton Sandyford"/>
        <s v="Camp Hill"/>
        <s v="Lucker Moor"/>
        <s v="Millstone Hill"/>
        <s v="Willie Law"/>
        <s v="Ox-Eye"/>
        <s v="Ros Castle"/>
        <s v="Hepburn Moor"/>
        <s v="Hepburn Moor unenclosed"/>
        <s v="Bewick Moor North"/>
        <s v="Blawearie-Bewick Moor"/>
        <s v="Harehope"/>
        <s v="Langleeford"/>
        <s v="Old Bewick"/>
        <s v="Old Bewick Quarry"/>
        <s v="Alwinton/Newton/Clennell Cottages"/>
        <s v="Old Bewick Camp"/>
        <s v="Beanley Moor"/>
        <s v="Brandon Hillhead"/>
        <s v="Alnham Northfield"/>
        <s v="Alnmouth Wall Rock"/>
        <s v="Biddlestone"/>
        <s v="Debdon Whitefield"/>
        <s v="Football Cairn"/>
        <s v="Chirnells Moor"/>
        <s v="Addeyheugh"/>
        <s v="Cartington Carriageway"/>
        <s v="West Hills (Bracken Wood)"/>
        <s v="West Hills"/>
        <s v="Westcliffe House"/>
        <s v="Whitton Burn"/>
        <s v="North Lordenshaw"/>
        <s v="Whitton Burn/North Lordenshaw"/>
        <s v="Simonside Moor"/>
        <s v="East Lordenshaw"/>
        <s v="East Lordenshaw Cairn"/>
        <s v="West Lordenshaw"/>
        <s v="West Lordenshaw (Birky Hill)"/>
        <s v="Lordenshaw Hillfort"/>
        <s v="South Lordenshaw"/>
        <s v="Garleigh Moor East"/>
        <s v="Fontburn"/>
        <s v="Salters Nick Rock Shelter"/>
        <s v="Throckley Bank"/>
        <s v="Low Thornhope Farm"/>
        <s v="Knarsdale"/>
        <s v="Millstone Hill portable"/>
        <s v="The Knitsley Stone"/>
        <s v="Fulforth Farm stone"/>
        <s v="White House Farm, Witton Gilbert"/>
        <s v="Woolly Hills"/>
        <s v="Ray-Sunniside"/>
        <s v="Ray Burn Enclosure"/>
        <s v="Howden Hill"/>
        <s v="Tony's Patch"/>
        <s v="Joicey Shaft"/>
        <s v="Thornborough"/>
        <s v="Whitley Pike"/>
        <s v="Davy's Lee"/>
        <s v="King Wanless Green (cist)"/>
        <s v="Greenlee Lough"/>
        <s v="GoatstonesThe Four Poster - West"/>
        <s v="Goatstones The Four Poster - North"/>
        <s v="Goatstones The Four Poster - South"/>
        <s v="Goatstones The Four Poster - East"/>
        <s v="Goatstones"/>
        <s v="Goatstones e"/>
        <s v="Goatstones a"/>
        <s v="Goatstones d"/>
        <s v="Goatstones b"/>
        <s v="Goatstones i"/>
        <s v="Goatstones c"/>
        <s v="Goatstones f"/>
        <s v="Goatstones g"/>
        <s v="Goatstones h"/>
        <s v="Goatstones l"/>
        <s v="Goatstones k"/>
        <s v="Goatstones j"/>
        <s v="Goatstones n"/>
        <s v="Goatstones o"/>
        <s v="Goatstones p"/>
        <s v="Mount Farm, Simonburn"/>
        <s v="Carr Hill"/>
        <s v="Matfen Standing Stone"/>
        <s v="Swinburne Standing Stone"/>
        <s v="Warrior Stone"/>
        <s v="Ingoe, Sandyway Heads"/>
        <s v="Padon Hill"/>
        <s v="Scrainwood Quarry"/>
        <s v="Scrainwood"/>
        <s v="Dour Hill Long Cairn"/>
        <s v="Bellshiel Law"/>
        <s v="Tod Crag"/>
        <s v="Wallington Newhouses"/>
        <s v="Reenes Farm"/>
        <s v="Paines Bridge, Wallington"/>
        <s v="Middleton Bank Top"/>
        <s v="Shaftoe Jubilee Stone"/>
        <s v="Shaftoe"/>
        <s v="West Shaftoe Farm"/>
        <s v="Ferney Chesters"/>
        <s v="Beside the Devil's Causeway"/>
        <s v="Shortflatt"/>
        <s v="Bolam"/>
        <s v="Ewe Hill, Hethpool"/>
        <s v="East Loups's"/>
        <s v="Loups's Hill"/>
        <s v="West Loups's"/>
        <s v="Kearton Rigg"/>
        <s v="Goldsborough Rigg"/>
        <s v="How Beck Head"/>
        <s v="Howgill Grange"/>
        <s v="Blake Hill"/>
        <s v="Romaldkirk Moor"/>
        <s v="Hunderthwaite Moor"/>
        <s v="Blackton Reservoir"/>
        <s v="Bracken Rigg"/>
        <s v="Guestwick Hills"/>
        <s v="Ellingham"/>
        <s v="Fowberry Cairn excavation site"/>
        <s v="Lilburn Portable"/>
        <s v="Rimside, Millstone Burn"/>
        <s v="Allen Banks"/>
        <s v="Blueburn Farm, Rothbury"/>
        <s v="Cartington Castle"/>
        <s v="Fowberry Moor Farm, Island/Deershed Plantation"/>
        <s v="Dod Law 'Cist'"/>
        <s v="Dod Law excavation - site object"/>
        <s v="Dod Law portable"/>
        <s v="Embleton Steads"/>
        <s v="Ford Westfield"/>
        <s v="Fowberry Excavation Site - cairn"/>
        <s v="Fowberry Moor Cairn"/>
        <s v="Fowberry Moor portable"/>
        <s v="Chillingham/Hepburn Moor"/>
        <s v="Hunterheugh excavation"/>
        <s v="Hunterheugh 1 excavation - portable"/>
        <s v="Lilburn burial"/>
        <s v="Museum of Antiquities - Unprovenanced Rock"/>
        <s v="Nafferton"/>
        <s v="Black Heddon area"/>
        <s v="Todlaw Pike"/>
        <s v="Weetwood Bridge portable"/>
        <s v="Wooler Cottage"/>
        <s v="Harbottle"/>
        <s v="Lickar Moor"/>
        <s v="Millstone Burn portable"/>
        <s v="Alnwick Fords, Longframlington"/>
        <s v="Langleydale Common"/>
        <s v="Hindon Edge"/>
        <s v="Stobgreen Plantation"/>
        <s v="Brackenheads"/>
        <s v="Stobgreen Plantation 'The Grayson Stone'"/>
        <s v="Winston Station"/>
        <s v="Gainford stone"/>
        <s v="Greta Bridge Roman site"/>
        <s v="Dalton portable"/>
        <s v="The Dalton Stone"/>
        <s v="Slab from Gayles Moor"/>
        <s v="The Ryton Stone"/>
        <s v="Black Pots"/>
        <s v="Doubler Stones Allotment"/>
        <s v="Swastika Stone"/>
        <s v="Woodhouse Crag"/>
        <s v="Piper's Crag"/>
        <s v="Bradup"/>
        <s v="Bucking Hill"/>
        <s v="High Carr"/>
        <s v="High Moor"/>
        <s v="Pinfold Hill"/>
        <s v="Rough Holden"/>
        <s v="Robin Hood Wood"/>
        <s v="Rivock Edge"/>
        <s v="Rivock"/>
        <s v="Black Beck Hole"/>
        <s v="Coarse Stone Edge"/>
        <s v="Silver Well"/>
        <s v="Weary Hill"/>
        <s v="Barmishaw"/>
        <s v="Graining's Head"/>
        <s v="Badger Stone"/>
        <s v="Green Gates"/>
        <s v="Willy Hall's Wood"/>
        <s v="White Wells"/>
        <s v="Ben Rhydding"/>
        <s v="Grubstones Ridge"/>
        <s v="Craven Hall Hill"/>
        <s v="Stocks Hill"/>
        <s v="Low Plain"/>
        <s v="Loadpit Beck"/>
        <s v="Coldstone Beck"/>
        <s v="Glovershaw"/>
        <s v="Dene Hole"/>
        <s v="Green Hill Wood"/>
        <s v="Fenny Shaw"/>
        <s v="Carr Lane"/>
        <s v="Cabin Hill"/>
        <s v="Cow and Calf"/>
        <s v="Green Crag"/>
        <s v="Green Grag"/>
        <s v="Baildon Hill"/>
        <s v="Baildon Green"/>
        <s v="Bracken Hall Crag"/>
        <s v="Catten Stones"/>
        <s v="Dobrudden (South)"/>
        <s v="Soldier's Trench"/>
        <s v="Bracken Hall Farm"/>
        <s v="Westwood Drive"/>
        <s v="How Beck"/>
        <s v="Doubler Stones (S)"/>
        <s v="Low Fold Farm"/>
        <s v="Woofa Bank"/>
        <s v="Pancake Ridge"/>
        <s v="Burley Moor"/>
        <s v="East Buck Stones"/>
        <s v="Whetstone Gate"/>
        <s v="White Crag Moss"/>
        <s v="Todmor Stones"/>
        <s v="Stanbury Hill"/>
        <s v="Hawksworth Spring"/>
        <s v="Browgate"/>
        <s v="Pennythorn Hill"/>
        <s v="Eaves crag"/>
        <s v="Birch Close"/>
        <s v="Faweather Grange"/>
        <s v="Backstone Beck"/>
        <s v="Cranshaw Thorn Hill"/>
        <s v="Pancake Stone"/>
        <s v="Lanshaw Delves"/>
        <s v="Idol Stone"/>
        <s v="Ilkley Crags"/>
        <s v="Hangingstones"/>
        <s v="Gill Head"/>
        <s v="Green Crag Slack"/>
        <s v="Addingham Crag"/>
        <s v="Little Skirtful of Stones"/>
        <s v="Hope Farm"/>
        <s v="Dove Hall"/>
        <s v="Elam Grange"/>
        <s v="Black Beck"/>
        <s v="Hardwick House"/>
        <s v="Low Hill"/>
        <s v="Hangingstone Road"/>
        <s v="Hoyle Court"/>
        <s v="Hardwick Holes"/>
        <s v="High Brunthwaite"/>
        <s v="Southpiece"/>
        <s v="Heygate Stone"/>
        <s v="Glovershaw Farm"/>
        <s v="Brunthwaite Crag"/>
        <s v="Haw"/>
        <s v="The Springs"/>
        <s v="Meadowsweet Farm"/>
        <s v="Hangingstones Rock"/>
        <s v="Panorama Woods"/>
        <s v="Panorama Rocks"/>
        <s v="Hawksworth Shaw"/>
        <s v="Lanshaw"/>
        <s v="Little Skirtful of Stones Cairn"/>
        <s v="Rushy Beck"/>
        <s v="Stead Crag"/>
        <s v="Sread Crag"/>
        <s v="Stea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109" firstHeaderRow="0" firstDataRow="1" firstDataCol="0"/>
  <pivotFields>
    <pivotField name="PANE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t="default"/>
      </items>
    </pivotField>
    <pivotField name="MOTIF_TYP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VAL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Motif" axis="axisRow" compact="0" outline="0" multipleItemSelectionAllowed="1" showAll="0" sortType="ascending">
      <items>
        <item x="42"/>
        <item x="27"/>
        <item x="54"/>
        <item x="48"/>
        <item x="57"/>
        <item x="104"/>
        <item x="90"/>
        <item x="23"/>
        <item x="58"/>
        <item x="17"/>
        <item x="34"/>
        <item x="7"/>
        <item x="43"/>
        <item x="37"/>
        <item x="1"/>
        <item x="36"/>
        <item x="61"/>
        <item x="35"/>
        <item x="84"/>
        <item x="30"/>
        <item x="10"/>
        <item x="22"/>
        <item x="9"/>
        <item x="19"/>
        <item x="68"/>
        <item x="8"/>
        <item x="85"/>
        <item x="69"/>
        <item x="21"/>
        <item x="59"/>
        <item x="29"/>
        <item x="11"/>
        <item x="65"/>
        <item x="89"/>
        <item x="33"/>
        <item x="31"/>
        <item x="25"/>
        <item x="44"/>
        <item x="52"/>
        <item x="105"/>
        <item x="88"/>
        <item x="87"/>
        <item x="60"/>
        <item x="66"/>
        <item x="62"/>
        <item x="94"/>
        <item x="76"/>
        <item x="72"/>
        <item x="77"/>
        <item x="71"/>
        <item x="78"/>
        <item x="95"/>
        <item x="79"/>
        <item x="16"/>
        <item x="82"/>
        <item x="53"/>
        <item x="3"/>
        <item x="70"/>
        <item x="81"/>
        <item x="83"/>
        <item x="56"/>
        <item x="86"/>
        <item x="5"/>
        <item x="64"/>
        <item x="14"/>
        <item x="13"/>
        <item x="67"/>
        <item x="80"/>
        <item x="46"/>
        <item x="15"/>
        <item x="103"/>
        <item x="75"/>
        <item x="39"/>
        <item x="12"/>
        <item x="24"/>
        <item x="41"/>
        <item x="2"/>
        <item x="106"/>
        <item x="96"/>
        <item x="38"/>
        <item x="102"/>
        <item x="32"/>
        <item x="45"/>
        <item x="49"/>
        <item x="51"/>
        <item x="47"/>
        <item x="91"/>
        <item x="98"/>
        <item x="97"/>
        <item x="50"/>
        <item x="40"/>
        <item x="26"/>
        <item x="6"/>
        <item x="0"/>
        <item x="55"/>
        <item x="28"/>
        <item x="20"/>
        <item x="4"/>
        <item x="101"/>
        <item x="92"/>
        <item x="93"/>
        <item x="99"/>
        <item x="74"/>
        <item x="63"/>
        <item x="73"/>
        <item x="100"/>
        <item x="18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t="default"/>
      </items>
    </pivotField>
  </pivotFields>
  <rowFields>
    <field x="3"/>
  </rowFields>
  <dataFields>
    <dataField name="SUM of VALUE" fld="2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D1:E390" firstHeaderRow="0" firstDataRow="1" firstDataCol="0"/>
  <pivotFields>
    <pivotField name="PANE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t="default"/>
      </items>
    </pivotField>
    <pivotField name="MOTIF_TYP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VAL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Moti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Location" axis="axisRow" compact="0" outline="0" multipleItemSelectionAllowed="1" showAll="0" sortType="ascending">
      <items>
        <item x="150"/>
        <item x="359"/>
        <item x="247"/>
        <item x="144"/>
        <item x="145"/>
        <item x="100"/>
        <item x="272"/>
        <item x="140"/>
        <item x="34"/>
        <item x="350"/>
        <item x="305"/>
        <item x="326"/>
        <item x="325"/>
        <item x="303"/>
        <item x="110"/>
        <item x="84"/>
        <item x="142"/>
        <item x="74"/>
        <item x="216"/>
        <item x="62"/>
        <item x="309"/>
        <item x="226"/>
        <item x="134"/>
        <item x="146"/>
        <item x="348"/>
        <item x="364"/>
        <item x="299"/>
        <item x="41"/>
        <item x="265"/>
        <item x="109"/>
        <item x="285"/>
        <item x="240"/>
        <item x="237"/>
        <item x="135"/>
        <item x="248"/>
        <item x="228"/>
        <item x="327"/>
        <item x="331"/>
        <item x="241"/>
        <item x="276"/>
        <item x="290"/>
        <item x="143"/>
        <item x="117"/>
        <item x="66"/>
        <item x="2"/>
        <item x="345"/>
        <item x="123"/>
        <item x="374"/>
        <item x="291"/>
        <item x="104"/>
        <item x="338"/>
        <item x="105"/>
        <item x="20"/>
        <item x="321"/>
        <item x="53"/>
        <item x="73"/>
        <item x="126"/>
        <item x="207"/>
        <item x="320"/>
        <item x="85"/>
        <item x="151"/>
        <item x="249"/>
        <item x="328"/>
        <item x="23"/>
        <item x="125"/>
        <item x="92"/>
        <item x="259"/>
        <item x="149"/>
        <item x="300"/>
        <item x="27"/>
        <item x="35"/>
        <item x="315"/>
        <item x="76"/>
        <item x="51"/>
        <item x="52"/>
        <item x="322"/>
        <item x="119"/>
        <item x="351"/>
        <item x="311"/>
        <item x="59"/>
        <item x="21"/>
        <item x="281"/>
        <item x="183"/>
        <item x="147"/>
        <item x="317"/>
        <item x="329"/>
        <item x="251"/>
        <item x="79"/>
        <item x="15"/>
        <item x="252"/>
        <item x="12"/>
        <item x="82"/>
        <item x="13"/>
        <item x="253"/>
        <item x="11"/>
        <item x="10"/>
        <item x="7"/>
        <item x="334"/>
        <item x="286"/>
        <item x="215"/>
        <item x="362"/>
        <item x="339"/>
        <item x="159"/>
        <item x="160"/>
        <item x="230"/>
        <item x="347"/>
        <item x="363"/>
        <item x="243"/>
        <item x="254"/>
        <item x="33"/>
        <item x="229"/>
        <item x="349"/>
        <item x="319"/>
        <item x="75"/>
        <item x="225"/>
        <item x="166"/>
        <item x="148"/>
        <item x="255"/>
        <item x="244"/>
        <item x="37"/>
        <item x="30"/>
        <item x="256"/>
        <item x="70"/>
        <item x="94"/>
        <item x="32"/>
        <item x="257"/>
        <item x="250"/>
        <item x="258"/>
        <item x="173"/>
        <item x="279"/>
        <item x="165"/>
        <item x="357"/>
        <item x="19"/>
        <item x="316"/>
        <item x="373"/>
        <item x="3"/>
        <item x="190"/>
        <item x="192"/>
        <item x="194"/>
        <item x="196"/>
        <item x="193"/>
        <item x="191"/>
        <item x="197"/>
        <item x="198"/>
        <item x="199"/>
        <item x="195"/>
        <item x="202"/>
        <item x="201"/>
        <item x="200"/>
        <item x="203"/>
        <item x="204"/>
        <item x="205"/>
        <item x="189"/>
        <item x="187"/>
        <item x="188"/>
        <item x="186"/>
        <item x="234"/>
        <item x="304"/>
        <item x="28"/>
        <item x="323"/>
        <item x="358"/>
        <item x="306"/>
        <item x="324"/>
        <item x="318"/>
        <item x="185"/>
        <item x="280"/>
        <item x="310"/>
        <item x="242"/>
        <item x="86"/>
        <item x="367"/>
        <item x="356"/>
        <item x="378"/>
        <item x="269"/>
        <item x="71"/>
        <item x="369"/>
        <item x="365"/>
        <item x="5"/>
        <item x="136"/>
        <item x="89"/>
        <item x="375"/>
        <item x="48"/>
        <item x="118"/>
        <item x="381"/>
        <item x="344"/>
        <item x="9"/>
        <item x="40"/>
        <item x="132"/>
        <item x="133"/>
        <item x="103"/>
        <item x="372"/>
        <item x="370"/>
        <item x="292"/>
        <item x="6"/>
        <item x="114"/>
        <item x="293"/>
        <item x="91"/>
        <item x="99"/>
        <item x="274"/>
        <item x="49"/>
        <item x="93"/>
        <item x="87"/>
        <item x="361"/>
        <item x="88"/>
        <item x="333"/>
        <item x="235"/>
        <item x="178"/>
        <item x="236"/>
        <item x="368"/>
        <item x="239"/>
        <item x="43"/>
        <item x="261"/>
        <item x="260"/>
        <item x="69"/>
        <item x="354"/>
        <item x="355"/>
        <item x="80"/>
        <item x="211"/>
        <item x="180"/>
        <item x="233"/>
        <item x="22"/>
        <item x="184"/>
        <item x="170"/>
        <item x="120"/>
        <item x="122"/>
        <item x="54"/>
        <item x="137"/>
        <item x="273"/>
        <item x="382"/>
        <item x="353"/>
        <item x="111"/>
        <item x="50"/>
        <item x="270"/>
        <item x="262"/>
        <item x="245"/>
        <item x="360"/>
        <item x="383"/>
        <item x="314"/>
        <item x="163"/>
        <item x="231"/>
        <item x="112"/>
        <item x="335"/>
        <item x="366"/>
        <item x="313"/>
        <item x="169"/>
        <item x="127"/>
        <item x="18"/>
        <item x="208"/>
        <item x="377"/>
        <item x="221"/>
        <item x="56"/>
        <item x="63"/>
        <item x="45"/>
        <item x="271"/>
        <item x="46"/>
        <item x="128"/>
        <item x="171"/>
        <item x="58"/>
        <item x="206"/>
        <item x="263"/>
        <item x="264"/>
        <item x="156"/>
        <item x="31"/>
        <item x="138"/>
        <item x="141"/>
        <item x="139"/>
        <item x="108"/>
        <item x="0"/>
        <item x="67"/>
        <item x="130"/>
        <item x="212"/>
        <item x="220"/>
        <item x="337"/>
        <item x="352"/>
        <item x="380"/>
        <item x="379"/>
        <item x="346"/>
        <item x="294"/>
        <item x="289"/>
        <item x="57"/>
        <item x="90"/>
        <item x="177"/>
        <item x="176"/>
        <item x="102"/>
        <item x="219"/>
        <item x="246"/>
        <item x="298"/>
        <item x="297"/>
        <item x="296"/>
        <item x="238"/>
        <item x="131"/>
        <item x="55"/>
        <item x="295"/>
        <item x="4"/>
        <item x="384"/>
        <item x="167"/>
        <item x="113"/>
        <item x="214"/>
        <item x="213"/>
        <item x="223"/>
        <item x="222"/>
        <item x="78"/>
        <item x="227"/>
        <item x="301"/>
        <item x="158"/>
        <item x="283"/>
        <item x="42"/>
        <item x="330"/>
        <item x="164"/>
        <item x="39"/>
        <item x="371"/>
        <item x="386"/>
        <item x="77"/>
        <item x="343"/>
        <item x="101"/>
        <item x="387"/>
        <item x="385"/>
        <item x="275"/>
        <item x="277"/>
        <item x="106"/>
        <item x="312"/>
        <item x="287"/>
        <item x="209"/>
        <item x="282"/>
        <item x="1"/>
        <item x="72"/>
        <item x="172"/>
        <item x="68"/>
        <item x="8"/>
        <item x="284"/>
        <item x="376"/>
        <item x="181"/>
        <item x="116"/>
        <item x="168"/>
        <item x="98"/>
        <item x="115"/>
        <item x="44"/>
        <item x="217"/>
        <item x="266"/>
        <item x="342"/>
        <item x="179"/>
        <item x="83"/>
        <item x="218"/>
        <item x="38"/>
        <item x="210"/>
        <item x="81"/>
        <item x="36"/>
        <item x="302"/>
        <item x="267"/>
        <item x="96"/>
        <item x="97"/>
        <item x="60"/>
        <item x="26"/>
        <item x="25"/>
        <item x="61"/>
        <item x="47"/>
        <item x="24"/>
        <item x="153"/>
        <item x="152"/>
        <item x="14"/>
        <item x="95"/>
        <item x="17"/>
        <item x="16"/>
        <item x="161"/>
        <item x="162"/>
        <item x="232"/>
        <item x="224"/>
        <item x="154"/>
        <item x="332"/>
        <item x="340"/>
        <item x="121"/>
        <item x="341"/>
        <item x="174"/>
        <item x="308"/>
        <item x="124"/>
        <item x="64"/>
        <item x="182"/>
        <item x="29"/>
        <item x="155"/>
        <item x="157"/>
        <item x="129"/>
        <item x="307"/>
        <item x="278"/>
        <item x="107"/>
        <item x="288"/>
        <item x="336"/>
        <item x="268"/>
        <item x="175"/>
        <item x="65"/>
        <item t="default"/>
      </items>
    </pivotField>
  </pivotFields>
  <rowFields>
    <field x="4"/>
  </rowFields>
  <dataFields>
    <dataField name="SUM of VALUE" fld="2" baseField="0"/>
  </dataFields>
</pivotTableDefinition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>
        <v>730.0</v>
      </c>
      <c r="B2" s="3">
        <v>730.0</v>
      </c>
      <c r="C2" s="3">
        <v>240.0</v>
      </c>
      <c r="D2" s="3">
        <v>1.0</v>
      </c>
      <c r="E2" s="1" t="s">
        <v>10</v>
      </c>
      <c r="F2" s="1" t="s">
        <v>11</v>
      </c>
      <c r="G2" s="3">
        <v>1.0</v>
      </c>
      <c r="H2" s="3">
        <v>0.0</v>
      </c>
      <c r="I2" s="1"/>
      <c r="J2" s="3">
        <v>836.0</v>
      </c>
    </row>
    <row r="3">
      <c r="A3" s="3">
        <v>731.0</v>
      </c>
      <c r="B3" s="3">
        <v>731.0</v>
      </c>
      <c r="C3" s="3">
        <v>360.0</v>
      </c>
      <c r="D3" s="3">
        <v>1.0</v>
      </c>
      <c r="E3" s="2" t="s">
        <v>12</v>
      </c>
      <c r="F3" s="1"/>
      <c r="G3" s="3">
        <v>1.0</v>
      </c>
      <c r="H3" s="3">
        <v>0.0</v>
      </c>
      <c r="I3" s="1"/>
      <c r="J3" s="3">
        <v>836.0</v>
      </c>
    </row>
    <row r="4">
      <c r="A4" s="3">
        <v>732.0</v>
      </c>
      <c r="B4" s="3">
        <v>732.0</v>
      </c>
      <c r="C4" s="3">
        <v>361.0</v>
      </c>
      <c r="D4" s="3">
        <v>1.0</v>
      </c>
      <c r="E4" s="2" t="s">
        <v>13</v>
      </c>
      <c r="F4" s="1"/>
      <c r="G4" s="3">
        <v>1.0</v>
      </c>
      <c r="H4" s="3">
        <v>0.0</v>
      </c>
      <c r="I4" s="1"/>
      <c r="J4" s="3">
        <v>836.0</v>
      </c>
    </row>
    <row r="5">
      <c r="A5" s="3">
        <v>733.0</v>
      </c>
      <c r="B5" s="3">
        <v>733.0</v>
      </c>
      <c r="C5" s="3">
        <v>355.0</v>
      </c>
      <c r="D5" s="3">
        <v>1.0</v>
      </c>
      <c r="E5" s="1" t="s">
        <v>14</v>
      </c>
      <c r="F5" s="1" t="s">
        <v>15</v>
      </c>
      <c r="G5" s="3">
        <v>1.0</v>
      </c>
      <c r="H5" s="3">
        <v>0.0</v>
      </c>
      <c r="I5" s="1"/>
      <c r="J5" s="3">
        <v>836.0</v>
      </c>
    </row>
    <row r="6">
      <c r="A6" s="3">
        <v>734.0</v>
      </c>
      <c r="B6" s="3">
        <v>734.0</v>
      </c>
      <c r="C6" s="3">
        <v>721.0</v>
      </c>
      <c r="D6" s="3">
        <v>1.0</v>
      </c>
      <c r="E6" s="2" t="s">
        <v>16</v>
      </c>
      <c r="F6" s="1"/>
      <c r="G6" s="3">
        <v>1.0</v>
      </c>
      <c r="H6" s="3">
        <v>0.0</v>
      </c>
      <c r="I6" s="1"/>
      <c r="J6" s="3">
        <v>836.0</v>
      </c>
    </row>
    <row r="7">
      <c r="A7" s="3">
        <v>735.0</v>
      </c>
      <c r="B7" s="3">
        <v>735.0</v>
      </c>
      <c r="C7" s="3">
        <v>722.0</v>
      </c>
      <c r="D7" s="3">
        <v>1.0</v>
      </c>
      <c r="E7" s="2" t="s">
        <v>17</v>
      </c>
      <c r="F7" s="1"/>
      <c r="G7" s="3">
        <v>1.0</v>
      </c>
      <c r="H7" s="3">
        <v>0.0</v>
      </c>
      <c r="I7" s="1"/>
      <c r="J7" s="3">
        <v>836.0</v>
      </c>
    </row>
    <row r="8">
      <c r="A8" s="3">
        <v>736.0</v>
      </c>
      <c r="B8" s="3">
        <v>736.0</v>
      </c>
      <c r="C8" s="3">
        <v>732.0</v>
      </c>
      <c r="D8" s="3">
        <v>1.0</v>
      </c>
      <c r="E8" s="1" t="s">
        <v>18</v>
      </c>
      <c r="F8" s="1" t="s">
        <v>15</v>
      </c>
      <c r="G8" s="3">
        <v>1.0</v>
      </c>
      <c r="H8" s="3">
        <v>0.0</v>
      </c>
      <c r="I8" s="1"/>
      <c r="J8" s="3">
        <v>836.0</v>
      </c>
    </row>
    <row r="9">
      <c r="A9" s="3">
        <v>737.0</v>
      </c>
      <c r="B9" s="3">
        <v>737.0</v>
      </c>
      <c r="C9" s="3">
        <v>733.0</v>
      </c>
      <c r="D9" s="3">
        <v>1.0</v>
      </c>
      <c r="E9" s="1" t="s">
        <v>18</v>
      </c>
      <c r="F9" s="1" t="s">
        <v>19</v>
      </c>
      <c r="G9" s="3">
        <v>1.0</v>
      </c>
      <c r="H9" s="3">
        <v>0.0</v>
      </c>
      <c r="I9" s="1"/>
      <c r="J9" s="3">
        <v>836.0</v>
      </c>
    </row>
    <row r="10">
      <c r="A10" s="3">
        <v>738.0</v>
      </c>
      <c r="B10" s="3">
        <v>738.0</v>
      </c>
      <c r="C10" s="3">
        <v>734.0</v>
      </c>
      <c r="D10" s="3">
        <v>1.0</v>
      </c>
      <c r="E10" s="1" t="s">
        <v>20</v>
      </c>
      <c r="F10" s="1" t="s">
        <v>15</v>
      </c>
      <c r="G10" s="3">
        <v>1.0</v>
      </c>
      <c r="H10" s="3">
        <v>0.0</v>
      </c>
      <c r="I10" s="1"/>
      <c r="J10" s="3">
        <v>836.0</v>
      </c>
    </row>
    <row r="11">
      <c r="A11" s="3">
        <v>739.0</v>
      </c>
      <c r="B11" s="3">
        <v>739.0</v>
      </c>
      <c r="C11" s="3">
        <v>735.0</v>
      </c>
      <c r="D11" s="3">
        <v>1.0</v>
      </c>
      <c r="E11" s="1" t="s">
        <v>20</v>
      </c>
      <c r="F11" s="1" t="s">
        <v>19</v>
      </c>
      <c r="G11" s="3">
        <v>1.0</v>
      </c>
      <c r="H11" s="3">
        <v>0.0</v>
      </c>
      <c r="I11" s="1"/>
      <c r="J11" s="3">
        <v>836.0</v>
      </c>
    </row>
    <row r="12">
      <c r="A12" s="3">
        <v>740.0</v>
      </c>
      <c r="B12" s="3">
        <v>740.0</v>
      </c>
      <c r="C12" s="3">
        <v>741.0</v>
      </c>
      <c r="D12" s="3">
        <v>1.0</v>
      </c>
      <c r="E12" s="2" t="s">
        <v>21</v>
      </c>
      <c r="F12" s="1"/>
      <c r="G12" s="3">
        <v>1.0</v>
      </c>
      <c r="H12" s="3">
        <v>0.0</v>
      </c>
      <c r="I12" s="1"/>
      <c r="J12" s="3">
        <v>836.0</v>
      </c>
    </row>
    <row r="13">
      <c r="A13" s="3">
        <v>741.0</v>
      </c>
      <c r="B13" s="3">
        <v>741.0</v>
      </c>
      <c r="C13" s="3">
        <v>693.0</v>
      </c>
      <c r="D13" s="3">
        <v>1.0</v>
      </c>
      <c r="E13" s="1" t="s">
        <v>22</v>
      </c>
      <c r="F13" s="1"/>
      <c r="G13" s="3">
        <v>1.0</v>
      </c>
      <c r="H13" s="3">
        <v>0.0</v>
      </c>
      <c r="I13" s="1"/>
      <c r="J13" s="3">
        <v>836.0</v>
      </c>
    </row>
    <row r="14">
      <c r="A14" s="3">
        <v>742.0</v>
      </c>
      <c r="B14" s="3">
        <v>742.0</v>
      </c>
      <c r="C14" s="3">
        <v>742.0</v>
      </c>
      <c r="D14" s="3">
        <v>1.0</v>
      </c>
      <c r="E14" s="1" t="s">
        <v>23</v>
      </c>
      <c r="F14" s="1" t="s">
        <v>24</v>
      </c>
      <c r="G14" s="3">
        <v>1.0</v>
      </c>
      <c r="H14" s="3">
        <v>0.0</v>
      </c>
      <c r="I14" s="1"/>
      <c r="J14" s="3">
        <v>836.0</v>
      </c>
    </row>
    <row r="15">
      <c r="A15" s="3">
        <v>743.0</v>
      </c>
      <c r="B15" s="3">
        <v>743.0</v>
      </c>
      <c r="C15" s="3">
        <v>743.0</v>
      </c>
      <c r="D15" s="3">
        <v>1.0</v>
      </c>
      <c r="E15" s="1" t="s">
        <v>23</v>
      </c>
      <c r="F15" s="1" t="s">
        <v>25</v>
      </c>
      <c r="G15" s="3">
        <v>1.0</v>
      </c>
      <c r="H15" s="3">
        <v>0.0</v>
      </c>
      <c r="I15" s="1"/>
      <c r="J15" s="3">
        <v>836.0</v>
      </c>
    </row>
    <row r="16">
      <c r="A16" s="3">
        <v>744.0</v>
      </c>
      <c r="B16" s="3">
        <v>744.0</v>
      </c>
      <c r="C16" s="3">
        <v>744.0</v>
      </c>
      <c r="D16" s="3">
        <v>1.0</v>
      </c>
      <c r="E16" s="1" t="s">
        <v>23</v>
      </c>
      <c r="F16" s="1" t="s">
        <v>26</v>
      </c>
      <c r="G16" s="3">
        <v>1.0</v>
      </c>
      <c r="H16" s="3">
        <v>0.0</v>
      </c>
      <c r="I16" s="1"/>
      <c r="J16" s="3">
        <v>836.0</v>
      </c>
    </row>
    <row r="17">
      <c r="A17" s="3">
        <v>745.0</v>
      </c>
      <c r="B17" s="3">
        <v>745.0</v>
      </c>
      <c r="C17" s="3">
        <v>745.0</v>
      </c>
      <c r="D17" s="3">
        <v>1.0</v>
      </c>
      <c r="E17" s="1" t="s">
        <v>23</v>
      </c>
      <c r="F17" s="1" t="s">
        <v>27</v>
      </c>
      <c r="G17" s="3">
        <v>1.0</v>
      </c>
      <c r="H17" s="3">
        <v>0.0</v>
      </c>
      <c r="I17" s="1"/>
      <c r="J17" s="3">
        <v>836.0</v>
      </c>
    </row>
    <row r="18">
      <c r="A18" s="3">
        <v>746.0</v>
      </c>
      <c r="B18" s="3">
        <v>746.0</v>
      </c>
      <c r="C18" s="3">
        <v>746.0</v>
      </c>
      <c r="D18" s="3">
        <v>1.0</v>
      </c>
      <c r="E18" s="1" t="s">
        <v>23</v>
      </c>
      <c r="F18" s="1" t="s">
        <v>28</v>
      </c>
      <c r="G18" s="3">
        <v>1.0</v>
      </c>
      <c r="H18" s="3">
        <v>0.0</v>
      </c>
      <c r="I18" s="1"/>
      <c r="J18" s="3">
        <v>836.0</v>
      </c>
    </row>
    <row r="19">
      <c r="A19" s="3">
        <v>747.0</v>
      </c>
      <c r="B19" s="3">
        <v>747.0</v>
      </c>
      <c r="C19" s="3">
        <v>747.0</v>
      </c>
      <c r="D19" s="3">
        <v>1.0</v>
      </c>
      <c r="E19" s="1" t="s">
        <v>23</v>
      </c>
      <c r="F19" s="3">
        <v>2.0</v>
      </c>
      <c r="G19" s="3">
        <v>1.0</v>
      </c>
      <c r="H19" s="3">
        <v>0.0</v>
      </c>
      <c r="I19" s="1"/>
      <c r="J19" s="3">
        <v>836.0</v>
      </c>
    </row>
    <row r="20">
      <c r="A20" s="3">
        <v>748.0</v>
      </c>
      <c r="B20" s="3">
        <v>748.0</v>
      </c>
      <c r="C20" s="3">
        <v>748.0</v>
      </c>
      <c r="D20" s="3">
        <v>1.0</v>
      </c>
      <c r="E20" s="1" t="s">
        <v>23</v>
      </c>
      <c r="F20" s="3">
        <v>3.0</v>
      </c>
      <c r="G20" s="3">
        <v>1.0</v>
      </c>
      <c r="H20" s="3">
        <v>0.0</v>
      </c>
      <c r="I20" s="1"/>
      <c r="J20" s="3">
        <v>836.0</v>
      </c>
    </row>
    <row r="21">
      <c r="A21" s="3">
        <v>749.0</v>
      </c>
      <c r="B21" s="3">
        <v>749.0</v>
      </c>
      <c r="C21" s="3">
        <v>0.0</v>
      </c>
      <c r="D21" s="3">
        <v>1.0</v>
      </c>
      <c r="E21" s="1" t="s">
        <v>23</v>
      </c>
      <c r="F21" s="3">
        <v>5.0</v>
      </c>
      <c r="G21" s="3">
        <v>1.0</v>
      </c>
      <c r="H21" s="3">
        <v>0.0</v>
      </c>
      <c r="I21" s="1"/>
      <c r="J21" s="3">
        <v>836.0</v>
      </c>
    </row>
    <row r="22">
      <c r="A22" s="3">
        <v>750.0</v>
      </c>
      <c r="B22" s="3">
        <v>750.0</v>
      </c>
      <c r="C22" s="3">
        <v>750.0</v>
      </c>
      <c r="D22" s="3">
        <v>1.0</v>
      </c>
      <c r="E22" s="1" t="s">
        <v>29</v>
      </c>
      <c r="F22" s="1"/>
      <c r="G22" s="3">
        <v>1.0</v>
      </c>
      <c r="H22" s="3">
        <v>0.0</v>
      </c>
      <c r="I22" s="1"/>
      <c r="J22" s="3">
        <v>836.0</v>
      </c>
    </row>
    <row r="23">
      <c r="A23" s="3">
        <v>751.0</v>
      </c>
      <c r="B23" s="3">
        <v>751.0</v>
      </c>
      <c r="C23" s="3">
        <v>796.0</v>
      </c>
      <c r="D23" s="3">
        <v>1.0</v>
      </c>
      <c r="E23" s="2" t="s">
        <v>30</v>
      </c>
      <c r="F23" s="1"/>
      <c r="G23" s="3">
        <v>1.0</v>
      </c>
      <c r="H23" s="3">
        <v>0.0</v>
      </c>
      <c r="I23" s="1"/>
      <c r="J23" s="3">
        <v>836.0</v>
      </c>
    </row>
    <row r="24">
      <c r="A24" s="3">
        <v>752.0</v>
      </c>
      <c r="B24" s="3">
        <v>752.0</v>
      </c>
      <c r="C24" s="3">
        <v>752.0</v>
      </c>
      <c r="D24" s="3">
        <v>1.0</v>
      </c>
      <c r="E24" s="1" t="s">
        <v>31</v>
      </c>
      <c r="F24" s="1" t="s">
        <v>15</v>
      </c>
      <c r="G24" s="3">
        <v>1.0</v>
      </c>
      <c r="H24" s="3">
        <v>0.0</v>
      </c>
      <c r="I24" s="1"/>
      <c r="J24" s="3">
        <v>836.0</v>
      </c>
    </row>
    <row r="25">
      <c r="A25" s="3">
        <v>753.0</v>
      </c>
      <c r="B25" s="3">
        <v>753.0</v>
      </c>
      <c r="C25" s="3">
        <v>800.0</v>
      </c>
      <c r="D25" s="3">
        <v>1.0</v>
      </c>
      <c r="E25" s="1" t="s">
        <v>32</v>
      </c>
      <c r="F25" s="1" t="s">
        <v>15</v>
      </c>
      <c r="G25" s="3">
        <v>1.0</v>
      </c>
      <c r="H25" s="3">
        <v>0.0</v>
      </c>
      <c r="I25" s="1"/>
      <c r="J25" s="3">
        <v>836.0</v>
      </c>
    </row>
    <row r="26">
      <c r="A26" s="3">
        <v>754.0</v>
      </c>
      <c r="B26" s="3">
        <v>754.0</v>
      </c>
      <c r="C26" s="3">
        <v>801.0</v>
      </c>
      <c r="D26" s="3">
        <v>1.0</v>
      </c>
      <c r="E26" s="1" t="s">
        <v>32</v>
      </c>
      <c r="F26" s="1" t="s">
        <v>19</v>
      </c>
      <c r="G26" s="3">
        <v>1.0</v>
      </c>
      <c r="H26" s="3">
        <v>0.0</v>
      </c>
      <c r="I26" s="1"/>
      <c r="J26" s="3">
        <v>836.0</v>
      </c>
    </row>
    <row r="27">
      <c r="A27" s="3">
        <v>755.0</v>
      </c>
      <c r="B27" s="3">
        <v>755.0</v>
      </c>
      <c r="C27" s="3">
        <v>837.0</v>
      </c>
      <c r="D27" s="3">
        <v>1.0</v>
      </c>
      <c r="E27" s="1" t="s">
        <v>33</v>
      </c>
      <c r="F27" s="3">
        <v>1.0</v>
      </c>
      <c r="G27" s="3">
        <v>1.0</v>
      </c>
      <c r="H27" s="3">
        <v>0.0</v>
      </c>
      <c r="I27" s="1"/>
      <c r="J27" s="3">
        <v>836.0</v>
      </c>
    </row>
    <row r="28">
      <c r="A28" s="3">
        <v>756.0</v>
      </c>
      <c r="B28" s="3">
        <v>756.0</v>
      </c>
      <c r="C28" s="3">
        <v>838.0</v>
      </c>
      <c r="D28" s="3">
        <v>1.0</v>
      </c>
      <c r="E28" s="1" t="s">
        <v>33</v>
      </c>
      <c r="F28" s="3">
        <v>2.0</v>
      </c>
      <c r="G28" s="3">
        <v>1.0</v>
      </c>
      <c r="H28" s="3">
        <v>0.0</v>
      </c>
      <c r="I28" s="1"/>
      <c r="J28" s="3">
        <v>836.0</v>
      </c>
    </row>
    <row r="29">
      <c r="A29" s="3">
        <v>757.0</v>
      </c>
      <c r="B29" s="3">
        <v>757.0</v>
      </c>
      <c r="C29" s="3">
        <v>839.0</v>
      </c>
      <c r="D29" s="3">
        <v>1.0</v>
      </c>
      <c r="E29" s="1" t="s">
        <v>33</v>
      </c>
      <c r="F29" s="3">
        <v>3.0</v>
      </c>
      <c r="G29" s="3">
        <v>1.0</v>
      </c>
      <c r="H29" s="3">
        <v>0.0</v>
      </c>
      <c r="I29" s="1"/>
      <c r="J29" s="3">
        <v>836.0</v>
      </c>
    </row>
    <row r="30">
      <c r="A30" s="3">
        <v>758.0</v>
      </c>
      <c r="B30" s="3">
        <v>758.0</v>
      </c>
      <c r="C30" s="3">
        <v>840.0</v>
      </c>
      <c r="D30" s="3">
        <v>1.0</v>
      </c>
      <c r="E30" s="1" t="s">
        <v>33</v>
      </c>
      <c r="F30" s="3">
        <v>4.0</v>
      </c>
      <c r="G30" s="3">
        <v>1.0</v>
      </c>
      <c r="H30" s="3">
        <v>0.0</v>
      </c>
      <c r="I30" s="1"/>
      <c r="J30" s="3">
        <v>836.0</v>
      </c>
    </row>
    <row r="31">
      <c r="A31" s="3">
        <v>759.0</v>
      </c>
      <c r="B31" s="3">
        <v>759.0</v>
      </c>
      <c r="C31" s="3">
        <v>1050.0</v>
      </c>
      <c r="D31" s="3">
        <v>1.0</v>
      </c>
      <c r="E31" s="1" t="s">
        <v>34</v>
      </c>
      <c r="F31" s="1" t="s">
        <v>35</v>
      </c>
      <c r="G31" s="3">
        <v>1.0</v>
      </c>
      <c r="H31" s="3">
        <v>0.0</v>
      </c>
      <c r="I31" s="1"/>
      <c r="J31" s="3">
        <v>836.0</v>
      </c>
    </row>
    <row r="32">
      <c r="A32" s="3">
        <v>760.0</v>
      </c>
      <c r="B32" s="3">
        <v>760.0</v>
      </c>
      <c r="C32" s="3">
        <v>1062.0</v>
      </c>
      <c r="D32" s="3">
        <v>1.0</v>
      </c>
      <c r="E32" s="1" t="s">
        <v>36</v>
      </c>
      <c r="F32" s="1" t="s">
        <v>37</v>
      </c>
      <c r="G32" s="3">
        <v>1.0</v>
      </c>
      <c r="H32" s="3">
        <v>0.0</v>
      </c>
      <c r="I32" s="1"/>
      <c r="J32" s="3">
        <v>836.0</v>
      </c>
    </row>
    <row r="33">
      <c r="A33" s="3">
        <v>761.0</v>
      </c>
      <c r="B33" s="3">
        <v>761.0</v>
      </c>
      <c r="C33" s="3">
        <v>1074.0</v>
      </c>
      <c r="D33" s="3">
        <v>1.0</v>
      </c>
      <c r="E33" s="1" t="s">
        <v>36</v>
      </c>
      <c r="F33" s="1" t="s">
        <v>38</v>
      </c>
      <c r="G33" s="3">
        <v>1.0</v>
      </c>
      <c r="H33" s="3">
        <v>0.0</v>
      </c>
      <c r="I33" s="1"/>
      <c r="J33" s="3">
        <v>836.0</v>
      </c>
    </row>
    <row r="34">
      <c r="A34" s="3">
        <v>762.0</v>
      </c>
      <c r="B34" s="3">
        <v>762.0</v>
      </c>
      <c r="C34" s="3">
        <v>1076.0</v>
      </c>
      <c r="D34" s="3">
        <v>1.0</v>
      </c>
      <c r="E34" s="1" t="s">
        <v>36</v>
      </c>
      <c r="F34" s="1" t="s">
        <v>39</v>
      </c>
      <c r="G34" s="3">
        <v>1.0</v>
      </c>
      <c r="H34" s="3">
        <v>0.0</v>
      </c>
      <c r="I34" s="1"/>
      <c r="J34" s="3">
        <v>836.0</v>
      </c>
    </row>
    <row r="35">
      <c r="A35" s="3">
        <v>763.0</v>
      </c>
      <c r="B35" s="3">
        <v>763.0</v>
      </c>
      <c r="C35" s="3">
        <v>1080.0</v>
      </c>
      <c r="D35" s="3">
        <v>1.0</v>
      </c>
      <c r="E35" s="1" t="s">
        <v>36</v>
      </c>
      <c r="F35" s="1" t="s">
        <v>40</v>
      </c>
      <c r="G35" s="3">
        <v>1.0</v>
      </c>
      <c r="H35" s="3">
        <v>0.0</v>
      </c>
      <c r="I35" s="1"/>
      <c r="J35" s="3">
        <v>836.0</v>
      </c>
    </row>
    <row r="36">
      <c r="A36" s="3">
        <v>764.0</v>
      </c>
      <c r="B36" s="3">
        <v>764.0</v>
      </c>
      <c r="C36" s="3">
        <v>1089.0</v>
      </c>
      <c r="D36" s="3">
        <v>1.0</v>
      </c>
      <c r="E36" s="1" t="s">
        <v>36</v>
      </c>
      <c r="F36" s="1" t="s">
        <v>41</v>
      </c>
      <c r="G36" s="3">
        <v>1.0</v>
      </c>
      <c r="H36" s="3">
        <v>0.0</v>
      </c>
      <c r="I36" s="1"/>
      <c r="J36" s="3">
        <v>836.0</v>
      </c>
    </row>
    <row r="37">
      <c r="A37" s="3">
        <v>765.0</v>
      </c>
      <c r="B37" s="3">
        <v>765.0</v>
      </c>
      <c r="C37" s="3">
        <v>1094.0</v>
      </c>
      <c r="D37" s="3">
        <v>1.0</v>
      </c>
      <c r="E37" s="1" t="s">
        <v>36</v>
      </c>
      <c r="F37" s="1" t="s">
        <v>42</v>
      </c>
      <c r="G37" s="3">
        <v>1.0</v>
      </c>
      <c r="H37" s="3">
        <v>0.0</v>
      </c>
      <c r="I37" s="1"/>
      <c r="J37" s="3">
        <v>836.0</v>
      </c>
    </row>
    <row r="38">
      <c r="A38" s="3">
        <v>766.0</v>
      </c>
      <c r="B38" s="3">
        <v>766.0</v>
      </c>
      <c r="C38" s="3">
        <v>1101.0</v>
      </c>
      <c r="D38" s="3">
        <v>1.0</v>
      </c>
      <c r="E38" s="2" t="s">
        <v>43</v>
      </c>
      <c r="F38" s="1"/>
      <c r="G38" s="3">
        <v>1.0</v>
      </c>
      <c r="H38" s="3">
        <v>0.0</v>
      </c>
      <c r="I38" s="1"/>
      <c r="J38" s="3">
        <v>836.0</v>
      </c>
    </row>
    <row r="39">
      <c r="A39" s="3">
        <v>767.0</v>
      </c>
      <c r="B39" s="3">
        <v>767.0</v>
      </c>
      <c r="C39" s="3">
        <v>1121.0</v>
      </c>
      <c r="D39" s="3">
        <v>1.0</v>
      </c>
      <c r="E39" s="1" t="s">
        <v>44</v>
      </c>
      <c r="F39" s="1" t="s">
        <v>45</v>
      </c>
      <c r="G39" s="3">
        <v>1.0</v>
      </c>
      <c r="H39" s="3">
        <v>0.0</v>
      </c>
      <c r="I39" s="1"/>
      <c r="J39" s="3">
        <v>836.0</v>
      </c>
    </row>
    <row r="40">
      <c r="A40" s="3">
        <v>768.0</v>
      </c>
      <c r="B40" s="3">
        <v>768.0</v>
      </c>
      <c r="C40" s="3">
        <v>1137.0</v>
      </c>
      <c r="D40" s="3">
        <v>1.0</v>
      </c>
      <c r="E40" s="2" t="s">
        <v>46</v>
      </c>
      <c r="F40" s="1"/>
      <c r="G40" s="3">
        <v>1.0</v>
      </c>
      <c r="H40" s="3">
        <v>0.0</v>
      </c>
      <c r="I40" s="1"/>
      <c r="J40" s="3">
        <v>836.0</v>
      </c>
    </row>
    <row r="41">
      <c r="A41" s="3">
        <v>769.0</v>
      </c>
      <c r="B41" s="3">
        <v>769.0</v>
      </c>
      <c r="C41" s="3">
        <v>753.0</v>
      </c>
      <c r="D41" s="3">
        <v>1.0</v>
      </c>
      <c r="E41" s="1" t="s">
        <v>31</v>
      </c>
      <c r="F41" s="1" t="s">
        <v>19</v>
      </c>
      <c r="G41" s="3">
        <v>1.0</v>
      </c>
      <c r="H41" s="3">
        <v>0.0</v>
      </c>
      <c r="I41" s="1"/>
      <c r="J41" s="3">
        <v>836.0</v>
      </c>
    </row>
    <row r="42">
      <c r="A42" s="3">
        <v>770.0</v>
      </c>
      <c r="B42" s="3">
        <v>770.0</v>
      </c>
      <c r="C42" s="3">
        <v>67.0</v>
      </c>
      <c r="D42" s="3">
        <v>1.0</v>
      </c>
      <c r="E42" s="1" t="s">
        <v>47</v>
      </c>
      <c r="F42" s="3">
        <v>7.0</v>
      </c>
      <c r="G42" s="3">
        <v>1.0</v>
      </c>
      <c r="H42" s="3">
        <v>0.0</v>
      </c>
      <c r="I42" s="1"/>
      <c r="J42" s="3">
        <v>836.0</v>
      </c>
    </row>
    <row r="43">
      <c r="A43" s="3">
        <v>771.0</v>
      </c>
      <c r="B43" s="3">
        <v>771.0</v>
      </c>
      <c r="C43" s="3">
        <v>0.0</v>
      </c>
      <c r="D43" s="3">
        <v>1.0</v>
      </c>
      <c r="E43" s="1" t="s">
        <v>10</v>
      </c>
      <c r="F43" s="3">
        <v>4.0</v>
      </c>
      <c r="G43" s="3">
        <v>1.0</v>
      </c>
      <c r="H43" s="3">
        <v>0.0</v>
      </c>
      <c r="I43" s="1"/>
      <c r="J43" s="3">
        <v>836.0</v>
      </c>
    </row>
    <row r="44">
      <c r="A44" s="3">
        <v>772.0</v>
      </c>
      <c r="B44" s="3">
        <v>772.0</v>
      </c>
      <c r="C44" s="3">
        <v>0.0</v>
      </c>
      <c r="D44" s="3">
        <v>1.0</v>
      </c>
      <c r="E44" s="1" t="s">
        <v>48</v>
      </c>
      <c r="F44" s="3">
        <v>1.0</v>
      </c>
      <c r="G44" s="3">
        <v>1.0</v>
      </c>
      <c r="H44" s="3">
        <v>0.0</v>
      </c>
      <c r="I44" s="1"/>
      <c r="J44" s="3">
        <v>836.0</v>
      </c>
    </row>
    <row r="45">
      <c r="A45" s="3">
        <v>773.0</v>
      </c>
      <c r="B45" s="3">
        <v>773.0</v>
      </c>
      <c r="C45" s="3">
        <v>0.0</v>
      </c>
      <c r="D45" s="3">
        <v>1.0</v>
      </c>
      <c r="E45" s="1" t="s">
        <v>49</v>
      </c>
      <c r="F45" s="3">
        <v>1.0</v>
      </c>
      <c r="G45" s="3">
        <v>1.0</v>
      </c>
      <c r="H45" s="3">
        <v>0.0</v>
      </c>
      <c r="I45" s="1"/>
      <c r="J45" s="3">
        <v>836.0</v>
      </c>
    </row>
    <row r="46">
      <c r="A46" s="3">
        <v>774.0</v>
      </c>
      <c r="B46" s="3">
        <v>774.0</v>
      </c>
      <c r="C46" s="3">
        <v>0.0</v>
      </c>
      <c r="D46" s="3">
        <v>1.0</v>
      </c>
      <c r="E46" s="1" t="s">
        <v>49</v>
      </c>
      <c r="F46" s="3">
        <v>2.0</v>
      </c>
      <c r="G46" s="3">
        <v>1.0</v>
      </c>
      <c r="H46" s="3">
        <v>0.0</v>
      </c>
      <c r="I46" s="1"/>
      <c r="J46" s="3">
        <v>836.0</v>
      </c>
    </row>
    <row r="47">
      <c r="A47" s="3">
        <v>775.0</v>
      </c>
      <c r="B47" s="3">
        <v>775.0</v>
      </c>
      <c r="C47" s="3">
        <v>0.0</v>
      </c>
      <c r="D47" s="3">
        <v>1.0</v>
      </c>
      <c r="E47" s="1" t="s">
        <v>49</v>
      </c>
      <c r="F47" s="3">
        <v>3.0</v>
      </c>
      <c r="G47" s="3">
        <v>1.0</v>
      </c>
      <c r="H47" s="3">
        <v>0.0</v>
      </c>
      <c r="I47" s="1"/>
      <c r="J47" s="3">
        <v>836.0</v>
      </c>
    </row>
    <row r="48">
      <c r="A48" s="3">
        <v>776.0</v>
      </c>
      <c r="B48" s="3">
        <v>776.0</v>
      </c>
      <c r="C48" s="3">
        <v>0.0</v>
      </c>
      <c r="D48" s="3">
        <v>1.0</v>
      </c>
      <c r="E48" s="2" t="s">
        <v>50</v>
      </c>
      <c r="F48" s="1"/>
      <c r="G48" s="3">
        <v>1.0</v>
      </c>
      <c r="H48" s="3">
        <v>0.0</v>
      </c>
      <c r="I48" s="1"/>
      <c r="J48" s="3">
        <v>836.0</v>
      </c>
    </row>
    <row r="49">
      <c r="A49" s="3">
        <v>777.0</v>
      </c>
      <c r="B49" s="3">
        <v>777.0</v>
      </c>
      <c r="C49" s="3">
        <v>234.0</v>
      </c>
      <c r="D49" s="3">
        <v>1.0</v>
      </c>
      <c r="E49" s="2" t="s">
        <v>51</v>
      </c>
      <c r="F49" s="1"/>
      <c r="G49" s="3">
        <v>1.0</v>
      </c>
      <c r="H49" s="3">
        <v>0.0</v>
      </c>
      <c r="I49" s="1"/>
      <c r="J49" s="3">
        <v>836.0</v>
      </c>
    </row>
    <row r="50">
      <c r="A50" s="3">
        <v>778.0</v>
      </c>
      <c r="B50" s="3">
        <v>778.0</v>
      </c>
      <c r="C50" s="3">
        <v>0.0</v>
      </c>
      <c r="D50" s="3">
        <v>1.0</v>
      </c>
      <c r="E50" s="1" t="s">
        <v>52</v>
      </c>
      <c r="F50" s="1"/>
      <c r="G50" s="3">
        <v>1.0</v>
      </c>
      <c r="H50" s="3">
        <v>0.0</v>
      </c>
      <c r="I50" s="1"/>
      <c r="J50" s="3">
        <v>836.0</v>
      </c>
    </row>
    <row r="51">
      <c r="A51" s="3">
        <v>779.0</v>
      </c>
      <c r="B51" s="3">
        <v>779.0</v>
      </c>
      <c r="C51" s="3">
        <v>0.0</v>
      </c>
      <c r="D51" s="3">
        <v>1.0</v>
      </c>
      <c r="E51" s="2" t="s">
        <v>53</v>
      </c>
      <c r="F51" s="1"/>
      <c r="G51" s="3">
        <v>1.0</v>
      </c>
      <c r="H51" s="3">
        <v>0.0</v>
      </c>
      <c r="I51" s="1"/>
      <c r="J51" s="3">
        <v>836.0</v>
      </c>
    </row>
    <row r="52">
      <c r="A52" s="3">
        <v>780.0</v>
      </c>
      <c r="B52" s="3">
        <v>780.0</v>
      </c>
      <c r="C52" s="3">
        <v>0.0</v>
      </c>
      <c r="D52" s="3">
        <v>1.0</v>
      </c>
      <c r="E52" s="1" t="s">
        <v>54</v>
      </c>
      <c r="F52" s="1"/>
      <c r="G52" s="3">
        <v>1.0</v>
      </c>
      <c r="H52" s="3">
        <v>0.0</v>
      </c>
      <c r="I52" s="1"/>
      <c r="J52" s="3">
        <v>836.0</v>
      </c>
    </row>
    <row r="53">
      <c r="A53" s="3">
        <v>781.0</v>
      </c>
      <c r="B53" s="3">
        <v>781.0</v>
      </c>
      <c r="C53" s="3">
        <v>0.0</v>
      </c>
      <c r="D53" s="3">
        <v>1.0</v>
      </c>
      <c r="E53" s="1" t="s">
        <v>55</v>
      </c>
      <c r="F53" s="1"/>
      <c r="G53" s="3">
        <v>1.0</v>
      </c>
      <c r="H53" s="3">
        <v>0.0</v>
      </c>
      <c r="I53" s="1"/>
      <c r="J53" s="3">
        <v>836.0</v>
      </c>
    </row>
    <row r="54">
      <c r="A54" s="3">
        <v>782.0</v>
      </c>
      <c r="B54" s="3">
        <v>782.0</v>
      </c>
      <c r="C54" s="3">
        <v>0.0</v>
      </c>
      <c r="D54" s="3">
        <v>1.0</v>
      </c>
      <c r="E54" s="1" t="s">
        <v>56</v>
      </c>
      <c r="F54" s="1"/>
      <c r="G54" s="3">
        <v>1.0</v>
      </c>
      <c r="H54" s="3">
        <v>0.0</v>
      </c>
      <c r="I54" s="1"/>
      <c r="J54" s="3">
        <v>836.0</v>
      </c>
    </row>
    <row r="55">
      <c r="A55" s="3">
        <v>783.0</v>
      </c>
      <c r="B55" s="3">
        <v>783.0</v>
      </c>
      <c r="C55" s="3">
        <v>175.0</v>
      </c>
      <c r="D55" s="3">
        <v>1.0</v>
      </c>
      <c r="E55" s="1" t="s">
        <v>57</v>
      </c>
      <c r="F55" s="1" t="s">
        <v>58</v>
      </c>
      <c r="G55" s="3">
        <v>1.0</v>
      </c>
      <c r="H55" s="3">
        <v>0.0</v>
      </c>
      <c r="I55" s="1"/>
      <c r="J55" s="3">
        <v>836.0</v>
      </c>
    </row>
    <row r="56">
      <c r="A56" s="3">
        <v>784.0</v>
      </c>
      <c r="B56" s="3">
        <v>784.0</v>
      </c>
      <c r="C56" s="3">
        <v>175.0</v>
      </c>
      <c r="D56" s="3">
        <v>1.0</v>
      </c>
      <c r="E56" s="1" t="s">
        <v>57</v>
      </c>
      <c r="F56" s="1" t="s">
        <v>59</v>
      </c>
      <c r="G56" s="3">
        <v>1.0</v>
      </c>
      <c r="H56" s="3">
        <v>0.0</v>
      </c>
      <c r="I56" s="1"/>
      <c r="J56" s="3">
        <v>836.0</v>
      </c>
    </row>
    <row r="57">
      <c r="A57" s="3">
        <v>785.0</v>
      </c>
      <c r="B57" s="3">
        <v>785.0</v>
      </c>
      <c r="C57" s="3">
        <v>175.0</v>
      </c>
      <c r="D57" s="3">
        <v>1.0</v>
      </c>
      <c r="E57" s="1" t="s">
        <v>57</v>
      </c>
      <c r="F57" s="1" t="s">
        <v>60</v>
      </c>
      <c r="G57" s="3">
        <v>1.0</v>
      </c>
      <c r="H57" s="3">
        <v>0.0</v>
      </c>
      <c r="I57" s="1"/>
      <c r="J57" s="3">
        <v>836.0</v>
      </c>
    </row>
    <row r="58">
      <c r="A58" s="3">
        <v>786.0</v>
      </c>
      <c r="B58" s="3">
        <v>786.0</v>
      </c>
      <c r="C58" s="3">
        <v>0.0</v>
      </c>
      <c r="D58" s="3">
        <v>1.0</v>
      </c>
      <c r="E58" s="1" t="s">
        <v>61</v>
      </c>
      <c r="F58" s="1" t="s">
        <v>62</v>
      </c>
      <c r="G58" s="3">
        <v>1.0</v>
      </c>
      <c r="H58" s="3">
        <v>0.0</v>
      </c>
      <c r="I58" s="1"/>
      <c r="J58" s="3">
        <v>836.0</v>
      </c>
    </row>
    <row r="59">
      <c r="A59" s="3">
        <v>787.0</v>
      </c>
      <c r="B59" s="3">
        <v>787.0</v>
      </c>
      <c r="C59" s="3">
        <v>165.0</v>
      </c>
      <c r="D59" s="3">
        <v>1.0</v>
      </c>
      <c r="E59" s="1" t="s">
        <v>61</v>
      </c>
      <c r="F59" s="1" t="s">
        <v>63</v>
      </c>
      <c r="G59" s="3">
        <v>1.0</v>
      </c>
      <c r="H59" s="3">
        <v>0.0</v>
      </c>
      <c r="I59" s="1"/>
      <c r="J59" s="3">
        <v>836.0</v>
      </c>
    </row>
    <row r="60">
      <c r="A60" s="3">
        <v>788.0</v>
      </c>
      <c r="B60" s="3">
        <v>788.0</v>
      </c>
      <c r="C60" s="3">
        <v>0.0</v>
      </c>
      <c r="D60" s="3">
        <v>1.0</v>
      </c>
      <c r="E60" s="1" t="s">
        <v>61</v>
      </c>
      <c r="F60" s="1" t="s">
        <v>64</v>
      </c>
      <c r="G60" s="3">
        <v>1.0</v>
      </c>
      <c r="H60" s="3">
        <v>0.0</v>
      </c>
      <c r="I60" s="1"/>
      <c r="J60" s="3">
        <v>836.0</v>
      </c>
    </row>
    <row r="61">
      <c r="A61" s="3">
        <v>789.0</v>
      </c>
      <c r="B61" s="3">
        <v>789.0</v>
      </c>
      <c r="C61" s="3">
        <v>0.0</v>
      </c>
      <c r="D61" s="3">
        <v>1.0</v>
      </c>
      <c r="E61" s="1" t="s">
        <v>61</v>
      </c>
      <c r="F61" s="1" t="s">
        <v>65</v>
      </c>
      <c r="G61" s="3">
        <v>1.0</v>
      </c>
      <c r="H61" s="3">
        <v>0.0</v>
      </c>
      <c r="I61" s="1"/>
      <c r="J61" s="3">
        <v>836.0</v>
      </c>
    </row>
    <row r="62">
      <c r="A62" s="3">
        <v>790.0</v>
      </c>
      <c r="B62" s="3">
        <v>790.0</v>
      </c>
      <c r="C62" s="3">
        <v>0.0</v>
      </c>
      <c r="D62" s="3">
        <v>1.0</v>
      </c>
      <c r="E62" s="1" t="s">
        <v>66</v>
      </c>
      <c r="F62" s="3">
        <v>1.0</v>
      </c>
      <c r="G62" s="3">
        <v>1.0</v>
      </c>
      <c r="H62" s="3">
        <v>0.0</v>
      </c>
      <c r="I62" s="1"/>
      <c r="J62" s="3">
        <v>836.0</v>
      </c>
    </row>
    <row r="63">
      <c r="A63" s="3">
        <v>791.0</v>
      </c>
      <c r="B63" s="3">
        <v>791.0</v>
      </c>
      <c r="C63" s="3">
        <v>0.0</v>
      </c>
      <c r="D63" s="3">
        <v>1.0</v>
      </c>
      <c r="E63" s="1" t="s">
        <v>66</v>
      </c>
      <c r="F63" s="3">
        <v>2.0</v>
      </c>
      <c r="G63" s="3">
        <v>1.0</v>
      </c>
      <c r="H63" s="3">
        <v>0.0</v>
      </c>
      <c r="I63" s="1"/>
      <c r="J63" s="3">
        <v>836.0</v>
      </c>
    </row>
    <row r="64">
      <c r="A64" s="3">
        <v>792.0</v>
      </c>
      <c r="B64" s="3">
        <v>792.0</v>
      </c>
      <c r="C64" s="3">
        <v>0.0</v>
      </c>
      <c r="D64" s="3">
        <v>1.0</v>
      </c>
      <c r="E64" s="1" t="s">
        <v>66</v>
      </c>
      <c r="F64" s="3">
        <v>3.0</v>
      </c>
      <c r="G64" s="3">
        <v>1.0</v>
      </c>
      <c r="H64" s="3">
        <v>0.0</v>
      </c>
      <c r="I64" s="1"/>
      <c r="J64" s="3">
        <v>836.0</v>
      </c>
    </row>
    <row r="65">
      <c r="A65" s="3">
        <v>793.0</v>
      </c>
      <c r="B65" s="3">
        <v>793.0</v>
      </c>
      <c r="C65" s="3">
        <v>0.0</v>
      </c>
      <c r="D65" s="3">
        <v>1.0</v>
      </c>
      <c r="E65" s="1" t="s">
        <v>66</v>
      </c>
      <c r="F65" s="3">
        <v>4.0</v>
      </c>
      <c r="G65" s="3">
        <v>1.0</v>
      </c>
      <c r="H65" s="3">
        <v>0.0</v>
      </c>
      <c r="I65" s="1"/>
      <c r="J65" s="3">
        <v>836.0</v>
      </c>
    </row>
    <row r="66">
      <c r="A66" s="3">
        <v>794.0</v>
      </c>
      <c r="B66" s="3">
        <v>794.0</v>
      </c>
      <c r="C66" s="3">
        <v>0.0</v>
      </c>
      <c r="D66" s="3">
        <v>1.0</v>
      </c>
      <c r="E66" s="1" t="s">
        <v>67</v>
      </c>
      <c r="F66" s="3">
        <v>3.0</v>
      </c>
      <c r="G66" s="3">
        <v>1.0</v>
      </c>
      <c r="H66" s="3">
        <v>0.0</v>
      </c>
      <c r="I66" s="1"/>
      <c r="J66" s="3">
        <v>836.0</v>
      </c>
    </row>
    <row r="67">
      <c r="A67" s="3">
        <v>795.0</v>
      </c>
      <c r="B67" s="3">
        <v>795.0</v>
      </c>
      <c r="C67" s="3">
        <v>0.0</v>
      </c>
      <c r="D67" s="3">
        <v>1.0</v>
      </c>
      <c r="E67" s="1" t="s">
        <v>68</v>
      </c>
      <c r="F67" s="1" t="s">
        <v>69</v>
      </c>
      <c r="G67" s="3">
        <v>1.0</v>
      </c>
      <c r="H67" s="3">
        <v>0.0</v>
      </c>
      <c r="I67" s="1"/>
      <c r="J67" s="3">
        <v>836.0</v>
      </c>
    </row>
    <row r="68">
      <c r="A68" s="3">
        <v>796.0</v>
      </c>
      <c r="B68" s="3">
        <v>796.0</v>
      </c>
      <c r="C68" s="3">
        <v>756.0</v>
      </c>
      <c r="D68" s="3">
        <v>1.0</v>
      </c>
      <c r="E68" s="1" t="s">
        <v>70</v>
      </c>
      <c r="F68" s="1" t="s">
        <v>19</v>
      </c>
      <c r="G68" s="3">
        <v>1.0</v>
      </c>
      <c r="H68" s="3">
        <v>0.0</v>
      </c>
      <c r="I68" s="1"/>
      <c r="J68" s="3">
        <v>836.0</v>
      </c>
    </row>
    <row r="69">
      <c r="A69" s="3">
        <v>797.0</v>
      </c>
      <c r="B69" s="3">
        <v>797.0</v>
      </c>
      <c r="C69" s="3">
        <v>0.0</v>
      </c>
      <c r="D69" s="3">
        <v>1.0</v>
      </c>
      <c r="E69" s="1" t="s">
        <v>57</v>
      </c>
      <c r="F69" s="1" t="s">
        <v>71</v>
      </c>
      <c r="G69" s="3">
        <v>1.0</v>
      </c>
      <c r="H69" s="3">
        <v>0.0</v>
      </c>
      <c r="I69" s="1"/>
      <c r="J69" s="3">
        <v>836.0</v>
      </c>
    </row>
    <row r="70">
      <c r="A70" s="3">
        <v>798.0</v>
      </c>
      <c r="B70" s="3">
        <v>798.0</v>
      </c>
      <c r="C70" s="3">
        <v>0.0</v>
      </c>
      <c r="D70" s="3">
        <v>1.0</v>
      </c>
      <c r="E70" s="1" t="s">
        <v>57</v>
      </c>
      <c r="F70" s="1" t="s">
        <v>72</v>
      </c>
      <c r="G70" s="3">
        <v>1.0</v>
      </c>
      <c r="H70" s="3">
        <v>0.0</v>
      </c>
      <c r="I70" s="1"/>
      <c r="J70" s="3">
        <v>836.0</v>
      </c>
    </row>
    <row r="71">
      <c r="A71" s="3">
        <v>800.0</v>
      </c>
      <c r="B71" s="3">
        <v>800.0</v>
      </c>
      <c r="C71" s="3">
        <v>0.0</v>
      </c>
      <c r="D71" s="3">
        <v>1.0</v>
      </c>
      <c r="E71" s="1" t="s">
        <v>73</v>
      </c>
      <c r="F71" s="3">
        <v>1.0</v>
      </c>
      <c r="G71" s="3">
        <v>1.0</v>
      </c>
      <c r="H71" s="3">
        <v>0.0</v>
      </c>
      <c r="I71" s="1"/>
      <c r="J71" s="3">
        <v>836.0</v>
      </c>
    </row>
    <row r="72">
      <c r="A72" s="3">
        <v>801.0</v>
      </c>
      <c r="B72" s="3">
        <v>801.0</v>
      </c>
      <c r="C72" s="3">
        <v>0.0</v>
      </c>
      <c r="D72" s="3">
        <v>1.0</v>
      </c>
      <c r="E72" s="1" t="s">
        <v>74</v>
      </c>
      <c r="F72" s="3">
        <v>2.0</v>
      </c>
      <c r="G72" s="3">
        <v>1.0</v>
      </c>
      <c r="H72" s="3">
        <v>0.0</v>
      </c>
      <c r="I72" s="1"/>
      <c r="J72" s="3">
        <v>836.0</v>
      </c>
    </row>
    <row r="73">
      <c r="A73" s="3">
        <v>802.0</v>
      </c>
      <c r="B73" s="3">
        <v>802.0</v>
      </c>
      <c r="C73" s="3">
        <v>0.0</v>
      </c>
      <c r="D73" s="3">
        <v>1.0</v>
      </c>
      <c r="E73" s="1" t="s">
        <v>74</v>
      </c>
      <c r="F73" s="3">
        <v>3.0</v>
      </c>
      <c r="G73" s="3">
        <v>1.0</v>
      </c>
      <c r="H73" s="3">
        <v>0.0</v>
      </c>
      <c r="I73" s="1"/>
      <c r="J73" s="3">
        <v>836.0</v>
      </c>
    </row>
    <row r="74">
      <c r="A74" s="3">
        <v>803.0</v>
      </c>
      <c r="B74" s="3">
        <v>803.0</v>
      </c>
      <c r="C74" s="3">
        <v>0.0</v>
      </c>
      <c r="D74" s="3">
        <v>1.0</v>
      </c>
      <c r="E74" s="1" t="s">
        <v>74</v>
      </c>
      <c r="F74" s="3">
        <v>4.0</v>
      </c>
      <c r="G74" s="3">
        <v>1.0</v>
      </c>
      <c r="H74" s="3">
        <v>0.0</v>
      </c>
      <c r="I74" s="1"/>
      <c r="J74" s="3">
        <v>836.0</v>
      </c>
    </row>
    <row r="75">
      <c r="A75" s="3">
        <v>804.0</v>
      </c>
      <c r="B75" s="3">
        <v>804.0</v>
      </c>
      <c r="C75" s="3">
        <v>0.0</v>
      </c>
      <c r="D75" s="3">
        <v>1.0</v>
      </c>
      <c r="E75" s="1" t="s">
        <v>74</v>
      </c>
      <c r="F75" s="3">
        <v>5.0</v>
      </c>
      <c r="G75" s="3">
        <v>1.0</v>
      </c>
      <c r="H75" s="3">
        <v>0.0</v>
      </c>
      <c r="I75" s="1"/>
      <c r="J75" s="3">
        <v>836.0</v>
      </c>
    </row>
    <row r="76">
      <c r="A76" s="3">
        <v>805.0</v>
      </c>
      <c r="B76" s="3">
        <v>805.0</v>
      </c>
      <c r="C76" s="3">
        <v>0.0</v>
      </c>
      <c r="D76" s="3">
        <v>1.0</v>
      </c>
      <c r="E76" s="1" t="s">
        <v>74</v>
      </c>
      <c r="F76" s="3">
        <v>6.0</v>
      </c>
      <c r="G76" s="3">
        <v>1.0</v>
      </c>
      <c r="H76" s="3">
        <v>0.0</v>
      </c>
      <c r="I76" s="1"/>
      <c r="J76" s="3">
        <v>836.0</v>
      </c>
    </row>
    <row r="77">
      <c r="A77" s="3">
        <v>806.0</v>
      </c>
      <c r="B77" s="3">
        <v>806.0</v>
      </c>
      <c r="C77" s="3">
        <v>0.0</v>
      </c>
      <c r="D77" s="3">
        <v>1.0</v>
      </c>
      <c r="E77" s="1" t="s">
        <v>74</v>
      </c>
      <c r="F77" s="3">
        <v>7.0</v>
      </c>
      <c r="G77" s="3">
        <v>1.0</v>
      </c>
      <c r="H77" s="3">
        <v>0.0</v>
      </c>
      <c r="I77" s="1"/>
      <c r="J77" s="3">
        <v>836.0</v>
      </c>
    </row>
    <row r="78">
      <c r="A78" s="3">
        <v>807.0</v>
      </c>
      <c r="B78" s="3">
        <v>807.0</v>
      </c>
      <c r="C78" s="3">
        <v>0.0</v>
      </c>
      <c r="D78" s="3">
        <v>1.0</v>
      </c>
      <c r="E78" s="1" t="s">
        <v>74</v>
      </c>
      <c r="F78" s="3">
        <v>8.0</v>
      </c>
      <c r="G78" s="3">
        <v>1.0</v>
      </c>
      <c r="H78" s="3">
        <v>0.0</v>
      </c>
      <c r="I78" s="1"/>
      <c r="J78" s="3">
        <v>836.0</v>
      </c>
    </row>
    <row r="79">
      <c r="A79" s="3">
        <v>808.0</v>
      </c>
      <c r="B79" s="3">
        <v>808.0</v>
      </c>
      <c r="C79" s="3">
        <v>0.0</v>
      </c>
      <c r="D79" s="3">
        <v>1.0</v>
      </c>
      <c r="E79" s="1" t="s">
        <v>74</v>
      </c>
      <c r="F79" s="3">
        <v>9.0</v>
      </c>
      <c r="G79" s="3">
        <v>1.0</v>
      </c>
      <c r="H79" s="3">
        <v>0.0</v>
      </c>
      <c r="I79" s="1"/>
      <c r="J79" s="3">
        <v>836.0</v>
      </c>
    </row>
    <row r="80">
      <c r="A80" s="3">
        <v>809.0</v>
      </c>
      <c r="B80" s="3">
        <v>809.0</v>
      </c>
      <c r="C80" s="3">
        <v>0.0</v>
      </c>
      <c r="D80" s="3">
        <v>1.0</v>
      </c>
      <c r="E80" s="1" t="s">
        <v>74</v>
      </c>
      <c r="F80" s="3">
        <v>10.0</v>
      </c>
      <c r="G80" s="3">
        <v>1.0</v>
      </c>
      <c r="H80" s="3">
        <v>0.0</v>
      </c>
      <c r="I80" s="1"/>
      <c r="J80" s="3">
        <v>836.0</v>
      </c>
    </row>
    <row r="81">
      <c r="A81" s="3">
        <v>810.0</v>
      </c>
      <c r="B81" s="3">
        <v>810.0</v>
      </c>
      <c r="C81" s="3">
        <v>0.0</v>
      </c>
      <c r="D81" s="3">
        <v>1.0</v>
      </c>
      <c r="E81" s="1" t="s">
        <v>74</v>
      </c>
      <c r="F81" s="3">
        <v>11.0</v>
      </c>
      <c r="G81" s="3">
        <v>1.0</v>
      </c>
      <c r="H81" s="3">
        <v>0.0</v>
      </c>
      <c r="I81" s="1"/>
      <c r="J81" s="3">
        <v>836.0</v>
      </c>
    </row>
    <row r="82">
      <c r="A82" s="3">
        <v>811.0</v>
      </c>
      <c r="B82" s="3">
        <v>811.0</v>
      </c>
      <c r="C82" s="3">
        <v>0.0</v>
      </c>
      <c r="D82" s="3">
        <v>1.0</v>
      </c>
      <c r="E82" s="1" t="s">
        <v>74</v>
      </c>
      <c r="F82" s="3">
        <v>12.0</v>
      </c>
      <c r="G82" s="3">
        <v>1.0</v>
      </c>
      <c r="H82" s="3">
        <v>0.0</v>
      </c>
      <c r="I82" s="1"/>
      <c r="J82" s="3">
        <v>836.0</v>
      </c>
    </row>
    <row r="83">
      <c r="A83" s="3">
        <v>812.0</v>
      </c>
      <c r="B83" s="3">
        <v>812.0</v>
      </c>
      <c r="C83" s="3">
        <v>0.0</v>
      </c>
      <c r="D83" s="3">
        <v>1.0</v>
      </c>
      <c r="E83" s="1" t="s">
        <v>74</v>
      </c>
      <c r="F83" s="3">
        <v>13.0</v>
      </c>
      <c r="G83" s="3">
        <v>1.0</v>
      </c>
      <c r="H83" s="3">
        <v>0.0</v>
      </c>
      <c r="I83" s="1"/>
      <c r="J83" s="3">
        <v>836.0</v>
      </c>
    </row>
    <row r="84">
      <c r="A84" s="3">
        <v>813.0</v>
      </c>
      <c r="B84" s="3">
        <v>813.0</v>
      </c>
      <c r="C84" s="3">
        <v>0.0</v>
      </c>
      <c r="D84" s="3">
        <v>1.0</v>
      </c>
      <c r="E84" s="1" t="s">
        <v>74</v>
      </c>
      <c r="F84" s="3">
        <v>14.0</v>
      </c>
      <c r="G84" s="3">
        <v>1.0</v>
      </c>
      <c r="H84" s="3">
        <v>0.0</v>
      </c>
      <c r="I84" s="1"/>
      <c r="J84" s="3">
        <v>836.0</v>
      </c>
    </row>
    <row r="85">
      <c r="A85" s="3">
        <v>814.0</v>
      </c>
      <c r="B85" s="3">
        <v>814.0</v>
      </c>
      <c r="C85" s="3">
        <v>0.0</v>
      </c>
      <c r="D85" s="3">
        <v>1.0</v>
      </c>
      <c r="E85" s="1" t="s">
        <v>74</v>
      </c>
      <c r="F85" s="3">
        <v>15.0</v>
      </c>
      <c r="G85" s="3">
        <v>1.0</v>
      </c>
      <c r="H85" s="3">
        <v>0.0</v>
      </c>
      <c r="I85" s="1"/>
      <c r="J85" s="3">
        <v>836.0</v>
      </c>
    </row>
    <row r="86">
      <c r="A86" s="3">
        <v>815.0</v>
      </c>
      <c r="B86" s="3">
        <v>815.0</v>
      </c>
      <c r="C86" s="3">
        <v>0.0</v>
      </c>
      <c r="D86" s="3">
        <v>1.0</v>
      </c>
      <c r="E86" s="1" t="s">
        <v>74</v>
      </c>
      <c r="F86" s="3">
        <v>16.0</v>
      </c>
      <c r="G86" s="3">
        <v>1.0</v>
      </c>
      <c r="H86" s="3">
        <v>0.0</v>
      </c>
      <c r="I86" s="1"/>
      <c r="J86" s="3">
        <v>836.0</v>
      </c>
    </row>
    <row r="87">
      <c r="A87" s="3">
        <v>816.0</v>
      </c>
      <c r="B87" s="3">
        <v>816.0</v>
      </c>
      <c r="C87" s="3">
        <v>0.0</v>
      </c>
      <c r="D87" s="3">
        <v>1.0</v>
      </c>
      <c r="E87" s="1" t="s">
        <v>74</v>
      </c>
      <c r="F87" s="3">
        <v>17.0</v>
      </c>
      <c r="G87" s="3">
        <v>1.0</v>
      </c>
      <c r="H87" s="3">
        <v>0.0</v>
      </c>
      <c r="I87" s="1"/>
      <c r="J87" s="3">
        <v>836.0</v>
      </c>
    </row>
    <row r="88">
      <c r="A88" s="3">
        <v>817.0</v>
      </c>
      <c r="B88" s="3">
        <v>817.0</v>
      </c>
      <c r="C88" s="3">
        <v>0.0</v>
      </c>
      <c r="D88" s="3">
        <v>1.0</v>
      </c>
      <c r="E88" s="1" t="s">
        <v>74</v>
      </c>
      <c r="F88" s="3">
        <v>18.0</v>
      </c>
      <c r="G88" s="3">
        <v>1.0</v>
      </c>
      <c r="H88" s="3">
        <v>0.0</v>
      </c>
      <c r="I88" s="1"/>
      <c r="J88" s="3">
        <v>836.0</v>
      </c>
    </row>
    <row r="89">
      <c r="A89" s="3">
        <v>818.0</v>
      </c>
      <c r="B89" s="3">
        <v>818.0</v>
      </c>
      <c r="C89" s="3">
        <v>0.0</v>
      </c>
      <c r="D89" s="3">
        <v>1.0</v>
      </c>
      <c r="E89" s="1" t="s">
        <v>74</v>
      </c>
      <c r="F89" s="3">
        <v>19.0</v>
      </c>
      <c r="G89" s="3">
        <v>1.0</v>
      </c>
      <c r="H89" s="3">
        <v>0.0</v>
      </c>
      <c r="I89" s="1"/>
      <c r="J89" s="3">
        <v>836.0</v>
      </c>
    </row>
    <row r="90">
      <c r="A90" s="3">
        <v>819.0</v>
      </c>
      <c r="B90" s="3">
        <v>819.0</v>
      </c>
      <c r="C90" s="3">
        <v>0.0</v>
      </c>
      <c r="D90" s="3">
        <v>1.0</v>
      </c>
      <c r="E90" s="1" t="s">
        <v>74</v>
      </c>
      <c r="F90" s="3">
        <v>20.0</v>
      </c>
      <c r="G90" s="3">
        <v>1.0</v>
      </c>
      <c r="H90" s="3">
        <v>0.0</v>
      </c>
      <c r="I90" s="1"/>
      <c r="J90" s="3">
        <v>836.0</v>
      </c>
    </row>
    <row r="91">
      <c r="A91" s="3">
        <v>820.0</v>
      </c>
      <c r="B91" s="3">
        <v>820.0</v>
      </c>
      <c r="C91" s="3">
        <v>0.0</v>
      </c>
      <c r="D91" s="3">
        <v>1.0</v>
      </c>
      <c r="E91" s="1" t="s">
        <v>74</v>
      </c>
      <c r="F91" s="3">
        <v>21.0</v>
      </c>
      <c r="G91" s="3">
        <v>1.0</v>
      </c>
      <c r="H91" s="3">
        <v>0.0</v>
      </c>
      <c r="I91" s="1"/>
      <c r="J91" s="3">
        <v>836.0</v>
      </c>
    </row>
    <row r="92">
      <c r="A92" s="3">
        <v>821.0</v>
      </c>
      <c r="B92" s="3">
        <v>821.0</v>
      </c>
      <c r="C92" s="3">
        <v>0.0</v>
      </c>
      <c r="D92" s="3">
        <v>1.0</v>
      </c>
      <c r="E92" s="1" t="s">
        <v>74</v>
      </c>
      <c r="F92" s="3">
        <v>22.0</v>
      </c>
      <c r="G92" s="3">
        <v>1.0</v>
      </c>
      <c r="H92" s="3">
        <v>0.0</v>
      </c>
      <c r="I92" s="1"/>
      <c r="J92" s="3">
        <v>836.0</v>
      </c>
    </row>
    <row r="93">
      <c r="A93" s="3">
        <v>822.0</v>
      </c>
      <c r="B93" s="3">
        <v>822.0</v>
      </c>
      <c r="C93" s="3">
        <v>0.0</v>
      </c>
      <c r="D93" s="3">
        <v>1.0</v>
      </c>
      <c r="E93" s="1" t="s">
        <v>74</v>
      </c>
      <c r="F93" s="3">
        <v>23.0</v>
      </c>
      <c r="G93" s="3">
        <v>1.0</v>
      </c>
      <c r="H93" s="3">
        <v>0.0</v>
      </c>
      <c r="I93" s="1"/>
      <c r="J93" s="3">
        <v>836.0</v>
      </c>
    </row>
    <row r="94">
      <c r="A94" s="3">
        <v>823.0</v>
      </c>
      <c r="B94" s="3">
        <v>823.0</v>
      </c>
      <c r="C94" s="3">
        <v>0.0</v>
      </c>
      <c r="D94" s="3">
        <v>1.0</v>
      </c>
      <c r="E94" s="1" t="s">
        <v>74</v>
      </c>
      <c r="F94" s="3">
        <v>24.0</v>
      </c>
      <c r="G94" s="3">
        <v>1.0</v>
      </c>
      <c r="H94" s="3">
        <v>0.0</v>
      </c>
      <c r="I94" s="1"/>
      <c r="J94" s="3">
        <v>836.0</v>
      </c>
    </row>
    <row r="95">
      <c r="A95" s="3">
        <v>824.0</v>
      </c>
      <c r="B95" s="3">
        <v>824.0</v>
      </c>
      <c r="C95" s="3">
        <v>0.0</v>
      </c>
      <c r="D95" s="3">
        <v>1.0</v>
      </c>
      <c r="E95" s="1" t="s">
        <v>74</v>
      </c>
      <c r="F95" s="3">
        <v>25.0</v>
      </c>
      <c r="G95" s="3">
        <v>1.0</v>
      </c>
      <c r="H95" s="3">
        <v>0.0</v>
      </c>
      <c r="I95" s="1"/>
      <c r="J95" s="3">
        <v>836.0</v>
      </c>
    </row>
    <row r="96">
      <c r="A96" s="3">
        <v>825.0</v>
      </c>
      <c r="B96" s="3">
        <v>825.0</v>
      </c>
      <c r="C96" s="3">
        <v>0.0</v>
      </c>
      <c r="D96" s="3">
        <v>1.0</v>
      </c>
      <c r="E96" s="1" t="s">
        <v>74</v>
      </c>
      <c r="F96" s="3">
        <v>26.0</v>
      </c>
      <c r="G96" s="3">
        <v>1.0</v>
      </c>
      <c r="H96" s="3">
        <v>0.0</v>
      </c>
      <c r="I96" s="1"/>
      <c r="J96" s="3">
        <v>836.0</v>
      </c>
    </row>
    <row r="97">
      <c r="A97" s="3">
        <v>826.0</v>
      </c>
      <c r="B97" s="3">
        <v>826.0</v>
      </c>
      <c r="C97" s="3">
        <v>0.0</v>
      </c>
      <c r="D97" s="3">
        <v>1.0</v>
      </c>
      <c r="E97" s="1" t="s">
        <v>74</v>
      </c>
      <c r="F97" s="3">
        <v>27.0</v>
      </c>
      <c r="G97" s="3">
        <v>1.0</v>
      </c>
      <c r="H97" s="3">
        <v>0.0</v>
      </c>
      <c r="I97" s="1"/>
      <c r="J97" s="3">
        <v>836.0</v>
      </c>
    </row>
    <row r="98">
      <c r="A98" s="3">
        <v>827.0</v>
      </c>
      <c r="B98" s="3">
        <v>827.0</v>
      </c>
      <c r="C98" s="3">
        <v>0.0</v>
      </c>
      <c r="D98" s="3">
        <v>1.0</v>
      </c>
      <c r="E98" s="1" t="s">
        <v>74</v>
      </c>
      <c r="F98" s="3">
        <v>28.0</v>
      </c>
      <c r="G98" s="3">
        <v>1.0</v>
      </c>
      <c r="H98" s="3">
        <v>0.0</v>
      </c>
      <c r="I98" s="1"/>
      <c r="J98" s="3">
        <v>836.0</v>
      </c>
    </row>
    <row r="99">
      <c r="A99" s="3">
        <v>828.0</v>
      </c>
      <c r="B99" s="3">
        <v>828.0</v>
      </c>
      <c r="C99" s="3">
        <v>0.0</v>
      </c>
      <c r="D99" s="3">
        <v>1.0</v>
      </c>
      <c r="E99" s="1" t="s">
        <v>74</v>
      </c>
      <c r="F99" s="3">
        <v>29.0</v>
      </c>
      <c r="G99" s="3">
        <v>1.0</v>
      </c>
      <c r="H99" s="3">
        <v>0.0</v>
      </c>
      <c r="I99" s="1"/>
      <c r="J99" s="3">
        <v>836.0</v>
      </c>
    </row>
    <row r="100">
      <c r="A100" s="3">
        <v>829.0</v>
      </c>
      <c r="B100" s="3">
        <v>829.0</v>
      </c>
      <c r="C100" s="3">
        <v>0.0</v>
      </c>
      <c r="D100" s="3">
        <v>1.0</v>
      </c>
      <c r="E100" s="1" t="s">
        <v>74</v>
      </c>
      <c r="F100" s="3">
        <v>30.0</v>
      </c>
      <c r="G100" s="3">
        <v>1.0</v>
      </c>
      <c r="H100" s="3">
        <v>0.0</v>
      </c>
      <c r="I100" s="1"/>
      <c r="J100" s="3">
        <v>836.0</v>
      </c>
    </row>
    <row r="101">
      <c r="A101" s="3">
        <v>830.0</v>
      </c>
      <c r="B101" s="3">
        <v>830.0</v>
      </c>
      <c r="C101" s="3">
        <v>0.0</v>
      </c>
      <c r="D101" s="3">
        <v>1.0</v>
      </c>
      <c r="E101" s="1" t="s">
        <v>74</v>
      </c>
      <c r="F101" s="3">
        <v>31.0</v>
      </c>
      <c r="G101" s="3">
        <v>1.0</v>
      </c>
      <c r="H101" s="3">
        <v>0.0</v>
      </c>
      <c r="I101" s="1"/>
      <c r="J101" s="3">
        <v>836.0</v>
      </c>
    </row>
    <row r="102">
      <c r="A102" s="3">
        <v>831.0</v>
      </c>
      <c r="B102" s="3">
        <v>831.0</v>
      </c>
      <c r="C102" s="3">
        <v>0.0</v>
      </c>
      <c r="D102" s="3">
        <v>1.0</v>
      </c>
      <c r="E102" s="1" t="s">
        <v>74</v>
      </c>
      <c r="F102" s="3">
        <v>32.0</v>
      </c>
      <c r="G102" s="3">
        <v>1.0</v>
      </c>
      <c r="H102" s="3">
        <v>0.0</v>
      </c>
      <c r="I102" s="1"/>
      <c r="J102" s="3">
        <v>836.0</v>
      </c>
    </row>
    <row r="103">
      <c r="A103" s="3">
        <v>832.0</v>
      </c>
      <c r="B103" s="3">
        <v>832.0</v>
      </c>
      <c r="C103" s="3">
        <v>0.0</v>
      </c>
      <c r="D103" s="3">
        <v>1.0</v>
      </c>
      <c r="E103" s="1" t="s">
        <v>74</v>
      </c>
      <c r="F103" s="3">
        <v>33.0</v>
      </c>
      <c r="G103" s="3">
        <v>1.0</v>
      </c>
      <c r="H103" s="3">
        <v>0.0</v>
      </c>
      <c r="I103" s="1"/>
      <c r="J103" s="3">
        <v>836.0</v>
      </c>
    </row>
    <row r="104">
      <c r="A104" s="3">
        <v>833.0</v>
      </c>
      <c r="B104" s="3">
        <v>833.0</v>
      </c>
      <c r="C104" s="3">
        <v>0.0</v>
      </c>
      <c r="D104" s="3">
        <v>1.0</v>
      </c>
      <c r="E104" s="1" t="s">
        <v>74</v>
      </c>
      <c r="F104" s="3">
        <v>34.0</v>
      </c>
      <c r="G104" s="3">
        <v>1.0</v>
      </c>
      <c r="H104" s="3">
        <v>0.0</v>
      </c>
      <c r="I104" s="1"/>
      <c r="J104" s="3">
        <v>836.0</v>
      </c>
    </row>
    <row r="105">
      <c r="A105" s="3">
        <v>834.0</v>
      </c>
      <c r="B105" s="3">
        <v>834.0</v>
      </c>
      <c r="C105" s="3">
        <v>0.0</v>
      </c>
      <c r="D105" s="3">
        <v>1.0</v>
      </c>
      <c r="E105" s="1" t="s">
        <v>74</v>
      </c>
      <c r="F105" s="3">
        <v>35.0</v>
      </c>
      <c r="G105" s="3">
        <v>1.0</v>
      </c>
      <c r="H105" s="3">
        <v>0.0</v>
      </c>
      <c r="I105" s="1"/>
      <c r="J105" s="3">
        <v>836.0</v>
      </c>
    </row>
    <row r="106">
      <c r="A106" s="3">
        <v>835.0</v>
      </c>
      <c r="B106" s="3">
        <v>835.0</v>
      </c>
      <c r="C106" s="3">
        <v>0.0</v>
      </c>
      <c r="D106" s="3">
        <v>1.0</v>
      </c>
      <c r="E106" s="1" t="s">
        <v>74</v>
      </c>
      <c r="F106" s="3">
        <v>36.0</v>
      </c>
      <c r="G106" s="3">
        <v>1.0</v>
      </c>
      <c r="H106" s="3">
        <v>0.0</v>
      </c>
      <c r="I106" s="1"/>
      <c r="J106" s="3">
        <v>836.0</v>
      </c>
    </row>
    <row r="107">
      <c r="A107" s="3">
        <v>836.0</v>
      </c>
      <c r="B107" s="3">
        <v>836.0</v>
      </c>
      <c r="C107" s="3">
        <v>0.0</v>
      </c>
      <c r="D107" s="3">
        <v>1.0</v>
      </c>
      <c r="E107" s="1" t="s">
        <v>74</v>
      </c>
      <c r="F107" s="3">
        <v>37.0</v>
      </c>
      <c r="G107" s="3">
        <v>1.0</v>
      </c>
      <c r="H107" s="3">
        <v>0.0</v>
      </c>
      <c r="I107" s="1"/>
      <c r="J107" s="3">
        <v>836.0</v>
      </c>
    </row>
    <row r="108">
      <c r="A108" s="3">
        <v>837.0</v>
      </c>
      <c r="B108" s="3">
        <v>837.0</v>
      </c>
      <c r="C108" s="3">
        <v>0.0</v>
      </c>
      <c r="D108" s="3">
        <v>1.0</v>
      </c>
      <c r="E108" s="1" t="s">
        <v>74</v>
      </c>
      <c r="F108" s="3">
        <v>38.0</v>
      </c>
      <c r="G108" s="3">
        <v>1.0</v>
      </c>
      <c r="H108" s="3">
        <v>0.0</v>
      </c>
      <c r="I108" s="1"/>
      <c r="J108" s="3">
        <v>836.0</v>
      </c>
    </row>
    <row r="109">
      <c r="A109" s="3">
        <v>838.0</v>
      </c>
      <c r="B109" s="3">
        <v>838.0</v>
      </c>
      <c r="C109" s="3">
        <v>0.0</v>
      </c>
      <c r="D109" s="3">
        <v>1.0</v>
      </c>
      <c r="E109" s="1" t="s">
        <v>74</v>
      </c>
      <c r="F109" s="3">
        <v>39.0</v>
      </c>
      <c r="G109" s="3">
        <v>1.0</v>
      </c>
      <c r="H109" s="3">
        <v>0.0</v>
      </c>
      <c r="I109" s="1"/>
      <c r="J109" s="3">
        <v>836.0</v>
      </c>
    </row>
    <row r="110">
      <c r="A110" s="3">
        <v>839.0</v>
      </c>
      <c r="B110" s="3">
        <v>839.0</v>
      </c>
      <c r="C110" s="3">
        <v>0.0</v>
      </c>
      <c r="D110" s="3">
        <v>1.0</v>
      </c>
      <c r="E110" s="1" t="s">
        <v>74</v>
      </c>
      <c r="F110" s="3">
        <v>40.0</v>
      </c>
      <c r="G110" s="3">
        <v>1.0</v>
      </c>
      <c r="H110" s="3">
        <v>0.0</v>
      </c>
      <c r="I110" s="1"/>
      <c r="J110" s="3">
        <v>836.0</v>
      </c>
    </row>
    <row r="111">
      <c r="A111" s="3">
        <v>840.0</v>
      </c>
      <c r="B111" s="3">
        <v>840.0</v>
      </c>
      <c r="C111" s="3">
        <v>0.0</v>
      </c>
      <c r="D111" s="3">
        <v>1.0</v>
      </c>
      <c r="E111" s="1" t="s">
        <v>74</v>
      </c>
      <c r="F111" s="3">
        <v>41.0</v>
      </c>
      <c r="G111" s="3">
        <v>1.0</v>
      </c>
      <c r="H111" s="3">
        <v>0.0</v>
      </c>
      <c r="I111" s="1"/>
      <c r="J111" s="3">
        <v>836.0</v>
      </c>
    </row>
    <row r="112">
      <c r="A112" s="3">
        <v>841.0</v>
      </c>
      <c r="B112" s="3">
        <v>841.0</v>
      </c>
      <c r="C112" s="3">
        <v>0.0</v>
      </c>
      <c r="D112" s="3">
        <v>1.0</v>
      </c>
      <c r="E112" s="1" t="s">
        <v>74</v>
      </c>
      <c r="F112" s="3">
        <v>42.0</v>
      </c>
      <c r="G112" s="3">
        <v>1.0</v>
      </c>
      <c r="H112" s="3">
        <v>0.0</v>
      </c>
      <c r="I112" s="1"/>
      <c r="J112" s="3">
        <v>836.0</v>
      </c>
    </row>
    <row r="113">
      <c r="A113" s="3">
        <v>842.0</v>
      </c>
      <c r="B113" s="3">
        <v>842.0</v>
      </c>
      <c r="C113" s="3">
        <v>0.0</v>
      </c>
      <c r="D113" s="3">
        <v>1.0</v>
      </c>
      <c r="E113" s="1" t="s">
        <v>74</v>
      </c>
      <c r="F113" s="3">
        <v>43.0</v>
      </c>
      <c r="G113" s="3">
        <v>1.0</v>
      </c>
      <c r="H113" s="3">
        <v>0.0</v>
      </c>
      <c r="I113" s="1"/>
      <c r="J113" s="3">
        <v>836.0</v>
      </c>
    </row>
    <row r="114">
      <c r="A114" s="3">
        <v>843.0</v>
      </c>
      <c r="B114" s="3">
        <v>843.0</v>
      </c>
      <c r="C114" s="3">
        <v>0.0</v>
      </c>
      <c r="D114" s="3">
        <v>1.0</v>
      </c>
      <c r="E114" s="1" t="s">
        <v>74</v>
      </c>
      <c r="F114" s="3">
        <v>44.0</v>
      </c>
      <c r="G114" s="3">
        <v>1.0</v>
      </c>
      <c r="H114" s="3">
        <v>0.0</v>
      </c>
      <c r="I114" s="1"/>
      <c r="J114" s="3">
        <v>836.0</v>
      </c>
    </row>
    <row r="115">
      <c r="A115" s="3">
        <v>844.0</v>
      </c>
      <c r="B115" s="3">
        <v>844.0</v>
      </c>
      <c r="C115" s="3">
        <v>0.0</v>
      </c>
      <c r="D115" s="3">
        <v>1.0</v>
      </c>
      <c r="E115" s="1" t="s">
        <v>74</v>
      </c>
      <c r="F115" s="3">
        <v>45.0</v>
      </c>
      <c r="G115" s="3">
        <v>1.0</v>
      </c>
      <c r="H115" s="3">
        <v>0.0</v>
      </c>
      <c r="I115" s="1"/>
      <c r="J115" s="3">
        <v>836.0</v>
      </c>
    </row>
    <row r="116">
      <c r="A116" s="3">
        <v>845.0</v>
      </c>
      <c r="B116" s="3">
        <v>845.0</v>
      </c>
      <c r="C116" s="3">
        <v>0.0</v>
      </c>
      <c r="D116" s="3">
        <v>1.0</v>
      </c>
      <c r="E116" s="1" t="s">
        <v>74</v>
      </c>
      <c r="F116" s="3">
        <v>46.0</v>
      </c>
      <c r="G116" s="3">
        <v>1.0</v>
      </c>
      <c r="H116" s="3">
        <v>0.0</v>
      </c>
      <c r="I116" s="1"/>
      <c r="J116" s="3">
        <v>836.0</v>
      </c>
    </row>
    <row r="117">
      <c r="A117" s="3">
        <v>846.0</v>
      </c>
      <c r="B117" s="3">
        <v>846.0</v>
      </c>
      <c r="C117" s="3">
        <v>0.0</v>
      </c>
      <c r="D117" s="3">
        <v>1.0</v>
      </c>
      <c r="E117" s="1" t="s">
        <v>74</v>
      </c>
      <c r="F117" s="3">
        <v>47.0</v>
      </c>
      <c r="G117" s="3">
        <v>1.0</v>
      </c>
      <c r="H117" s="3">
        <v>0.0</v>
      </c>
      <c r="I117" s="1"/>
      <c r="J117" s="3">
        <v>836.0</v>
      </c>
    </row>
    <row r="118">
      <c r="A118" s="3">
        <v>847.0</v>
      </c>
      <c r="B118" s="3">
        <v>847.0</v>
      </c>
      <c r="C118" s="3">
        <v>0.0</v>
      </c>
      <c r="D118" s="3">
        <v>1.0</v>
      </c>
      <c r="E118" s="1" t="s">
        <v>74</v>
      </c>
      <c r="F118" s="3">
        <v>48.0</v>
      </c>
      <c r="G118" s="3">
        <v>1.0</v>
      </c>
      <c r="H118" s="3">
        <v>0.0</v>
      </c>
      <c r="I118" s="1"/>
      <c r="J118" s="3">
        <v>836.0</v>
      </c>
    </row>
    <row r="119">
      <c r="A119" s="3">
        <v>848.0</v>
      </c>
      <c r="B119" s="3">
        <v>848.0</v>
      </c>
      <c r="C119" s="3">
        <v>0.0</v>
      </c>
      <c r="D119" s="3">
        <v>1.0</v>
      </c>
      <c r="E119" s="1" t="s">
        <v>74</v>
      </c>
      <c r="F119" s="3">
        <v>49.0</v>
      </c>
      <c r="G119" s="3">
        <v>1.0</v>
      </c>
      <c r="H119" s="3">
        <v>0.0</v>
      </c>
      <c r="I119" s="1"/>
      <c r="J119" s="3">
        <v>836.0</v>
      </c>
    </row>
    <row r="120">
      <c r="A120" s="3">
        <v>849.0</v>
      </c>
      <c r="B120" s="3">
        <v>849.0</v>
      </c>
      <c r="C120" s="3">
        <v>0.0</v>
      </c>
      <c r="D120" s="3">
        <v>1.0</v>
      </c>
      <c r="E120" s="1" t="s">
        <v>74</v>
      </c>
      <c r="F120" s="3">
        <v>50.0</v>
      </c>
      <c r="G120" s="3">
        <v>1.0</v>
      </c>
      <c r="H120" s="3">
        <v>0.0</v>
      </c>
      <c r="I120" s="1"/>
      <c r="J120" s="3">
        <v>836.0</v>
      </c>
    </row>
    <row r="121">
      <c r="A121" s="3">
        <v>850.0</v>
      </c>
      <c r="B121" s="3">
        <v>850.0</v>
      </c>
      <c r="C121" s="3">
        <v>0.0</v>
      </c>
      <c r="D121" s="3">
        <v>1.0</v>
      </c>
      <c r="E121" s="1" t="s">
        <v>74</v>
      </c>
      <c r="F121" s="3">
        <v>51.0</v>
      </c>
      <c r="G121" s="3">
        <v>1.0</v>
      </c>
      <c r="H121" s="3">
        <v>0.0</v>
      </c>
      <c r="I121" s="1"/>
      <c r="J121" s="3">
        <v>836.0</v>
      </c>
    </row>
    <row r="122">
      <c r="A122" s="3">
        <v>851.0</v>
      </c>
      <c r="B122" s="3">
        <v>851.0</v>
      </c>
      <c r="C122" s="3">
        <v>0.0</v>
      </c>
      <c r="D122" s="3">
        <v>1.0</v>
      </c>
      <c r="E122" s="1" t="s">
        <v>74</v>
      </c>
      <c r="F122" s="3">
        <v>52.0</v>
      </c>
      <c r="G122" s="3">
        <v>1.0</v>
      </c>
      <c r="H122" s="3">
        <v>0.0</v>
      </c>
      <c r="I122" s="1"/>
      <c r="J122" s="3">
        <v>836.0</v>
      </c>
    </row>
    <row r="123">
      <c r="A123" s="3">
        <v>852.0</v>
      </c>
      <c r="B123" s="3">
        <v>852.0</v>
      </c>
      <c r="C123" s="3">
        <v>0.0</v>
      </c>
      <c r="D123" s="3">
        <v>1.0</v>
      </c>
      <c r="E123" s="1" t="s">
        <v>74</v>
      </c>
      <c r="F123" s="3">
        <v>53.0</v>
      </c>
      <c r="G123" s="3">
        <v>1.0</v>
      </c>
      <c r="H123" s="3">
        <v>0.0</v>
      </c>
      <c r="I123" s="1"/>
      <c r="J123" s="3">
        <v>836.0</v>
      </c>
    </row>
    <row r="124">
      <c r="A124" s="3">
        <v>853.0</v>
      </c>
      <c r="B124" s="3">
        <v>853.0</v>
      </c>
      <c r="C124" s="3">
        <v>0.0</v>
      </c>
      <c r="D124" s="3">
        <v>1.0</v>
      </c>
      <c r="E124" s="1" t="s">
        <v>74</v>
      </c>
      <c r="F124" s="3">
        <v>54.0</v>
      </c>
      <c r="G124" s="3">
        <v>1.0</v>
      </c>
      <c r="H124" s="3">
        <v>0.0</v>
      </c>
      <c r="I124" s="1"/>
      <c r="J124" s="3">
        <v>836.0</v>
      </c>
    </row>
    <row r="125">
      <c r="A125" s="3">
        <v>854.0</v>
      </c>
      <c r="B125" s="3">
        <v>854.0</v>
      </c>
      <c r="C125" s="3">
        <v>0.0</v>
      </c>
      <c r="D125" s="3">
        <v>1.0</v>
      </c>
      <c r="E125" s="1" t="s">
        <v>74</v>
      </c>
      <c r="F125" s="3">
        <v>55.0</v>
      </c>
      <c r="G125" s="3">
        <v>1.0</v>
      </c>
      <c r="H125" s="3">
        <v>0.0</v>
      </c>
      <c r="I125" s="1"/>
      <c r="J125" s="3">
        <v>836.0</v>
      </c>
    </row>
    <row r="126">
      <c r="A126" s="3">
        <v>855.0</v>
      </c>
      <c r="B126" s="3">
        <v>855.0</v>
      </c>
      <c r="C126" s="3">
        <v>0.0</v>
      </c>
      <c r="D126" s="3">
        <v>1.0</v>
      </c>
      <c r="E126" s="1" t="s">
        <v>74</v>
      </c>
      <c r="F126" s="3">
        <v>56.0</v>
      </c>
      <c r="G126" s="3">
        <v>1.0</v>
      </c>
      <c r="H126" s="3">
        <v>0.0</v>
      </c>
      <c r="I126" s="1"/>
      <c r="J126" s="3">
        <v>836.0</v>
      </c>
    </row>
    <row r="127">
      <c r="A127" s="3">
        <v>856.0</v>
      </c>
      <c r="B127" s="3">
        <v>856.0</v>
      </c>
      <c r="C127" s="3">
        <v>0.0</v>
      </c>
      <c r="D127" s="3">
        <v>1.0</v>
      </c>
      <c r="E127" s="1" t="s">
        <v>74</v>
      </c>
      <c r="F127" s="3">
        <v>57.0</v>
      </c>
      <c r="G127" s="3">
        <v>1.0</v>
      </c>
      <c r="H127" s="3">
        <v>0.0</v>
      </c>
      <c r="I127" s="1"/>
      <c r="J127" s="3">
        <v>836.0</v>
      </c>
    </row>
    <row r="128">
      <c r="A128" s="3">
        <v>857.0</v>
      </c>
      <c r="B128" s="3">
        <v>857.0</v>
      </c>
      <c r="C128" s="3">
        <v>0.0</v>
      </c>
      <c r="D128" s="3">
        <v>1.0</v>
      </c>
      <c r="E128" s="1" t="s">
        <v>74</v>
      </c>
      <c r="F128" s="3">
        <v>58.0</v>
      </c>
      <c r="G128" s="3">
        <v>1.0</v>
      </c>
      <c r="H128" s="3">
        <v>0.0</v>
      </c>
      <c r="I128" s="1"/>
      <c r="J128" s="3">
        <v>836.0</v>
      </c>
    </row>
    <row r="129">
      <c r="A129" s="3">
        <v>858.0</v>
      </c>
      <c r="B129" s="3">
        <v>858.0</v>
      </c>
      <c r="C129" s="3">
        <v>0.0</v>
      </c>
      <c r="D129" s="3">
        <v>1.0</v>
      </c>
      <c r="E129" s="1" t="s">
        <v>74</v>
      </c>
      <c r="F129" s="3">
        <v>59.0</v>
      </c>
      <c r="G129" s="3">
        <v>1.0</v>
      </c>
      <c r="H129" s="3">
        <v>0.0</v>
      </c>
      <c r="I129" s="1"/>
      <c r="J129" s="3">
        <v>836.0</v>
      </c>
    </row>
    <row r="130">
      <c r="A130" s="3">
        <v>859.0</v>
      </c>
      <c r="B130" s="3">
        <v>859.0</v>
      </c>
      <c r="C130" s="3">
        <v>0.0</v>
      </c>
      <c r="D130" s="3">
        <v>1.0</v>
      </c>
      <c r="E130" s="1" t="s">
        <v>74</v>
      </c>
      <c r="F130" s="3">
        <v>60.0</v>
      </c>
      <c r="G130" s="3">
        <v>1.0</v>
      </c>
      <c r="H130" s="3">
        <v>0.0</v>
      </c>
      <c r="I130" s="1"/>
      <c r="J130" s="3">
        <v>836.0</v>
      </c>
    </row>
    <row r="131">
      <c r="A131" s="3">
        <v>863.0</v>
      </c>
      <c r="B131" s="3">
        <v>863.0</v>
      </c>
      <c r="C131" s="3">
        <v>0.0</v>
      </c>
      <c r="D131" s="3">
        <v>1.0</v>
      </c>
      <c r="E131" s="1" t="s">
        <v>74</v>
      </c>
      <c r="F131" s="3">
        <v>61.0</v>
      </c>
      <c r="G131" s="3">
        <v>1.0</v>
      </c>
      <c r="H131" s="3">
        <v>0.0</v>
      </c>
      <c r="I131" s="1"/>
      <c r="J131" s="3">
        <v>836.0</v>
      </c>
    </row>
    <row r="132">
      <c r="A132" s="3">
        <v>864.0</v>
      </c>
      <c r="B132" s="3">
        <v>864.0</v>
      </c>
      <c r="C132" s="3">
        <v>0.0</v>
      </c>
      <c r="D132" s="3">
        <v>1.0</v>
      </c>
      <c r="E132" s="1" t="s">
        <v>74</v>
      </c>
      <c r="F132" s="3">
        <v>62.0</v>
      </c>
      <c r="G132" s="3">
        <v>1.0</v>
      </c>
      <c r="H132" s="3">
        <v>0.0</v>
      </c>
      <c r="I132" s="1"/>
      <c r="J132" s="3">
        <v>836.0</v>
      </c>
    </row>
    <row r="133">
      <c r="A133" s="3">
        <v>865.0</v>
      </c>
      <c r="B133" s="3">
        <v>865.0</v>
      </c>
      <c r="C133" s="3">
        <v>0.0</v>
      </c>
      <c r="D133" s="3">
        <v>1.0</v>
      </c>
      <c r="E133" s="1" t="s">
        <v>74</v>
      </c>
      <c r="F133" s="3">
        <v>63.0</v>
      </c>
      <c r="G133" s="3">
        <v>1.0</v>
      </c>
      <c r="H133" s="3">
        <v>0.0</v>
      </c>
      <c r="I133" s="1"/>
      <c r="J133" s="3">
        <v>836.0</v>
      </c>
    </row>
    <row r="134">
      <c r="A134" s="3">
        <v>866.0</v>
      </c>
      <c r="B134" s="3">
        <v>866.0</v>
      </c>
      <c r="C134" s="3">
        <v>0.0</v>
      </c>
      <c r="D134" s="3">
        <v>1.0</v>
      </c>
      <c r="E134" s="1" t="s">
        <v>74</v>
      </c>
      <c r="F134" s="3">
        <v>64.0</v>
      </c>
      <c r="G134" s="3">
        <v>1.0</v>
      </c>
      <c r="H134" s="3">
        <v>0.0</v>
      </c>
      <c r="I134" s="1"/>
      <c r="J134" s="3">
        <v>836.0</v>
      </c>
    </row>
    <row r="135">
      <c r="A135" s="3">
        <v>867.0</v>
      </c>
      <c r="B135" s="3">
        <v>867.0</v>
      </c>
      <c r="C135" s="3">
        <v>0.0</v>
      </c>
      <c r="D135" s="3">
        <v>1.0</v>
      </c>
      <c r="E135" s="1" t="s">
        <v>74</v>
      </c>
      <c r="F135" s="3">
        <v>65.0</v>
      </c>
      <c r="G135" s="3">
        <v>1.0</v>
      </c>
      <c r="H135" s="3">
        <v>0.0</v>
      </c>
      <c r="I135" s="1"/>
      <c r="J135" s="3">
        <v>836.0</v>
      </c>
    </row>
    <row r="136">
      <c r="A136" s="3">
        <v>868.0</v>
      </c>
      <c r="B136" s="3">
        <v>868.0</v>
      </c>
      <c r="C136" s="3">
        <v>0.0</v>
      </c>
      <c r="D136" s="3">
        <v>1.0</v>
      </c>
      <c r="E136" s="1" t="s">
        <v>74</v>
      </c>
      <c r="F136" s="3">
        <v>66.0</v>
      </c>
      <c r="G136" s="3">
        <v>1.0</v>
      </c>
      <c r="H136" s="3">
        <v>0.0</v>
      </c>
      <c r="I136" s="1"/>
      <c r="J136" s="3">
        <v>836.0</v>
      </c>
    </row>
    <row r="137">
      <c r="A137" s="3">
        <v>869.0</v>
      </c>
      <c r="B137" s="3">
        <v>869.0</v>
      </c>
      <c r="C137" s="3">
        <v>0.0</v>
      </c>
      <c r="D137" s="3">
        <v>1.0</v>
      </c>
      <c r="E137" s="1" t="s">
        <v>74</v>
      </c>
      <c r="F137" s="3">
        <v>67.0</v>
      </c>
      <c r="G137" s="3">
        <v>1.0</v>
      </c>
      <c r="H137" s="3">
        <v>0.0</v>
      </c>
      <c r="I137" s="1"/>
      <c r="J137" s="3">
        <v>836.0</v>
      </c>
    </row>
    <row r="138">
      <c r="A138" s="3">
        <v>870.0</v>
      </c>
      <c r="B138" s="3">
        <v>870.0</v>
      </c>
      <c r="C138" s="3">
        <v>0.0</v>
      </c>
      <c r="D138" s="3">
        <v>1.0</v>
      </c>
      <c r="E138" s="1" t="s">
        <v>74</v>
      </c>
      <c r="F138" s="3">
        <v>68.0</v>
      </c>
      <c r="G138" s="3">
        <v>1.0</v>
      </c>
      <c r="H138" s="3">
        <v>0.0</v>
      </c>
      <c r="I138" s="1"/>
      <c r="J138" s="3">
        <v>836.0</v>
      </c>
    </row>
    <row r="139">
      <c r="A139" s="3">
        <v>871.0</v>
      </c>
      <c r="B139" s="3">
        <v>871.0</v>
      </c>
      <c r="C139" s="3">
        <v>0.0</v>
      </c>
      <c r="D139" s="3">
        <v>1.0</v>
      </c>
      <c r="E139" s="1" t="s">
        <v>74</v>
      </c>
      <c r="F139" s="3">
        <v>69.0</v>
      </c>
      <c r="G139" s="3">
        <v>1.0</v>
      </c>
      <c r="H139" s="3">
        <v>0.0</v>
      </c>
      <c r="I139" s="1"/>
      <c r="J139" s="3">
        <v>836.0</v>
      </c>
    </row>
    <row r="140">
      <c r="A140" s="3">
        <v>872.0</v>
      </c>
      <c r="B140" s="3">
        <v>872.0</v>
      </c>
      <c r="C140" s="3">
        <v>0.0</v>
      </c>
      <c r="D140" s="3">
        <v>1.0</v>
      </c>
      <c r="E140" s="1" t="s">
        <v>74</v>
      </c>
      <c r="F140" s="3">
        <v>70.0</v>
      </c>
      <c r="G140" s="3">
        <v>1.0</v>
      </c>
      <c r="H140" s="3">
        <v>0.0</v>
      </c>
      <c r="I140" s="1"/>
      <c r="J140" s="3">
        <v>836.0</v>
      </c>
    </row>
    <row r="141">
      <c r="A141" s="3">
        <v>873.0</v>
      </c>
      <c r="B141" s="3">
        <v>873.0</v>
      </c>
      <c r="C141" s="3">
        <v>0.0</v>
      </c>
      <c r="D141" s="3">
        <v>1.0</v>
      </c>
      <c r="E141" s="1" t="s">
        <v>74</v>
      </c>
      <c r="F141" s="3">
        <v>71.0</v>
      </c>
      <c r="G141" s="3">
        <v>1.0</v>
      </c>
      <c r="H141" s="3">
        <v>0.0</v>
      </c>
      <c r="I141" s="1"/>
      <c r="J141" s="3">
        <v>836.0</v>
      </c>
    </row>
    <row r="142">
      <c r="A142" s="3">
        <v>874.0</v>
      </c>
      <c r="B142" s="3">
        <v>874.0</v>
      </c>
      <c r="C142" s="3">
        <v>0.0</v>
      </c>
      <c r="D142" s="3">
        <v>1.0</v>
      </c>
      <c r="E142" s="1" t="s">
        <v>74</v>
      </c>
      <c r="F142" s="3">
        <v>72.0</v>
      </c>
      <c r="G142" s="3">
        <v>1.0</v>
      </c>
      <c r="H142" s="3">
        <v>0.0</v>
      </c>
      <c r="I142" s="1"/>
      <c r="J142" s="3">
        <v>836.0</v>
      </c>
    </row>
    <row r="143">
      <c r="A143" s="3">
        <v>875.0</v>
      </c>
      <c r="B143" s="3">
        <v>875.0</v>
      </c>
      <c r="C143" s="3">
        <v>0.0</v>
      </c>
      <c r="D143" s="3">
        <v>1.0</v>
      </c>
      <c r="E143" s="1" t="s">
        <v>74</v>
      </c>
      <c r="F143" s="3">
        <v>73.0</v>
      </c>
      <c r="G143" s="3">
        <v>1.0</v>
      </c>
      <c r="H143" s="3">
        <v>0.0</v>
      </c>
      <c r="I143" s="1"/>
      <c r="J143" s="3">
        <v>836.0</v>
      </c>
    </row>
    <row r="144">
      <c r="A144" s="3">
        <v>876.0</v>
      </c>
      <c r="B144" s="3">
        <v>876.0</v>
      </c>
      <c r="C144" s="3">
        <v>0.0</v>
      </c>
      <c r="D144" s="3">
        <v>1.0</v>
      </c>
      <c r="E144" s="1" t="s">
        <v>74</v>
      </c>
      <c r="F144" s="3">
        <v>74.0</v>
      </c>
      <c r="G144" s="3">
        <v>1.0</v>
      </c>
      <c r="H144" s="3">
        <v>0.0</v>
      </c>
      <c r="I144" s="1"/>
      <c r="J144" s="3">
        <v>836.0</v>
      </c>
    </row>
    <row r="145">
      <c r="A145" s="3">
        <v>877.0</v>
      </c>
      <c r="B145" s="3">
        <v>877.0</v>
      </c>
      <c r="C145" s="3">
        <v>0.0</v>
      </c>
      <c r="D145" s="3">
        <v>1.0</v>
      </c>
      <c r="E145" s="1" t="s">
        <v>74</v>
      </c>
      <c r="F145" s="3">
        <v>75.0</v>
      </c>
      <c r="G145" s="3">
        <v>1.0</v>
      </c>
      <c r="H145" s="3">
        <v>0.0</v>
      </c>
      <c r="I145" s="1"/>
      <c r="J145" s="3">
        <v>836.0</v>
      </c>
    </row>
    <row r="146">
      <c r="A146" s="3">
        <v>878.0</v>
      </c>
      <c r="B146" s="3">
        <v>878.0</v>
      </c>
      <c r="C146" s="3">
        <v>0.0</v>
      </c>
      <c r="D146" s="3">
        <v>1.0</v>
      </c>
      <c r="E146" s="1" t="s">
        <v>74</v>
      </c>
      <c r="F146" s="3">
        <v>76.0</v>
      </c>
      <c r="G146" s="3">
        <v>1.0</v>
      </c>
      <c r="H146" s="3">
        <v>0.0</v>
      </c>
      <c r="I146" s="1"/>
      <c r="J146" s="3">
        <v>836.0</v>
      </c>
    </row>
    <row r="147">
      <c r="A147" s="3">
        <v>879.0</v>
      </c>
      <c r="B147" s="3">
        <v>879.0</v>
      </c>
      <c r="C147" s="3">
        <v>0.0</v>
      </c>
      <c r="D147" s="3">
        <v>1.0</v>
      </c>
      <c r="E147" s="1" t="s">
        <v>74</v>
      </c>
      <c r="F147" s="3">
        <v>77.0</v>
      </c>
      <c r="G147" s="3">
        <v>1.0</v>
      </c>
      <c r="H147" s="3">
        <v>0.0</v>
      </c>
      <c r="I147" s="1"/>
      <c r="J147" s="3">
        <v>836.0</v>
      </c>
    </row>
    <row r="148">
      <c r="A148" s="3">
        <v>880.0</v>
      </c>
      <c r="B148" s="3">
        <v>880.0</v>
      </c>
      <c r="C148" s="3">
        <v>0.0</v>
      </c>
      <c r="D148" s="3">
        <v>1.0</v>
      </c>
      <c r="E148" s="1" t="s">
        <v>74</v>
      </c>
      <c r="F148" s="3">
        <v>78.0</v>
      </c>
      <c r="G148" s="3">
        <v>1.0</v>
      </c>
      <c r="H148" s="3">
        <v>0.0</v>
      </c>
      <c r="I148" s="1"/>
      <c r="J148" s="3">
        <v>836.0</v>
      </c>
    </row>
    <row r="149">
      <c r="A149" s="3">
        <v>881.0</v>
      </c>
      <c r="B149" s="3">
        <v>881.0</v>
      </c>
      <c r="C149" s="3">
        <v>0.0</v>
      </c>
      <c r="D149" s="3">
        <v>1.0</v>
      </c>
      <c r="E149" s="1" t="s">
        <v>74</v>
      </c>
      <c r="F149" s="3">
        <v>79.0</v>
      </c>
      <c r="G149" s="3">
        <v>1.0</v>
      </c>
      <c r="H149" s="3">
        <v>0.0</v>
      </c>
      <c r="I149" s="1"/>
      <c r="J149" s="3">
        <v>836.0</v>
      </c>
    </row>
    <row r="150">
      <c r="A150" s="3">
        <v>882.0</v>
      </c>
      <c r="B150" s="3">
        <v>882.0</v>
      </c>
      <c r="C150" s="3">
        <v>0.0</v>
      </c>
      <c r="D150" s="3">
        <v>1.0</v>
      </c>
      <c r="E150" s="1" t="s">
        <v>74</v>
      </c>
      <c r="F150" s="3">
        <v>80.0</v>
      </c>
      <c r="G150" s="3">
        <v>1.0</v>
      </c>
      <c r="H150" s="3">
        <v>0.0</v>
      </c>
      <c r="I150" s="1"/>
      <c r="J150" s="3">
        <v>836.0</v>
      </c>
    </row>
    <row r="151">
      <c r="A151" s="3">
        <v>883.0</v>
      </c>
      <c r="B151" s="3">
        <v>883.0</v>
      </c>
      <c r="C151" s="3">
        <v>0.0</v>
      </c>
      <c r="D151" s="3">
        <v>1.0</v>
      </c>
      <c r="E151" s="1" t="s">
        <v>74</v>
      </c>
      <c r="F151" s="3">
        <v>81.0</v>
      </c>
      <c r="G151" s="3">
        <v>1.0</v>
      </c>
      <c r="H151" s="3">
        <v>0.0</v>
      </c>
      <c r="I151" s="1"/>
      <c r="J151" s="3">
        <v>836.0</v>
      </c>
    </row>
    <row r="152">
      <c r="A152" s="3">
        <v>884.0</v>
      </c>
      <c r="B152" s="3">
        <v>884.0</v>
      </c>
      <c r="C152" s="3">
        <v>0.0</v>
      </c>
      <c r="D152" s="3">
        <v>1.0</v>
      </c>
      <c r="E152" s="1" t="s">
        <v>74</v>
      </c>
      <c r="F152" s="3">
        <v>82.0</v>
      </c>
      <c r="G152" s="3">
        <v>1.0</v>
      </c>
      <c r="H152" s="3">
        <v>0.0</v>
      </c>
      <c r="I152" s="1"/>
      <c r="J152" s="3">
        <v>836.0</v>
      </c>
    </row>
    <row r="153">
      <c r="A153" s="3">
        <v>885.0</v>
      </c>
      <c r="B153" s="3">
        <v>885.0</v>
      </c>
      <c r="C153" s="3">
        <v>0.0</v>
      </c>
      <c r="D153" s="3">
        <v>1.0</v>
      </c>
      <c r="E153" s="1" t="s">
        <v>74</v>
      </c>
      <c r="F153" s="3">
        <v>83.0</v>
      </c>
      <c r="G153" s="3">
        <v>1.0</v>
      </c>
      <c r="H153" s="3">
        <v>0.0</v>
      </c>
      <c r="I153" s="1"/>
      <c r="J153" s="3">
        <v>836.0</v>
      </c>
    </row>
    <row r="154">
      <c r="A154" s="3">
        <v>886.0</v>
      </c>
      <c r="B154" s="3">
        <v>886.0</v>
      </c>
      <c r="C154" s="3">
        <v>0.0</v>
      </c>
      <c r="D154" s="3">
        <v>1.0</v>
      </c>
      <c r="E154" s="1" t="s">
        <v>74</v>
      </c>
      <c r="F154" s="3">
        <v>84.0</v>
      </c>
      <c r="G154" s="3">
        <v>1.0</v>
      </c>
      <c r="H154" s="3">
        <v>0.0</v>
      </c>
      <c r="I154" s="1"/>
      <c r="J154" s="3">
        <v>836.0</v>
      </c>
    </row>
    <row r="155">
      <c r="A155" s="3">
        <v>887.0</v>
      </c>
      <c r="B155" s="3">
        <v>887.0</v>
      </c>
      <c r="C155" s="3">
        <v>0.0</v>
      </c>
      <c r="D155" s="3">
        <v>1.0</v>
      </c>
      <c r="E155" s="1" t="s">
        <v>74</v>
      </c>
      <c r="F155" s="3">
        <v>85.0</v>
      </c>
      <c r="G155" s="3">
        <v>1.0</v>
      </c>
      <c r="H155" s="3">
        <v>0.0</v>
      </c>
      <c r="I155" s="1"/>
      <c r="J155" s="3">
        <v>836.0</v>
      </c>
    </row>
    <row r="156">
      <c r="A156" s="3">
        <v>888.0</v>
      </c>
      <c r="B156" s="3">
        <v>888.0</v>
      </c>
      <c r="C156" s="3">
        <v>0.0</v>
      </c>
      <c r="D156" s="3">
        <v>1.0</v>
      </c>
      <c r="E156" s="1" t="s">
        <v>74</v>
      </c>
      <c r="F156" s="3">
        <v>86.0</v>
      </c>
      <c r="G156" s="3">
        <v>1.0</v>
      </c>
      <c r="H156" s="3">
        <v>0.0</v>
      </c>
      <c r="I156" s="1"/>
      <c r="J156" s="3">
        <v>836.0</v>
      </c>
    </row>
    <row r="157">
      <c r="A157" s="3">
        <v>889.0</v>
      </c>
      <c r="B157" s="3">
        <v>889.0</v>
      </c>
      <c r="C157" s="3">
        <v>0.0</v>
      </c>
      <c r="D157" s="3">
        <v>1.0</v>
      </c>
      <c r="E157" s="1" t="s">
        <v>74</v>
      </c>
      <c r="F157" s="3">
        <v>87.0</v>
      </c>
      <c r="G157" s="3">
        <v>1.0</v>
      </c>
      <c r="H157" s="3">
        <v>0.0</v>
      </c>
      <c r="I157" s="1"/>
      <c r="J157" s="3">
        <v>836.0</v>
      </c>
    </row>
    <row r="158">
      <c r="A158" s="3">
        <v>890.0</v>
      </c>
      <c r="B158" s="3">
        <v>890.0</v>
      </c>
      <c r="C158" s="3">
        <v>0.0</v>
      </c>
      <c r="D158" s="3">
        <v>1.0</v>
      </c>
      <c r="E158" s="1" t="s">
        <v>74</v>
      </c>
      <c r="F158" s="3">
        <v>88.0</v>
      </c>
      <c r="G158" s="3">
        <v>1.0</v>
      </c>
      <c r="H158" s="3">
        <v>0.0</v>
      </c>
      <c r="I158" s="1"/>
      <c r="J158" s="3">
        <v>836.0</v>
      </c>
    </row>
    <row r="159">
      <c r="A159" s="3">
        <v>891.0</v>
      </c>
      <c r="B159" s="3">
        <v>891.0</v>
      </c>
      <c r="C159" s="3">
        <v>0.0</v>
      </c>
      <c r="D159" s="3">
        <v>1.0</v>
      </c>
      <c r="E159" s="1" t="s">
        <v>74</v>
      </c>
      <c r="F159" s="3">
        <v>89.0</v>
      </c>
      <c r="G159" s="3">
        <v>1.0</v>
      </c>
      <c r="H159" s="3">
        <v>0.0</v>
      </c>
      <c r="I159" s="1"/>
      <c r="J159" s="3">
        <v>836.0</v>
      </c>
    </row>
    <row r="160">
      <c r="A160" s="3">
        <v>892.0</v>
      </c>
      <c r="B160" s="3">
        <v>892.0</v>
      </c>
      <c r="C160" s="3">
        <v>0.0</v>
      </c>
      <c r="D160" s="3">
        <v>1.0</v>
      </c>
      <c r="E160" s="1" t="s">
        <v>74</v>
      </c>
      <c r="F160" s="3">
        <v>90.0</v>
      </c>
      <c r="G160" s="3">
        <v>1.0</v>
      </c>
      <c r="H160" s="3">
        <v>0.0</v>
      </c>
      <c r="I160" s="1"/>
      <c r="J160" s="3">
        <v>836.0</v>
      </c>
    </row>
    <row r="161">
      <c r="A161" s="3">
        <v>893.0</v>
      </c>
      <c r="B161" s="3">
        <v>893.0</v>
      </c>
      <c r="C161" s="3">
        <v>0.0</v>
      </c>
      <c r="D161" s="3">
        <v>1.0</v>
      </c>
      <c r="E161" s="1" t="s">
        <v>74</v>
      </c>
      <c r="F161" s="3">
        <v>91.0</v>
      </c>
      <c r="G161" s="3">
        <v>1.0</v>
      </c>
      <c r="H161" s="3">
        <v>0.0</v>
      </c>
      <c r="I161" s="1"/>
      <c r="J161" s="3">
        <v>836.0</v>
      </c>
    </row>
    <row r="162">
      <c r="A162" s="3">
        <v>894.0</v>
      </c>
      <c r="B162" s="3">
        <v>894.0</v>
      </c>
      <c r="C162" s="3">
        <v>0.0</v>
      </c>
      <c r="D162" s="3">
        <v>1.0</v>
      </c>
      <c r="E162" s="1" t="s">
        <v>74</v>
      </c>
      <c r="F162" s="3">
        <v>92.0</v>
      </c>
      <c r="G162" s="3">
        <v>1.0</v>
      </c>
      <c r="H162" s="3">
        <v>0.0</v>
      </c>
      <c r="I162" s="1"/>
      <c r="J162" s="3">
        <v>836.0</v>
      </c>
    </row>
    <row r="163">
      <c r="A163" s="3">
        <v>895.0</v>
      </c>
      <c r="B163" s="3">
        <v>895.0</v>
      </c>
      <c r="C163" s="3">
        <v>0.0</v>
      </c>
      <c r="D163" s="3">
        <v>1.0</v>
      </c>
      <c r="E163" s="1" t="s">
        <v>74</v>
      </c>
      <c r="F163" s="3">
        <v>93.0</v>
      </c>
      <c r="G163" s="3">
        <v>1.0</v>
      </c>
      <c r="H163" s="3">
        <v>0.0</v>
      </c>
      <c r="I163" s="1"/>
      <c r="J163" s="3">
        <v>836.0</v>
      </c>
    </row>
    <row r="164">
      <c r="A164" s="3">
        <v>896.0</v>
      </c>
      <c r="B164" s="3">
        <v>896.0</v>
      </c>
      <c r="C164" s="3">
        <v>0.0</v>
      </c>
      <c r="D164" s="3">
        <v>1.0</v>
      </c>
      <c r="E164" s="1" t="s">
        <v>74</v>
      </c>
      <c r="F164" s="3">
        <v>94.0</v>
      </c>
      <c r="G164" s="3">
        <v>1.0</v>
      </c>
      <c r="H164" s="3">
        <v>0.0</v>
      </c>
      <c r="I164" s="1"/>
      <c r="J164" s="3">
        <v>836.0</v>
      </c>
    </row>
    <row r="165">
      <c r="A165" s="3">
        <v>897.0</v>
      </c>
      <c r="B165" s="3">
        <v>897.0</v>
      </c>
      <c r="C165" s="3">
        <v>0.0</v>
      </c>
      <c r="D165" s="3">
        <v>1.0</v>
      </c>
      <c r="E165" s="1" t="s">
        <v>74</v>
      </c>
      <c r="F165" s="3">
        <v>95.0</v>
      </c>
      <c r="G165" s="3">
        <v>1.0</v>
      </c>
      <c r="H165" s="3">
        <v>0.0</v>
      </c>
      <c r="I165" s="1"/>
      <c r="J165" s="3">
        <v>836.0</v>
      </c>
    </row>
    <row r="166">
      <c r="A166" s="3">
        <v>899.0</v>
      </c>
      <c r="B166" s="3">
        <v>899.0</v>
      </c>
      <c r="C166" s="3">
        <v>0.0</v>
      </c>
      <c r="D166" s="3">
        <v>1.0</v>
      </c>
      <c r="E166" s="1" t="s">
        <v>74</v>
      </c>
      <c r="F166" s="3">
        <v>96.0</v>
      </c>
      <c r="G166" s="3">
        <v>1.0</v>
      </c>
      <c r="H166" s="3">
        <v>0.0</v>
      </c>
      <c r="I166" s="1"/>
      <c r="J166" s="3">
        <v>836.0</v>
      </c>
    </row>
    <row r="167">
      <c r="A167" s="3">
        <v>900.0</v>
      </c>
      <c r="B167" s="3">
        <v>900.0</v>
      </c>
      <c r="C167" s="3">
        <v>0.0</v>
      </c>
      <c r="D167" s="3">
        <v>1.0</v>
      </c>
      <c r="E167" s="1" t="s">
        <v>74</v>
      </c>
      <c r="F167" s="3">
        <v>97.0</v>
      </c>
      <c r="G167" s="3">
        <v>1.0</v>
      </c>
      <c r="H167" s="3">
        <v>0.0</v>
      </c>
      <c r="I167" s="1"/>
      <c r="J167" s="3">
        <v>836.0</v>
      </c>
    </row>
    <row r="168">
      <c r="A168" s="3">
        <v>901.0</v>
      </c>
      <c r="B168" s="3">
        <v>901.0</v>
      </c>
      <c r="C168" s="3">
        <v>0.0</v>
      </c>
      <c r="D168" s="3">
        <v>1.0</v>
      </c>
      <c r="E168" s="1" t="s">
        <v>74</v>
      </c>
      <c r="F168" s="3">
        <v>98.0</v>
      </c>
      <c r="G168" s="3">
        <v>1.0</v>
      </c>
      <c r="H168" s="3">
        <v>0.0</v>
      </c>
      <c r="I168" s="1"/>
      <c r="J168" s="3">
        <v>836.0</v>
      </c>
    </row>
    <row r="169">
      <c r="A169" s="3">
        <v>902.0</v>
      </c>
      <c r="B169" s="3">
        <v>902.0</v>
      </c>
      <c r="C169" s="3">
        <v>0.0</v>
      </c>
      <c r="D169" s="3">
        <v>1.0</v>
      </c>
      <c r="E169" s="1" t="s">
        <v>74</v>
      </c>
      <c r="F169" s="3">
        <v>99.0</v>
      </c>
      <c r="G169" s="3">
        <v>1.0</v>
      </c>
      <c r="H169" s="3">
        <v>0.0</v>
      </c>
      <c r="I169" s="1"/>
      <c r="J169" s="3">
        <v>836.0</v>
      </c>
    </row>
    <row r="170">
      <c r="A170" s="3">
        <v>903.0</v>
      </c>
      <c r="B170" s="3">
        <v>903.0</v>
      </c>
      <c r="C170" s="3">
        <v>0.0</v>
      </c>
      <c r="D170" s="3">
        <v>1.0</v>
      </c>
      <c r="E170" s="1" t="s">
        <v>74</v>
      </c>
      <c r="F170" s="3">
        <v>100.0</v>
      </c>
      <c r="G170" s="3">
        <v>1.0</v>
      </c>
      <c r="H170" s="3">
        <v>0.0</v>
      </c>
      <c r="I170" s="1"/>
      <c r="J170" s="3">
        <v>836.0</v>
      </c>
    </row>
    <row r="171">
      <c r="A171" s="3">
        <v>904.0</v>
      </c>
      <c r="B171" s="3">
        <v>904.0</v>
      </c>
      <c r="C171" s="3">
        <v>0.0</v>
      </c>
      <c r="D171" s="3">
        <v>1.0</v>
      </c>
      <c r="E171" s="1" t="s">
        <v>74</v>
      </c>
      <c r="F171" s="3">
        <v>101.0</v>
      </c>
      <c r="G171" s="3">
        <v>1.0</v>
      </c>
      <c r="H171" s="3">
        <v>0.0</v>
      </c>
      <c r="I171" s="1"/>
      <c r="J171" s="3">
        <v>836.0</v>
      </c>
    </row>
    <row r="172">
      <c r="A172" s="3">
        <v>905.0</v>
      </c>
      <c r="B172" s="3">
        <v>905.0</v>
      </c>
      <c r="C172" s="3">
        <v>0.0</v>
      </c>
      <c r="D172" s="3">
        <v>1.0</v>
      </c>
      <c r="E172" s="1" t="s">
        <v>74</v>
      </c>
      <c r="F172" s="3">
        <v>102.0</v>
      </c>
      <c r="G172" s="3">
        <v>1.0</v>
      </c>
      <c r="H172" s="3">
        <v>0.0</v>
      </c>
      <c r="I172" s="1"/>
      <c r="J172" s="3">
        <v>836.0</v>
      </c>
    </row>
    <row r="173">
      <c r="A173" s="3">
        <v>906.0</v>
      </c>
      <c r="B173" s="3">
        <v>906.0</v>
      </c>
      <c r="C173" s="3">
        <v>0.0</v>
      </c>
      <c r="D173" s="3">
        <v>1.0</v>
      </c>
      <c r="E173" s="1" t="s">
        <v>74</v>
      </c>
      <c r="F173" s="3">
        <v>103.0</v>
      </c>
      <c r="G173" s="3">
        <v>1.0</v>
      </c>
      <c r="H173" s="3">
        <v>0.0</v>
      </c>
      <c r="I173" s="1"/>
      <c r="J173" s="3">
        <v>836.0</v>
      </c>
    </row>
    <row r="174">
      <c r="A174" s="3">
        <v>907.0</v>
      </c>
      <c r="B174" s="3">
        <v>907.0</v>
      </c>
      <c r="C174" s="3">
        <v>0.0</v>
      </c>
      <c r="D174" s="3">
        <v>1.0</v>
      </c>
      <c r="E174" s="1" t="s">
        <v>74</v>
      </c>
      <c r="F174" s="3">
        <v>104.0</v>
      </c>
      <c r="G174" s="3">
        <v>1.0</v>
      </c>
      <c r="H174" s="3">
        <v>0.0</v>
      </c>
      <c r="I174" s="1"/>
      <c r="J174" s="3">
        <v>836.0</v>
      </c>
    </row>
    <row r="175">
      <c r="A175" s="3">
        <v>908.0</v>
      </c>
      <c r="B175" s="3">
        <v>908.0</v>
      </c>
      <c r="C175" s="3">
        <v>0.0</v>
      </c>
      <c r="D175" s="3">
        <v>1.0</v>
      </c>
      <c r="E175" s="1" t="s">
        <v>74</v>
      </c>
      <c r="F175" s="3">
        <v>105.0</v>
      </c>
      <c r="G175" s="3">
        <v>1.0</v>
      </c>
      <c r="H175" s="3">
        <v>0.0</v>
      </c>
      <c r="I175" s="1"/>
      <c r="J175" s="3">
        <v>836.0</v>
      </c>
    </row>
    <row r="176">
      <c r="A176" s="3">
        <v>909.0</v>
      </c>
      <c r="B176" s="3">
        <v>909.0</v>
      </c>
      <c r="C176" s="3">
        <v>0.0</v>
      </c>
      <c r="D176" s="3">
        <v>1.0</v>
      </c>
      <c r="E176" s="1" t="s">
        <v>74</v>
      </c>
      <c r="F176" s="3">
        <v>106.0</v>
      </c>
      <c r="G176" s="3">
        <v>1.0</v>
      </c>
      <c r="H176" s="3">
        <v>0.0</v>
      </c>
      <c r="I176" s="1"/>
      <c r="J176" s="3">
        <v>836.0</v>
      </c>
    </row>
    <row r="177">
      <c r="A177" s="3">
        <v>910.0</v>
      </c>
      <c r="B177" s="3">
        <v>910.0</v>
      </c>
      <c r="C177" s="3">
        <v>0.0</v>
      </c>
      <c r="D177" s="3">
        <v>1.0</v>
      </c>
      <c r="E177" s="1" t="s">
        <v>74</v>
      </c>
      <c r="F177" s="3">
        <v>107.0</v>
      </c>
      <c r="G177" s="3">
        <v>1.0</v>
      </c>
      <c r="H177" s="3">
        <v>0.0</v>
      </c>
      <c r="I177" s="1"/>
      <c r="J177" s="3">
        <v>836.0</v>
      </c>
    </row>
    <row r="178">
      <c r="A178" s="3">
        <v>911.0</v>
      </c>
      <c r="B178" s="3">
        <v>911.0</v>
      </c>
      <c r="C178" s="3">
        <v>0.0</v>
      </c>
      <c r="D178" s="3">
        <v>1.0</v>
      </c>
      <c r="E178" s="1" t="s">
        <v>74</v>
      </c>
      <c r="F178" s="3">
        <v>108.0</v>
      </c>
      <c r="G178" s="3">
        <v>1.0</v>
      </c>
      <c r="H178" s="3">
        <v>0.0</v>
      </c>
      <c r="I178" s="1"/>
      <c r="J178" s="3">
        <v>836.0</v>
      </c>
    </row>
    <row r="179">
      <c r="A179" s="3">
        <v>912.0</v>
      </c>
      <c r="B179" s="3">
        <v>912.0</v>
      </c>
      <c r="C179" s="3">
        <v>0.0</v>
      </c>
      <c r="D179" s="3">
        <v>1.0</v>
      </c>
      <c r="E179" s="1" t="s">
        <v>74</v>
      </c>
      <c r="F179" s="3">
        <v>109.0</v>
      </c>
      <c r="G179" s="3">
        <v>1.0</v>
      </c>
      <c r="H179" s="3">
        <v>0.0</v>
      </c>
      <c r="I179" s="1"/>
      <c r="J179" s="3">
        <v>836.0</v>
      </c>
    </row>
    <row r="180">
      <c r="A180" s="3">
        <v>913.0</v>
      </c>
      <c r="B180" s="3">
        <v>913.0</v>
      </c>
      <c r="C180" s="3">
        <v>0.0</v>
      </c>
      <c r="D180" s="3">
        <v>1.0</v>
      </c>
      <c r="E180" s="1" t="s">
        <v>74</v>
      </c>
      <c r="F180" s="3">
        <v>110.0</v>
      </c>
      <c r="G180" s="3">
        <v>1.0</v>
      </c>
      <c r="H180" s="3">
        <v>0.0</v>
      </c>
      <c r="I180" s="1"/>
      <c r="J180" s="3">
        <v>836.0</v>
      </c>
    </row>
    <row r="181">
      <c r="A181" s="3">
        <v>914.0</v>
      </c>
      <c r="B181" s="3">
        <v>914.0</v>
      </c>
      <c r="C181" s="3">
        <v>0.0</v>
      </c>
      <c r="D181" s="3">
        <v>1.0</v>
      </c>
      <c r="E181" s="1" t="s">
        <v>74</v>
      </c>
      <c r="F181" s="3">
        <v>111.0</v>
      </c>
      <c r="G181" s="3">
        <v>1.0</v>
      </c>
      <c r="H181" s="3">
        <v>0.0</v>
      </c>
      <c r="I181" s="1"/>
      <c r="J181" s="3">
        <v>836.0</v>
      </c>
    </row>
    <row r="182">
      <c r="A182" s="3">
        <v>915.0</v>
      </c>
      <c r="B182" s="3">
        <v>915.0</v>
      </c>
      <c r="C182" s="3">
        <v>0.0</v>
      </c>
      <c r="D182" s="3">
        <v>1.0</v>
      </c>
      <c r="E182" s="1" t="s">
        <v>74</v>
      </c>
      <c r="F182" s="3">
        <v>112.0</v>
      </c>
      <c r="G182" s="3">
        <v>1.0</v>
      </c>
      <c r="H182" s="3">
        <v>0.0</v>
      </c>
      <c r="I182" s="1"/>
      <c r="J182" s="3">
        <v>836.0</v>
      </c>
    </row>
    <row r="183">
      <c r="A183" s="3">
        <v>916.0</v>
      </c>
      <c r="B183" s="3">
        <v>916.0</v>
      </c>
      <c r="C183" s="3">
        <v>0.0</v>
      </c>
      <c r="D183" s="3">
        <v>1.0</v>
      </c>
      <c r="E183" s="1" t="s">
        <v>74</v>
      </c>
      <c r="F183" s="3">
        <v>113.0</v>
      </c>
      <c r="G183" s="3">
        <v>1.0</v>
      </c>
      <c r="H183" s="3">
        <v>0.0</v>
      </c>
      <c r="I183" s="1"/>
      <c r="J183" s="3">
        <v>836.0</v>
      </c>
    </row>
    <row r="184">
      <c r="A184" s="3">
        <v>917.0</v>
      </c>
      <c r="B184" s="3">
        <v>917.0</v>
      </c>
      <c r="C184" s="3">
        <v>0.0</v>
      </c>
      <c r="D184" s="3">
        <v>1.0</v>
      </c>
      <c r="E184" s="1" t="s">
        <v>74</v>
      </c>
      <c r="F184" s="3">
        <v>114.0</v>
      </c>
      <c r="G184" s="3">
        <v>1.0</v>
      </c>
      <c r="H184" s="3">
        <v>0.0</v>
      </c>
      <c r="I184" s="1"/>
      <c r="J184" s="3">
        <v>836.0</v>
      </c>
    </row>
    <row r="185">
      <c r="A185" s="3">
        <v>918.0</v>
      </c>
      <c r="B185" s="3">
        <v>918.0</v>
      </c>
      <c r="C185" s="3">
        <v>0.0</v>
      </c>
      <c r="D185" s="3">
        <v>1.0</v>
      </c>
      <c r="E185" s="1" t="s">
        <v>74</v>
      </c>
      <c r="F185" s="3">
        <v>115.0</v>
      </c>
      <c r="G185" s="3">
        <v>1.0</v>
      </c>
      <c r="H185" s="3">
        <v>0.0</v>
      </c>
      <c r="I185" s="1"/>
      <c r="J185" s="3">
        <v>836.0</v>
      </c>
    </row>
    <row r="186">
      <c r="A186" s="3">
        <v>919.0</v>
      </c>
      <c r="B186" s="3">
        <v>919.0</v>
      </c>
      <c r="C186" s="3">
        <v>0.0</v>
      </c>
      <c r="D186" s="3">
        <v>1.0</v>
      </c>
      <c r="E186" s="1" t="s">
        <v>74</v>
      </c>
      <c r="F186" s="3">
        <v>116.0</v>
      </c>
      <c r="G186" s="3">
        <v>1.0</v>
      </c>
      <c r="H186" s="3">
        <v>0.0</v>
      </c>
      <c r="I186" s="1"/>
      <c r="J186" s="3">
        <v>836.0</v>
      </c>
    </row>
    <row r="187">
      <c r="A187" s="3">
        <v>920.0</v>
      </c>
      <c r="B187" s="3">
        <v>920.0</v>
      </c>
      <c r="C187" s="3">
        <v>0.0</v>
      </c>
      <c r="D187" s="3">
        <v>1.0</v>
      </c>
      <c r="E187" s="1" t="s">
        <v>74</v>
      </c>
      <c r="F187" s="3">
        <v>117.0</v>
      </c>
      <c r="G187" s="3">
        <v>1.0</v>
      </c>
      <c r="H187" s="3">
        <v>0.0</v>
      </c>
      <c r="I187" s="1"/>
      <c r="J187" s="3">
        <v>836.0</v>
      </c>
    </row>
    <row r="188">
      <c r="A188" s="3">
        <v>921.0</v>
      </c>
      <c r="B188" s="3">
        <v>921.0</v>
      </c>
      <c r="C188" s="3">
        <v>0.0</v>
      </c>
      <c r="D188" s="3">
        <v>1.0</v>
      </c>
      <c r="E188" s="1" t="s">
        <v>74</v>
      </c>
      <c r="F188" s="3">
        <v>118.0</v>
      </c>
      <c r="G188" s="3">
        <v>1.0</v>
      </c>
      <c r="H188" s="3">
        <v>0.0</v>
      </c>
      <c r="I188" s="1"/>
      <c r="J188" s="3">
        <v>836.0</v>
      </c>
    </row>
    <row r="189">
      <c r="A189" s="3">
        <v>922.0</v>
      </c>
      <c r="B189" s="3">
        <v>922.0</v>
      </c>
      <c r="C189" s="3">
        <v>0.0</v>
      </c>
      <c r="D189" s="3">
        <v>1.0</v>
      </c>
      <c r="E189" s="1" t="s">
        <v>74</v>
      </c>
      <c r="F189" s="3">
        <v>119.0</v>
      </c>
      <c r="G189" s="3">
        <v>1.0</v>
      </c>
      <c r="H189" s="3">
        <v>0.0</v>
      </c>
      <c r="I189" s="1"/>
      <c r="J189" s="3">
        <v>836.0</v>
      </c>
    </row>
    <row r="190">
      <c r="A190" s="3">
        <v>923.0</v>
      </c>
      <c r="B190" s="3">
        <v>923.0</v>
      </c>
      <c r="C190" s="3">
        <v>0.0</v>
      </c>
      <c r="D190" s="3">
        <v>1.0</v>
      </c>
      <c r="E190" s="1" t="s">
        <v>74</v>
      </c>
      <c r="F190" s="3">
        <v>120.0</v>
      </c>
      <c r="G190" s="3">
        <v>1.0</v>
      </c>
      <c r="H190" s="3">
        <v>0.0</v>
      </c>
      <c r="I190" s="1"/>
      <c r="J190" s="3">
        <v>836.0</v>
      </c>
    </row>
    <row r="191">
      <c r="A191" s="3">
        <v>924.0</v>
      </c>
      <c r="B191" s="3">
        <v>924.0</v>
      </c>
      <c r="C191" s="3">
        <v>0.0</v>
      </c>
      <c r="D191" s="3">
        <v>1.0</v>
      </c>
      <c r="E191" s="1" t="s">
        <v>74</v>
      </c>
      <c r="F191" s="3">
        <v>121.0</v>
      </c>
      <c r="G191" s="3">
        <v>1.0</v>
      </c>
      <c r="H191" s="3">
        <v>0.0</v>
      </c>
      <c r="I191" s="1"/>
      <c r="J191" s="3">
        <v>836.0</v>
      </c>
    </row>
    <row r="192">
      <c r="A192" s="3">
        <v>925.0</v>
      </c>
      <c r="B192" s="3">
        <v>925.0</v>
      </c>
      <c r="C192" s="3">
        <v>0.0</v>
      </c>
      <c r="D192" s="3">
        <v>1.0</v>
      </c>
      <c r="E192" s="1" t="s">
        <v>74</v>
      </c>
      <c r="F192" s="3">
        <v>122.0</v>
      </c>
      <c r="G192" s="3">
        <v>1.0</v>
      </c>
      <c r="H192" s="3">
        <v>0.0</v>
      </c>
      <c r="I192" s="1"/>
      <c r="J192" s="3">
        <v>836.0</v>
      </c>
    </row>
    <row r="193">
      <c r="A193" s="3">
        <v>926.0</v>
      </c>
      <c r="B193" s="3">
        <v>926.0</v>
      </c>
      <c r="C193" s="3">
        <v>0.0</v>
      </c>
      <c r="D193" s="3">
        <v>1.0</v>
      </c>
      <c r="E193" s="1" t="s">
        <v>74</v>
      </c>
      <c r="F193" s="3">
        <v>123.0</v>
      </c>
      <c r="G193" s="3">
        <v>1.0</v>
      </c>
      <c r="H193" s="3">
        <v>0.0</v>
      </c>
      <c r="I193" s="1"/>
      <c r="J193" s="3">
        <v>836.0</v>
      </c>
    </row>
    <row r="194">
      <c r="A194" s="3">
        <v>927.0</v>
      </c>
      <c r="B194" s="3">
        <v>927.0</v>
      </c>
      <c r="C194" s="3">
        <v>0.0</v>
      </c>
      <c r="D194" s="3">
        <v>1.0</v>
      </c>
      <c r="E194" s="1" t="s">
        <v>74</v>
      </c>
      <c r="F194" s="3">
        <v>124.0</v>
      </c>
      <c r="G194" s="3">
        <v>1.0</v>
      </c>
      <c r="H194" s="3">
        <v>0.0</v>
      </c>
      <c r="I194" s="1"/>
      <c r="J194" s="3">
        <v>836.0</v>
      </c>
    </row>
    <row r="195">
      <c r="A195" s="3">
        <v>928.0</v>
      </c>
      <c r="B195" s="3">
        <v>928.0</v>
      </c>
      <c r="C195" s="3">
        <v>0.0</v>
      </c>
      <c r="D195" s="3">
        <v>1.0</v>
      </c>
      <c r="E195" s="1" t="s">
        <v>74</v>
      </c>
      <c r="F195" s="3">
        <v>125.0</v>
      </c>
      <c r="G195" s="3">
        <v>1.0</v>
      </c>
      <c r="H195" s="3">
        <v>0.0</v>
      </c>
      <c r="I195" s="1"/>
      <c r="J195" s="3">
        <v>836.0</v>
      </c>
    </row>
    <row r="196">
      <c r="A196" s="3">
        <v>929.0</v>
      </c>
      <c r="B196" s="3">
        <v>929.0</v>
      </c>
      <c r="C196" s="3">
        <v>0.0</v>
      </c>
      <c r="D196" s="3">
        <v>1.0</v>
      </c>
      <c r="E196" s="1" t="s">
        <v>74</v>
      </c>
      <c r="F196" s="3">
        <v>126.0</v>
      </c>
      <c r="G196" s="3">
        <v>1.0</v>
      </c>
      <c r="H196" s="3">
        <v>0.0</v>
      </c>
      <c r="I196" s="1"/>
      <c r="J196" s="3">
        <v>836.0</v>
      </c>
    </row>
    <row r="197">
      <c r="A197" s="3">
        <v>930.0</v>
      </c>
      <c r="B197" s="3">
        <v>930.0</v>
      </c>
      <c r="C197" s="3">
        <v>0.0</v>
      </c>
      <c r="D197" s="3">
        <v>1.0</v>
      </c>
      <c r="E197" s="1" t="s">
        <v>75</v>
      </c>
      <c r="F197" s="3">
        <v>1.0</v>
      </c>
      <c r="G197" s="3">
        <v>1.0</v>
      </c>
      <c r="H197" s="3">
        <v>0.0</v>
      </c>
      <c r="I197" s="1"/>
      <c r="J197" s="3">
        <v>836.0</v>
      </c>
    </row>
    <row r="198">
      <c r="A198" s="3">
        <v>931.0</v>
      </c>
      <c r="B198" s="3">
        <v>931.0</v>
      </c>
      <c r="C198" s="3">
        <v>0.0</v>
      </c>
      <c r="D198" s="3">
        <v>1.0</v>
      </c>
      <c r="E198" s="1" t="s">
        <v>75</v>
      </c>
      <c r="F198" s="3">
        <v>2.0</v>
      </c>
      <c r="G198" s="3">
        <v>1.0</v>
      </c>
      <c r="H198" s="3">
        <v>0.0</v>
      </c>
      <c r="I198" s="1"/>
      <c r="J198" s="3">
        <v>836.0</v>
      </c>
    </row>
    <row r="199">
      <c r="A199" s="3">
        <v>932.0</v>
      </c>
      <c r="B199" s="3">
        <v>932.0</v>
      </c>
      <c r="C199" s="3">
        <v>0.0</v>
      </c>
      <c r="D199" s="3">
        <v>1.0</v>
      </c>
      <c r="E199" s="1" t="s">
        <v>75</v>
      </c>
      <c r="F199" s="3">
        <v>3.0</v>
      </c>
      <c r="G199" s="3">
        <v>1.0</v>
      </c>
      <c r="H199" s="3">
        <v>0.0</v>
      </c>
      <c r="I199" s="1"/>
      <c r="J199" s="3">
        <v>836.0</v>
      </c>
    </row>
    <row r="200">
      <c r="A200" s="3">
        <v>933.0</v>
      </c>
      <c r="B200" s="3">
        <v>933.0</v>
      </c>
      <c r="C200" s="3">
        <v>0.0</v>
      </c>
      <c r="D200" s="3">
        <v>1.0</v>
      </c>
      <c r="E200" s="1" t="s">
        <v>75</v>
      </c>
      <c r="F200" s="3">
        <v>4.0</v>
      </c>
      <c r="G200" s="3">
        <v>1.0</v>
      </c>
      <c r="H200" s="3">
        <v>0.0</v>
      </c>
      <c r="I200" s="1"/>
      <c r="J200" s="3">
        <v>836.0</v>
      </c>
    </row>
    <row r="201">
      <c r="A201" s="3">
        <v>934.0</v>
      </c>
      <c r="B201" s="3">
        <v>934.0</v>
      </c>
      <c r="C201" s="3">
        <v>0.0</v>
      </c>
      <c r="D201" s="3">
        <v>1.0</v>
      </c>
      <c r="E201" s="1" t="s">
        <v>75</v>
      </c>
      <c r="F201" s="3">
        <v>5.0</v>
      </c>
      <c r="G201" s="3">
        <v>1.0</v>
      </c>
      <c r="H201" s="3">
        <v>0.0</v>
      </c>
      <c r="I201" s="1"/>
      <c r="J201" s="3">
        <v>836.0</v>
      </c>
    </row>
    <row r="202">
      <c r="A202" s="3">
        <v>935.0</v>
      </c>
      <c r="B202" s="3">
        <v>935.0</v>
      </c>
      <c r="C202" s="3">
        <v>0.0</v>
      </c>
      <c r="D202" s="3">
        <v>1.0</v>
      </c>
      <c r="E202" s="1" t="s">
        <v>75</v>
      </c>
      <c r="F202" s="3">
        <v>6.0</v>
      </c>
      <c r="G202" s="3">
        <v>1.0</v>
      </c>
      <c r="H202" s="3">
        <v>0.0</v>
      </c>
      <c r="I202" s="1"/>
      <c r="J202" s="3">
        <v>836.0</v>
      </c>
    </row>
    <row r="203">
      <c r="A203" s="3">
        <v>936.0</v>
      </c>
      <c r="B203" s="3">
        <v>936.0</v>
      </c>
      <c r="C203" s="3">
        <v>0.0</v>
      </c>
      <c r="D203" s="3">
        <v>1.0</v>
      </c>
      <c r="E203" s="1" t="s">
        <v>75</v>
      </c>
      <c r="F203" s="3">
        <v>7.0</v>
      </c>
      <c r="G203" s="3">
        <v>1.0</v>
      </c>
      <c r="H203" s="3">
        <v>0.0</v>
      </c>
      <c r="I203" s="1"/>
      <c r="J203" s="3">
        <v>836.0</v>
      </c>
    </row>
    <row r="204">
      <c r="A204" s="3">
        <v>937.0</v>
      </c>
      <c r="B204" s="3">
        <v>937.0</v>
      </c>
      <c r="C204" s="3">
        <v>0.0</v>
      </c>
      <c r="D204" s="3">
        <v>1.0</v>
      </c>
      <c r="E204" s="1" t="s">
        <v>75</v>
      </c>
      <c r="F204" s="3">
        <v>8.0</v>
      </c>
      <c r="G204" s="3">
        <v>1.0</v>
      </c>
      <c r="H204" s="3">
        <v>0.0</v>
      </c>
      <c r="I204" s="1"/>
      <c r="J204" s="3">
        <v>836.0</v>
      </c>
    </row>
    <row r="205">
      <c r="A205" s="3">
        <v>938.0</v>
      </c>
      <c r="B205" s="3">
        <v>938.0</v>
      </c>
      <c r="C205" s="3">
        <v>0.0</v>
      </c>
      <c r="D205" s="3">
        <v>1.0</v>
      </c>
      <c r="E205" s="1" t="s">
        <v>75</v>
      </c>
      <c r="F205" s="3">
        <v>9.0</v>
      </c>
      <c r="G205" s="3">
        <v>1.0</v>
      </c>
      <c r="H205" s="3">
        <v>0.0</v>
      </c>
      <c r="I205" s="1"/>
      <c r="J205" s="3">
        <v>836.0</v>
      </c>
    </row>
    <row r="206">
      <c r="A206" s="3">
        <v>939.0</v>
      </c>
      <c r="B206" s="3">
        <v>939.0</v>
      </c>
      <c r="C206" s="3">
        <v>0.0</v>
      </c>
      <c r="D206" s="3">
        <v>1.0</v>
      </c>
      <c r="E206" s="1" t="s">
        <v>75</v>
      </c>
      <c r="F206" s="3">
        <v>10.0</v>
      </c>
      <c r="G206" s="3">
        <v>1.0</v>
      </c>
      <c r="H206" s="3">
        <v>0.0</v>
      </c>
      <c r="I206" s="1"/>
      <c r="J206" s="3">
        <v>836.0</v>
      </c>
    </row>
    <row r="207">
      <c r="A207" s="3">
        <v>940.0</v>
      </c>
      <c r="B207" s="3">
        <v>940.0</v>
      </c>
      <c r="C207" s="3">
        <v>0.0</v>
      </c>
      <c r="D207" s="3">
        <v>1.0</v>
      </c>
      <c r="E207" s="1" t="s">
        <v>75</v>
      </c>
      <c r="F207" s="3">
        <v>11.0</v>
      </c>
      <c r="G207" s="3">
        <v>1.0</v>
      </c>
      <c r="H207" s="3">
        <v>0.0</v>
      </c>
      <c r="I207" s="1"/>
      <c r="J207" s="3">
        <v>836.0</v>
      </c>
    </row>
    <row r="208">
      <c r="A208" s="3">
        <v>941.0</v>
      </c>
      <c r="B208" s="3">
        <v>941.0</v>
      </c>
      <c r="C208" s="3">
        <v>0.0</v>
      </c>
      <c r="D208" s="3">
        <v>1.0</v>
      </c>
      <c r="E208" s="1" t="s">
        <v>75</v>
      </c>
      <c r="F208" s="3">
        <v>12.0</v>
      </c>
      <c r="G208" s="3">
        <v>1.0</v>
      </c>
      <c r="H208" s="3">
        <v>0.0</v>
      </c>
      <c r="I208" s="1"/>
      <c r="J208" s="3">
        <v>836.0</v>
      </c>
    </row>
    <row r="209">
      <c r="A209" s="3">
        <v>942.0</v>
      </c>
      <c r="B209" s="3">
        <v>942.0</v>
      </c>
      <c r="C209" s="3">
        <v>0.0</v>
      </c>
      <c r="D209" s="3">
        <v>1.0</v>
      </c>
      <c r="E209" s="1" t="s">
        <v>75</v>
      </c>
      <c r="F209" s="3">
        <v>13.0</v>
      </c>
      <c r="G209" s="3">
        <v>1.0</v>
      </c>
      <c r="H209" s="3">
        <v>0.0</v>
      </c>
      <c r="I209" s="1"/>
      <c r="J209" s="3">
        <v>836.0</v>
      </c>
    </row>
    <row r="210">
      <c r="A210" s="3">
        <v>943.0</v>
      </c>
      <c r="B210" s="3">
        <v>943.0</v>
      </c>
      <c r="C210" s="3">
        <v>0.0</v>
      </c>
      <c r="D210" s="3">
        <v>1.0</v>
      </c>
      <c r="E210" s="1" t="s">
        <v>75</v>
      </c>
      <c r="F210" s="3">
        <v>14.0</v>
      </c>
      <c r="G210" s="3">
        <v>1.0</v>
      </c>
      <c r="H210" s="3">
        <v>0.0</v>
      </c>
      <c r="I210" s="1"/>
      <c r="J210" s="3">
        <v>836.0</v>
      </c>
    </row>
    <row r="211">
      <c r="A211" s="3">
        <v>944.0</v>
      </c>
      <c r="B211" s="3">
        <v>944.0</v>
      </c>
      <c r="C211" s="3">
        <v>0.0</v>
      </c>
      <c r="D211" s="3">
        <v>1.0</v>
      </c>
      <c r="E211" s="1" t="s">
        <v>75</v>
      </c>
      <c r="F211" s="3">
        <v>15.0</v>
      </c>
      <c r="G211" s="3">
        <v>1.0</v>
      </c>
      <c r="H211" s="3">
        <v>0.0</v>
      </c>
      <c r="I211" s="1"/>
      <c r="J211" s="3">
        <v>836.0</v>
      </c>
    </row>
    <row r="212">
      <c r="A212" s="3">
        <v>945.0</v>
      </c>
      <c r="B212" s="3">
        <v>945.0</v>
      </c>
      <c r="C212" s="3">
        <v>0.0</v>
      </c>
      <c r="D212" s="3">
        <v>1.0</v>
      </c>
      <c r="E212" s="1" t="s">
        <v>76</v>
      </c>
      <c r="F212" s="3">
        <v>1.0</v>
      </c>
      <c r="G212" s="3">
        <v>1.0</v>
      </c>
      <c r="H212" s="3">
        <v>0.0</v>
      </c>
      <c r="I212" s="1"/>
      <c r="J212" s="3">
        <v>836.0</v>
      </c>
    </row>
    <row r="213">
      <c r="A213" s="3">
        <v>946.0</v>
      </c>
      <c r="B213" s="3">
        <v>946.0</v>
      </c>
      <c r="C213" s="3">
        <v>0.0</v>
      </c>
      <c r="D213" s="3">
        <v>1.0</v>
      </c>
      <c r="E213" s="1" t="s">
        <v>76</v>
      </c>
      <c r="F213" s="3">
        <v>2.0</v>
      </c>
      <c r="G213" s="3">
        <v>1.0</v>
      </c>
      <c r="H213" s="3">
        <v>0.0</v>
      </c>
      <c r="I213" s="1"/>
      <c r="J213" s="3">
        <v>836.0</v>
      </c>
    </row>
    <row r="214">
      <c r="A214" s="3">
        <v>947.0</v>
      </c>
      <c r="B214" s="3">
        <v>947.0</v>
      </c>
      <c r="C214" s="3">
        <v>0.0</v>
      </c>
      <c r="D214" s="3">
        <v>1.0</v>
      </c>
      <c r="E214" s="1" t="s">
        <v>76</v>
      </c>
      <c r="F214" s="3">
        <v>3.0</v>
      </c>
      <c r="G214" s="3">
        <v>1.0</v>
      </c>
      <c r="H214" s="3">
        <v>0.0</v>
      </c>
      <c r="I214" s="1"/>
      <c r="J214" s="3">
        <v>836.0</v>
      </c>
    </row>
    <row r="215">
      <c r="A215" s="3">
        <v>948.0</v>
      </c>
      <c r="B215" s="3">
        <v>948.0</v>
      </c>
      <c r="C215" s="3">
        <v>0.0</v>
      </c>
      <c r="D215" s="3">
        <v>1.0</v>
      </c>
      <c r="E215" s="1" t="s">
        <v>76</v>
      </c>
      <c r="F215" s="3">
        <v>4.0</v>
      </c>
      <c r="G215" s="3">
        <v>1.0</v>
      </c>
      <c r="H215" s="3">
        <v>0.0</v>
      </c>
      <c r="I215" s="1"/>
      <c r="J215" s="3">
        <v>836.0</v>
      </c>
    </row>
    <row r="216">
      <c r="A216" s="3">
        <v>949.0</v>
      </c>
      <c r="B216" s="3">
        <v>949.0</v>
      </c>
      <c r="C216" s="3">
        <v>0.0</v>
      </c>
      <c r="D216" s="3">
        <v>1.0</v>
      </c>
      <c r="E216" s="1" t="s">
        <v>76</v>
      </c>
      <c r="F216" s="3">
        <v>5.0</v>
      </c>
      <c r="G216" s="3">
        <v>1.0</v>
      </c>
      <c r="H216" s="3">
        <v>0.0</v>
      </c>
      <c r="I216" s="1"/>
      <c r="J216" s="3">
        <v>836.0</v>
      </c>
    </row>
    <row r="217">
      <c r="A217" s="3">
        <v>950.0</v>
      </c>
      <c r="B217" s="3">
        <v>950.0</v>
      </c>
      <c r="C217" s="3">
        <v>0.0</v>
      </c>
      <c r="D217" s="3">
        <v>1.0</v>
      </c>
      <c r="E217" s="1" t="s">
        <v>77</v>
      </c>
      <c r="F217" s="3">
        <v>1.0</v>
      </c>
      <c r="G217" s="3">
        <v>1.0</v>
      </c>
      <c r="H217" s="3">
        <v>0.0</v>
      </c>
      <c r="I217" s="1"/>
      <c r="J217" s="3">
        <v>836.0</v>
      </c>
    </row>
    <row r="218">
      <c r="A218" s="3">
        <v>951.0</v>
      </c>
      <c r="B218" s="3">
        <v>951.0</v>
      </c>
      <c r="C218" s="3">
        <v>0.0</v>
      </c>
      <c r="D218" s="3">
        <v>1.0</v>
      </c>
      <c r="E218" s="1" t="s">
        <v>77</v>
      </c>
      <c r="F218" s="3">
        <v>2.0</v>
      </c>
      <c r="G218" s="3">
        <v>1.0</v>
      </c>
      <c r="H218" s="3">
        <v>0.0</v>
      </c>
      <c r="I218" s="1"/>
      <c r="J218" s="3">
        <v>836.0</v>
      </c>
    </row>
    <row r="219">
      <c r="A219" s="3">
        <v>952.0</v>
      </c>
      <c r="B219" s="3">
        <v>952.0</v>
      </c>
      <c r="C219" s="3">
        <v>0.0</v>
      </c>
      <c r="D219" s="3">
        <v>1.0</v>
      </c>
      <c r="E219" s="1" t="s">
        <v>77</v>
      </c>
      <c r="F219" s="3">
        <v>3.0</v>
      </c>
      <c r="G219" s="3">
        <v>1.0</v>
      </c>
      <c r="H219" s="3">
        <v>0.0</v>
      </c>
      <c r="I219" s="1"/>
      <c r="J219" s="3">
        <v>836.0</v>
      </c>
    </row>
    <row r="220">
      <c r="A220" s="3">
        <v>953.0</v>
      </c>
      <c r="B220" s="3">
        <v>953.0</v>
      </c>
      <c r="C220" s="3">
        <v>0.0</v>
      </c>
      <c r="D220" s="3">
        <v>1.0</v>
      </c>
      <c r="E220" s="1" t="s">
        <v>77</v>
      </c>
      <c r="F220" s="3">
        <v>4.0</v>
      </c>
      <c r="G220" s="3">
        <v>1.0</v>
      </c>
      <c r="H220" s="3">
        <v>0.0</v>
      </c>
      <c r="I220" s="1"/>
      <c r="J220" s="3">
        <v>836.0</v>
      </c>
    </row>
    <row r="221">
      <c r="A221" s="3">
        <v>954.0</v>
      </c>
      <c r="B221" s="3">
        <v>954.0</v>
      </c>
      <c r="C221" s="3">
        <v>0.0</v>
      </c>
      <c r="D221" s="3">
        <v>1.0</v>
      </c>
      <c r="E221" s="1" t="s">
        <v>77</v>
      </c>
      <c r="F221" s="3">
        <v>5.0</v>
      </c>
      <c r="G221" s="3">
        <v>1.0</v>
      </c>
      <c r="H221" s="3">
        <v>0.0</v>
      </c>
      <c r="I221" s="1"/>
      <c r="J221" s="3">
        <v>836.0</v>
      </c>
    </row>
    <row r="222">
      <c r="A222" s="3">
        <v>955.0</v>
      </c>
      <c r="B222" s="3">
        <v>955.0</v>
      </c>
      <c r="C222" s="3">
        <v>0.0</v>
      </c>
      <c r="D222" s="3">
        <v>1.0</v>
      </c>
      <c r="E222" s="1" t="s">
        <v>77</v>
      </c>
      <c r="F222" s="3">
        <v>6.0</v>
      </c>
      <c r="G222" s="3">
        <v>1.0</v>
      </c>
      <c r="H222" s="3">
        <v>0.0</v>
      </c>
      <c r="I222" s="1"/>
      <c r="J222" s="3">
        <v>836.0</v>
      </c>
    </row>
    <row r="223">
      <c r="A223" s="3">
        <v>956.0</v>
      </c>
      <c r="B223" s="3">
        <v>956.0</v>
      </c>
      <c r="C223" s="3">
        <v>0.0</v>
      </c>
      <c r="D223" s="3">
        <v>1.0</v>
      </c>
      <c r="E223" s="1" t="s">
        <v>77</v>
      </c>
      <c r="F223" s="3">
        <v>7.0</v>
      </c>
      <c r="G223" s="3">
        <v>1.0</v>
      </c>
      <c r="H223" s="3">
        <v>0.0</v>
      </c>
      <c r="I223" s="1"/>
      <c r="J223" s="3">
        <v>836.0</v>
      </c>
    </row>
    <row r="224">
      <c r="A224" s="3">
        <v>957.0</v>
      </c>
      <c r="B224" s="3">
        <v>957.0</v>
      </c>
      <c r="C224" s="3">
        <v>0.0</v>
      </c>
      <c r="D224" s="3">
        <v>1.0</v>
      </c>
      <c r="E224" s="1" t="s">
        <v>76</v>
      </c>
      <c r="F224" s="3">
        <v>6.0</v>
      </c>
      <c r="G224" s="3">
        <v>1.0</v>
      </c>
      <c r="H224" s="3">
        <v>0.0</v>
      </c>
      <c r="I224" s="1"/>
      <c r="J224" s="3">
        <v>836.0</v>
      </c>
    </row>
    <row r="225">
      <c r="A225" s="3">
        <v>958.0</v>
      </c>
      <c r="B225" s="3">
        <v>958.0</v>
      </c>
      <c r="C225" s="3">
        <v>0.0</v>
      </c>
      <c r="D225" s="3">
        <v>1.0</v>
      </c>
      <c r="E225" s="1" t="s">
        <v>78</v>
      </c>
      <c r="F225" s="3">
        <v>1.0</v>
      </c>
      <c r="G225" s="3">
        <v>1.0</v>
      </c>
      <c r="H225" s="3">
        <v>0.0</v>
      </c>
      <c r="I225" s="1"/>
      <c r="J225" s="3">
        <v>836.0</v>
      </c>
    </row>
    <row r="226">
      <c r="A226" s="3">
        <v>959.0</v>
      </c>
      <c r="B226" s="3">
        <v>959.0</v>
      </c>
      <c r="C226" s="3">
        <v>0.0</v>
      </c>
      <c r="D226" s="3">
        <v>1.0</v>
      </c>
      <c r="E226" s="1" t="s">
        <v>78</v>
      </c>
      <c r="F226" s="3">
        <v>2.0</v>
      </c>
      <c r="G226" s="3">
        <v>1.0</v>
      </c>
      <c r="H226" s="3">
        <v>0.0</v>
      </c>
      <c r="I226" s="1"/>
      <c r="J226" s="3">
        <v>836.0</v>
      </c>
    </row>
    <row r="227">
      <c r="A227" s="3">
        <v>960.0</v>
      </c>
      <c r="B227" s="3">
        <v>960.0</v>
      </c>
      <c r="C227" s="3">
        <v>0.0</v>
      </c>
      <c r="D227" s="3">
        <v>1.0</v>
      </c>
      <c r="E227" s="1" t="s">
        <v>74</v>
      </c>
      <c r="F227" s="3">
        <v>127.0</v>
      </c>
      <c r="G227" s="3">
        <v>1.0</v>
      </c>
      <c r="H227" s="3">
        <v>0.0</v>
      </c>
      <c r="I227" s="1"/>
      <c r="J227" s="3">
        <v>836.0</v>
      </c>
    </row>
    <row r="228">
      <c r="A228" s="3">
        <v>961.0</v>
      </c>
      <c r="B228" s="3">
        <v>961.0</v>
      </c>
      <c r="C228" s="3">
        <v>0.0</v>
      </c>
      <c r="D228" s="3">
        <v>1.0</v>
      </c>
      <c r="E228" s="1" t="s">
        <v>74</v>
      </c>
      <c r="F228" s="3">
        <v>128.0</v>
      </c>
      <c r="G228" s="3">
        <v>1.0</v>
      </c>
      <c r="H228" s="3">
        <v>0.0</v>
      </c>
      <c r="I228" s="1"/>
      <c r="J228" s="3">
        <v>836.0</v>
      </c>
    </row>
    <row r="229">
      <c r="A229" s="3">
        <v>962.0</v>
      </c>
      <c r="B229" s="3">
        <v>962.0</v>
      </c>
      <c r="C229" s="3">
        <v>0.0</v>
      </c>
      <c r="D229" s="3">
        <v>1.0</v>
      </c>
      <c r="E229" s="1" t="s">
        <v>74</v>
      </c>
      <c r="F229" s="3">
        <v>129.0</v>
      </c>
      <c r="G229" s="3">
        <v>1.0</v>
      </c>
      <c r="H229" s="3">
        <v>0.0</v>
      </c>
      <c r="I229" s="1"/>
      <c r="J229" s="3">
        <v>836.0</v>
      </c>
    </row>
    <row r="230">
      <c r="A230" s="3">
        <v>963.0</v>
      </c>
      <c r="B230" s="3">
        <v>963.0</v>
      </c>
      <c r="C230" s="3">
        <v>0.0</v>
      </c>
      <c r="D230" s="3">
        <v>1.0</v>
      </c>
      <c r="E230" s="1" t="s">
        <v>74</v>
      </c>
      <c r="F230" s="3">
        <v>130.0</v>
      </c>
      <c r="G230" s="3">
        <v>1.0</v>
      </c>
      <c r="H230" s="3">
        <v>0.0</v>
      </c>
      <c r="I230" s="1"/>
      <c r="J230" s="3">
        <v>836.0</v>
      </c>
    </row>
    <row r="231">
      <c r="A231" s="3">
        <v>964.0</v>
      </c>
      <c r="B231" s="3">
        <v>964.0</v>
      </c>
      <c r="C231" s="3">
        <v>0.0</v>
      </c>
      <c r="D231" s="3">
        <v>1.0</v>
      </c>
      <c r="E231" s="1" t="s">
        <v>74</v>
      </c>
      <c r="F231" s="3">
        <v>131.0</v>
      </c>
      <c r="G231" s="3">
        <v>1.0</v>
      </c>
      <c r="H231" s="3">
        <v>0.0</v>
      </c>
      <c r="I231" s="1"/>
      <c r="J231" s="3">
        <v>836.0</v>
      </c>
    </row>
    <row r="232">
      <c r="A232" s="3">
        <v>965.0</v>
      </c>
      <c r="B232" s="3">
        <v>965.0</v>
      </c>
      <c r="C232" s="3">
        <v>0.0</v>
      </c>
      <c r="D232" s="3">
        <v>1.0</v>
      </c>
      <c r="E232" s="1" t="s">
        <v>74</v>
      </c>
      <c r="F232" s="3">
        <v>132.0</v>
      </c>
      <c r="G232" s="3">
        <v>1.0</v>
      </c>
      <c r="H232" s="3">
        <v>0.0</v>
      </c>
      <c r="I232" s="1"/>
      <c r="J232" s="3">
        <v>836.0</v>
      </c>
    </row>
    <row r="233">
      <c r="A233" s="3">
        <v>966.0</v>
      </c>
      <c r="B233" s="3">
        <v>966.0</v>
      </c>
      <c r="C233" s="3">
        <v>0.0</v>
      </c>
      <c r="D233" s="3">
        <v>1.0</v>
      </c>
      <c r="E233" s="1" t="s">
        <v>74</v>
      </c>
      <c r="F233" s="3">
        <v>133.0</v>
      </c>
      <c r="G233" s="3">
        <v>1.0</v>
      </c>
      <c r="H233" s="3">
        <v>0.0</v>
      </c>
      <c r="I233" s="1"/>
      <c r="J233" s="3">
        <v>836.0</v>
      </c>
    </row>
    <row r="234">
      <c r="A234" s="3">
        <v>967.0</v>
      </c>
      <c r="B234" s="3">
        <v>967.0</v>
      </c>
      <c r="C234" s="3">
        <v>0.0</v>
      </c>
      <c r="D234" s="3">
        <v>1.0</v>
      </c>
      <c r="E234" s="1" t="s">
        <v>74</v>
      </c>
      <c r="F234" s="3">
        <v>134.0</v>
      </c>
      <c r="G234" s="3">
        <v>1.0</v>
      </c>
      <c r="H234" s="3">
        <v>0.0</v>
      </c>
      <c r="I234" s="1"/>
      <c r="J234" s="3">
        <v>836.0</v>
      </c>
    </row>
    <row r="235">
      <c r="A235" s="3">
        <v>968.0</v>
      </c>
      <c r="B235" s="3">
        <v>968.0</v>
      </c>
      <c r="C235" s="3">
        <v>0.0</v>
      </c>
      <c r="D235" s="3">
        <v>1.0</v>
      </c>
      <c r="E235" s="1" t="s">
        <v>79</v>
      </c>
      <c r="F235" s="1"/>
      <c r="G235" s="3">
        <v>1.0</v>
      </c>
      <c r="H235" s="3">
        <v>0.0</v>
      </c>
      <c r="I235" s="1"/>
      <c r="J235" s="3">
        <v>836.0</v>
      </c>
    </row>
    <row r="236">
      <c r="A236" s="3">
        <v>969.0</v>
      </c>
      <c r="B236" s="3">
        <v>969.0</v>
      </c>
      <c r="C236" s="3">
        <v>0.0</v>
      </c>
      <c r="D236" s="3">
        <v>1.0</v>
      </c>
      <c r="E236" s="1" t="s">
        <v>77</v>
      </c>
      <c r="F236" s="3">
        <v>8.0</v>
      </c>
      <c r="G236" s="3">
        <v>1.0</v>
      </c>
      <c r="H236" s="3">
        <v>0.0</v>
      </c>
      <c r="I236" s="1"/>
      <c r="J236" s="3">
        <v>836.0</v>
      </c>
    </row>
    <row r="237">
      <c r="A237" s="3">
        <v>970.0</v>
      </c>
      <c r="B237" s="3">
        <v>970.0</v>
      </c>
      <c r="C237" s="3">
        <v>0.0</v>
      </c>
      <c r="D237" s="3">
        <v>1.0</v>
      </c>
      <c r="E237" s="1" t="s">
        <v>77</v>
      </c>
      <c r="F237" s="3">
        <v>9.0</v>
      </c>
      <c r="G237" s="3">
        <v>1.0</v>
      </c>
      <c r="H237" s="3">
        <v>0.0</v>
      </c>
      <c r="I237" s="1"/>
      <c r="J237" s="3">
        <v>836.0</v>
      </c>
    </row>
    <row r="238">
      <c r="A238" s="3">
        <v>971.0</v>
      </c>
      <c r="B238" s="3">
        <v>971.0</v>
      </c>
      <c r="C238" s="3">
        <v>0.0</v>
      </c>
      <c r="D238" s="3">
        <v>1.0</v>
      </c>
      <c r="E238" s="1" t="s">
        <v>80</v>
      </c>
      <c r="F238" s="1"/>
      <c r="G238" s="3">
        <v>1.0</v>
      </c>
      <c r="H238" s="3">
        <v>0.0</v>
      </c>
      <c r="I238" s="1"/>
      <c r="J238" s="3">
        <v>836.0</v>
      </c>
    </row>
    <row r="239">
      <c r="A239" s="3">
        <v>972.0</v>
      </c>
      <c r="B239" s="3">
        <v>972.0</v>
      </c>
      <c r="C239" s="3">
        <v>0.0</v>
      </c>
      <c r="D239" s="3">
        <v>1.0</v>
      </c>
      <c r="E239" s="2" t="s">
        <v>81</v>
      </c>
      <c r="F239" s="1"/>
      <c r="G239" s="3">
        <v>1.0</v>
      </c>
      <c r="H239" s="3">
        <v>0.0</v>
      </c>
      <c r="I239" s="1"/>
      <c r="J239" s="3">
        <v>836.0</v>
      </c>
    </row>
    <row r="240">
      <c r="A240" s="3">
        <v>973.0</v>
      </c>
      <c r="B240" s="3">
        <v>973.0</v>
      </c>
      <c r="C240" s="3">
        <v>0.0</v>
      </c>
      <c r="D240" s="3">
        <v>1.0</v>
      </c>
      <c r="E240" s="1" t="s">
        <v>74</v>
      </c>
      <c r="F240" s="3">
        <v>135.0</v>
      </c>
      <c r="G240" s="3">
        <v>1.0</v>
      </c>
      <c r="H240" s="3">
        <v>0.0</v>
      </c>
      <c r="I240" s="1"/>
      <c r="J240" s="3">
        <v>836.0</v>
      </c>
    </row>
    <row r="241">
      <c r="A241" s="3">
        <v>974.0</v>
      </c>
      <c r="B241" s="3">
        <v>974.0</v>
      </c>
      <c r="C241" s="3">
        <v>0.0</v>
      </c>
      <c r="D241" s="3">
        <v>1.0</v>
      </c>
      <c r="E241" s="2" t="s">
        <v>82</v>
      </c>
      <c r="F241" s="1"/>
      <c r="G241" s="3">
        <v>1.0</v>
      </c>
      <c r="H241" s="3">
        <v>0.0</v>
      </c>
      <c r="I241" s="1"/>
      <c r="J241" s="3">
        <v>836.0</v>
      </c>
    </row>
    <row r="242">
      <c r="A242" s="3">
        <v>975.0</v>
      </c>
      <c r="B242" s="3">
        <v>975.0</v>
      </c>
      <c r="C242" s="3">
        <v>0.0</v>
      </c>
      <c r="D242" s="3">
        <v>1.0</v>
      </c>
      <c r="E242" s="2" t="s">
        <v>83</v>
      </c>
      <c r="F242" s="1"/>
      <c r="G242" s="3">
        <v>1.0</v>
      </c>
      <c r="H242" s="3">
        <v>0.0</v>
      </c>
      <c r="I242" s="1"/>
      <c r="J242" s="3">
        <v>836.0</v>
      </c>
    </row>
    <row r="243">
      <c r="A243" s="3">
        <v>976.0</v>
      </c>
      <c r="B243" s="3">
        <v>976.0</v>
      </c>
      <c r="C243" s="3">
        <v>0.0</v>
      </c>
      <c r="D243" s="3">
        <v>1.0</v>
      </c>
      <c r="E243" s="1" t="s">
        <v>84</v>
      </c>
      <c r="F243" s="3">
        <v>1.0</v>
      </c>
      <c r="G243" s="3">
        <v>1.0</v>
      </c>
      <c r="H243" s="3">
        <v>0.0</v>
      </c>
      <c r="I243" s="1"/>
      <c r="J243" s="3">
        <v>836.0</v>
      </c>
    </row>
    <row r="244">
      <c r="A244" s="3">
        <v>977.0</v>
      </c>
      <c r="B244" s="3">
        <v>977.0</v>
      </c>
      <c r="C244" s="3">
        <v>0.0</v>
      </c>
      <c r="D244" s="3">
        <v>1.0</v>
      </c>
      <c r="E244" s="1" t="s">
        <v>84</v>
      </c>
      <c r="F244" s="3">
        <v>2.0</v>
      </c>
      <c r="G244" s="3">
        <v>1.0</v>
      </c>
      <c r="H244" s="3">
        <v>0.0</v>
      </c>
      <c r="I244" s="1"/>
      <c r="J244" s="3">
        <v>836.0</v>
      </c>
    </row>
    <row r="245">
      <c r="A245" s="3">
        <v>978.0</v>
      </c>
      <c r="B245" s="3">
        <v>978.0</v>
      </c>
      <c r="C245" s="3">
        <v>0.0</v>
      </c>
      <c r="D245" s="3">
        <v>1.0</v>
      </c>
      <c r="E245" s="1" t="s">
        <v>84</v>
      </c>
      <c r="F245" s="3">
        <v>3.0</v>
      </c>
      <c r="G245" s="3">
        <v>1.0</v>
      </c>
      <c r="H245" s="3">
        <v>0.0</v>
      </c>
      <c r="I245" s="1"/>
      <c r="J245" s="3">
        <v>836.0</v>
      </c>
    </row>
    <row r="246">
      <c r="A246" s="3">
        <v>979.0</v>
      </c>
      <c r="B246" s="3">
        <v>979.0</v>
      </c>
      <c r="C246" s="3">
        <v>0.0</v>
      </c>
      <c r="D246" s="3">
        <v>1.0</v>
      </c>
      <c r="E246" s="1" t="s">
        <v>84</v>
      </c>
      <c r="F246" s="3">
        <v>4.0</v>
      </c>
      <c r="G246" s="3">
        <v>1.0</v>
      </c>
      <c r="H246" s="3">
        <v>0.0</v>
      </c>
      <c r="I246" s="1"/>
      <c r="J246" s="3">
        <v>836.0</v>
      </c>
    </row>
    <row r="247">
      <c r="A247" s="3">
        <v>980.0</v>
      </c>
      <c r="B247" s="3">
        <v>980.0</v>
      </c>
      <c r="C247" s="3">
        <v>0.0</v>
      </c>
      <c r="D247" s="3">
        <v>1.0</v>
      </c>
      <c r="E247" s="1" t="s">
        <v>85</v>
      </c>
      <c r="F247" s="1"/>
      <c r="G247" s="3">
        <v>1.0</v>
      </c>
      <c r="H247" s="3">
        <v>0.0</v>
      </c>
      <c r="I247" s="1"/>
      <c r="J247" s="3">
        <v>836.0</v>
      </c>
    </row>
    <row r="248">
      <c r="A248" s="3">
        <v>981.0</v>
      </c>
      <c r="B248" s="3">
        <v>981.0</v>
      </c>
      <c r="C248" s="3">
        <v>0.0</v>
      </c>
      <c r="D248" s="3">
        <v>1.0</v>
      </c>
      <c r="E248" s="1" t="s">
        <v>74</v>
      </c>
      <c r="F248" s="3">
        <v>136.0</v>
      </c>
      <c r="G248" s="3">
        <v>1.0</v>
      </c>
      <c r="H248" s="3">
        <v>0.0</v>
      </c>
      <c r="I248" s="1"/>
      <c r="J248" s="3">
        <v>836.0</v>
      </c>
    </row>
    <row r="249">
      <c r="A249" s="3">
        <v>982.0</v>
      </c>
      <c r="B249" s="3">
        <v>982.0</v>
      </c>
      <c r="C249" s="3">
        <v>0.0</v>
      </c>
      <c r="D249" s="3">
        <v>1.0</v>
      </c>
      <c r="E249" s="1" t="s">
        <v>74</v>
      </c>
      <c r="F249" s="3">
        <v>137.0</v>
      </c>
      <c r="G249" s="3">
        <v>1.0</v>
      </c>
      <c r="H249" s="3">
        <v>0.0</v>
      </c>
      <c r="I249" s="1"/>
      <c r="J249" s="3">
        <v>836.0</v>
      </c>
    </row>
    <row r="250">
      <c r="A250" s="3">
        <v>983.0</v>
      </c>
      <c r="B250" s="3">
        <v>983.0</v>
      </c>
      <c r="C250" s="3">
        <v>0.0</v>
      </c>
      <c r="D250" s="3">
        <v>1.0</v>
      </c>
      <c r="E250" s="1" t="s">
        <v>75</v>
      </c>
      <c r="F250" s="3">
        <v>16.0</v>
      </c>
      <c r="G250" s="3">
        <v>1.0</v>
      </c>
      <c r="H250" s="3">
        <v>0.0</v>
      </c>
      <c r="I250" s="1"/>
      <c r="J250" s="3">
        <v>836.0</v>
      </c>
    </row>
    <row r="251">
      <c r="A251" s="3">
        <v>984.0</v>
      </c>
      <c r="B251" s="3">
        <v>984.0</v>
      </c>
      <c r="C251" s="3">
        <v>0.0</v>
      </c>
      <c r="D251" s="3">
        <v>1.0</v>
      </c>
      <c r="E251" s="1" t="s">
        <v>75</v>
      </c>
      <c r="F251" s="3">
        <v>17.0</v>
      </c>
      <c r="G251" s="3">
        <v>1.0</v>
      </c>
      <c r="H251" s="3">
        <v>0.0</v>
      </c>
      <c r="I251" s="1"/>
      <c r="J251" s="3">
        <v>836.0</v>
      </c>
    </row>
    <row r="252">
      <c r="A252" s="3">
        <v>985.0</v>
      </c>
      <c r="B252" s="3">
        <v>985.0</v>
      </c>
      <c r="C252" s="3">
        <v>0.0</v>
      </c>
      <c r="D252" s="3">
        <v>1.0</v>
      </c>
      <c r="E252" s="1" t="s">
        <v>75</v>
      </c>
      <c r="F252" s="3">
        <v>18.0</v>
      </c>
      <c r="G252" s="3">
        <v>1.0</v>
      </c>
      <c r="H252" s="3">
        <v>0.0</v>
      </c>
      <c r="I252" s="1"/>
      <c r="J252" s="3">
        <v>836.0</v>
      </c>
    </row>
    <row r="253">
      <c r="A253" s="3">
        <v>986.0</v>
      </c>
      <c r="B253" s="3">
        <v>986.0</v>
      </c>
      <c r="C253" s="3">
        <v>0.0</v>
      </c>
      <c r="D253" s="3">
        <v>1.0</v>
      </c>
      <c r="E253" s="1" t="s">
        <v>86</v>
      </c>
      <c r="F253" s="1"/>
      <c r="G253" s="3">
        <v>1.0</v>
      </c>
      <c r="H253" s="3">
        <v>0.0</v>
      </c>
      <c r="I253" s="1"/>
      <c r="J253" s="3">
        <v>836.0</v>
      </c>
    </row>
    <row r="254">
      <c r="A254" s="3">
        <v>987.0</v>
      </c>
      <c r="B254" s="3">
        <v>987.0</v>
      </c>
      <c r="C254" s="3">
        <v>0.0</v>
      </c>
      <c r="D254" s="3">
        <v>1.0</v>
      </c>
      <c r="E254" s="1" t="s">
        <v>74</v>
      </c>
      <c r="F254" s="3">
        <v>138.0</v>
      </c>
      <c r="G254" s="3">
        <v>0.0</v>
      </c>
      <c r="H254" s="3">
        <v>0.0</v>
      </c>
      <c r="I254" s="1"/>
      <c r="J254" s="3">
        <v>836.0</v>
      </c>
    </row>
    <row r="255">
      <c r="A255" s="3">
        <v>988.0</v>
      </c>
      <c r="B255" s="3">
        <v>988.0</v>
      </c>
      <c r="C255" s="3">
        <v>0.0</v>
      </c>
      <c r="D255" s="3">
        <v>1.0</v>
      </c>
      <c r="E255" s="1" t="s">
        <v>74</v>
      </c>
      <c r="F255" s="3">
        <v>139.0</v>
      </c>
      <c r="G255" s="3">
        <v>1.0</v>
      </c>
      <c r="H255" s="3">
        <v>0.0</v>
      </c>
      <c r="I255" s="1"/>
      <c r="J255" s="3">
        <v>836.0</v>
      </c>
    </row>
    <row r="256">
      <c r="A256" s="3">
        <v>989.0</v>
      </c>
      <c r="B256" s="3">
        <v>989.0</v>
      </c>
      <c r="C256" s="3">
        <v>0.0</v>
      </c>
      <c r="D256" s="3">
        <v>1.0</v>
      </c>
      <c r="E256" s="1" t="s">
        <v>74</v>
      </c>
      <c r="F256" s="3">
        <v>140.0</v>
      </c>
      <c r="G256" s="3">
        <v>1.0</v>
      </c>
      <c r="H256" s="3">
        <v>0.0</v>
      </c>
      <c r="I256" s="1"/>
      <c r="J256" s="3">
        <v>836.0</v>
      </c>
    </row>
    <row r="257">
      <c r="A257" s="3">
        <v>990.0</v>
      </c>
      <c r="B257" s="3">
        <v>990.0</v>
      </c>
      <c r="C257" s="3">
        <v>0.0</v>
      </c>
      <c r="D257" s="3">
        <v>1.0</v>
      </c>
      <c r="E257" s="1" t="s">
        <v>74</v>
      </c>
      <c r="F257" s="3">
        <v>141.0</v>
      </c>
      <c r="G257" s="3">
        <v>1.0</v>
      </c>
      <c r="H257" s="3">
        <v>0.0</v>
      </c>
      <c r="I257" s="1"/>
      <c r="J257" s="3">
        <v>836.0</v>
      </c>
    </row>
    <row r="258">
      <c r="A258" s="3">
        <v>991.0</v>
      </c>
      <c r="B258" s="3">
        <v>991.0</v>
      </c>
      <c r="C258" s="3">
        <v>0.0</v>
      </c>
      <c r="D258" s="3">
        <v>1.0</v>
      </c>
      <c r="E258" s="1" t="s">
        <v>74</v>
      </c>
      <c r="F258" s="3">
        <v>142.0</v>
      </c>
      <c r="G258" s="3">
        <v>1.0</v>
      </c>
      <c r="H258" s="3">
        <v>0.0</v>
      </c>
      <c r="I258" s="1"/>
      <c r="J258" s="3">
        <v>836.0</v>
      </c>
    </row>
    <row r="259">
      <c r="A259" s="3">
        <v>992.0</v>
      </c>
      <c r="B259" s="3">
        <v>992.0</v>
      </c>
      <c r="C259" s="3">
        <v>0.0</v>
      </c>
      <c r="D259" s="3">
        <v>1.0</v>
      </c>
      <c r="E259" s="1" t="s">
        <v>74</v>
      </c>
      <c r="F259" s="3">
        <v>143.0</v>
      </c>
      <c r="G259" s="3">
        <v>1.0</v>
      </c>
      <c r="H259" s="3">
        <v>0.0</v>
      </c>
      <c r="I259" s="1"/>
      <c r="J259" s="3">
        <v>836.0</v>
      </c>
    </row>
    <row r="260">
      <c r="A260" s="3">
        <v>993.0</v>
      </c>
      <c r="B260" s="3">
        <v>993.0</v>
      </c>
      <c r="C260" s="3">
        <v>0.0</v>
      </c>
      <c r="D260" s="3">
        <v>1.0</v>
      </c>
      <c r="E260" s="1" t="s">
        <v>74</v>
      </c>
      <c r="F260" s="3">
        <v>144.0</v>
      </c>
      <c r="G260" s="3">
        <v>1.0</v>
      </c>
      <c r="H260" s="3">
        <v>0.0</v>
      </c>
      <c r="I260" s="1"/>
      <c r="J260" s="3">
        <v>836.0</v>
      </c>
    </row>
    <row r="261">
      <c r="A261" s="3">
        <v>994.0</v>
      </c>
      <c r="B261" s="3">
        <v>994.0</v>
      </c>
      <c r="C261" s="3">
        <v>0.0</v>
      </c>
      <c r="D261" s="3">
        <v>1.0</v>
      </c>
      <c r="E261" s="1" t="s">
        <v>74</v>
      </c>
      <c r="F261" s="3">
        <v>145.0</v>
      </c>
      <c r="G261" s="3">
        <v>1.0</v>
      </c>
      <c r="H261" s="3">
        <v>0.0</v>
      </c>
      <c r="I261" s="1"/>
      <c r="J261" s="3">
        <v>836.0</v>
      </c>
    </row>
    <row r="262">
      <c r="A262" s="3">
        <v>995.0</v>
      </c>
      <c r="B262" s="3">
        <v>995.0</v>
      </c>
      <c r="C262" s="3">
        <v>0.0</v>
      </c>
      <c r="D262" s="3">
        <v>1.0</v>
      </c>
      <c r="E262" s="1" t="s">
        <v>74</v>
      </c>
      <c r="F262" s="3">
        <v>146.0</v>
      </c>
      <c r="G262" s="3">
        <v>1.0</v>
      </c>
      <c r="H262" s="3">
        <v>0.0</v>
      </c>
      <c r="I262" s="1"/>
      <c r="J262" s="3">
        <v>836.0</v>
      </c>
    </row>
    <row r="263">
      <c r="A263" s="3">
        <v>996.0</v>
      </c>
      <c r="B263" s="3">
        <v>996.0</v>
      </c>
      <c r="C263" s="3">
        <v>0.0</v>
      </c>
      <c r="D263" s="3">
        <v>1.0</v>
      </c>
      <c r="E263" s="1" t="s">
        <v>74</v>
      </c>
      <c r="F263" s="3">
        <v>147.0</v>
      </c>
      <c r="G263" s="3">
        <v>1.0</v>
      </c>
      <c r="H263" s="3">
        <v>0.0</v>
      </c>
      <c r="I263" s="1"/>
      <c r="J263" s="3">
        <v>836.0</v>
      </c>
    </row>
    <row r="264">
      <c r="A264" s="3">
        <v>1000.0</v>
      </c>
      <c r="B264" s="3">
        <v>1000.0</v>
      </c>
      <c r="C264" s="3">
        <v>279.0</v>
      </c>
      <c r="D264" s="3">
        <v>1.0</v>
      </c>
      <c r="E264" s="1" t="s">
        <v>87</v>
      </c>
      <c r="F264" s="3">
        <v>3.0</v>
      </c>
      <c r="G264" s="3">
        <v>1.0</v>
      </c>
      <c r="H264" s="3">
        <v>0.0</v>
      </c>
      <c r="I264" s="1"/>
      <c r="J264" s="3">
        <v>836.0</v>
      </c>
    </row>
    <row r="265">
      <c r="A265" s="3">
        <v>1001.0</v>
      </c>
      <c r="B265" s="3">
        <v>1001.0</v>
      </c>
      <c r="C265" s="3">
        <v>281.0</v>
      </c>
      <c r="D265" s="3">
        <v>1.0</v>
      </c>
      <c r="E265" s="1" t="s">
        <v>87</v>
      </c>
      <c r="F265" s="3">
        <v>5.0</v>
      </c>
      <c r="G265" s="3">
        <v>1.0</v>
      </c>
      <c r="H265" s="3">
        <v>0.0</v>
      </c>
      <c r="I265" s="1"/>
      <c r="J265" s="3">
        <v>836.0</v>
      </c>
    </row>
    <row r="266">
      <c r="A266" s="3">
        <v>1002.0</v>
      </c>
      <c r="B266" s="3">
        <v>1002.0</v>
      </c>
      <c r="C266" s="3">
        <v>282.0</v>
      </c>
      <c r="D266" s="3">
        <v>1.0</v>
      </c>
      <c r="E266" s="1" t="s">
        <v>88</v>
      </c>
      <c r="F266" s="3">
        <v>1.0</v>
      </c>
      <c r="G266" s="3">
        <v>1.0</v>
      </c>
      <c r="H266" s="3">
        <v>0.0</v>
      </c>
      <c r="I266" s="1"/>
      <c r="J266" s="3">
        <v>836.0</v>
      </c>
    </row>
    <row r="267">
      <c r="A267" s="3">
        <v>1003.0</v>
      </c>
      <c r="B267" s="3">
        <v>1003.0</v>
      </c>
      <c r="C267" s="3">
        <v>283.0</v>
      </c>
      <c r="D267" s="3">
        <v>1.0</v>
      </c>
      <c r="E267" s="1" t="s">
        <v>88</v>
      </c>
      <c r="F267" s="3">
        <v>2.0</v>
      </c>
      <c r="G267" s="3">
        <v>1.0</v>
      </c>
      <c r="H267" s="3">
        <v>0.0</v>
      </c>
      <c r="I267" s="1"/>
      <c r="J267" s="3">
        <v>836.0</v>
      </c>
    </row>
    <row r="268">
      <c r="A268" s="3">
        <v>1004.0</v>
      </c>
      <c r="B268" s="3">
        <v>1004.0</v>
      </c>
      <c r="C268" s="3">
        <v>278.0</v>
      </c>
      <c r="D268" s="3">
        <v>1.0</v>
      </c>
      <c r="E268" s="1" t="s">
        <v>87</v>
      </c>
      <c r="F268" s="3">
        <v>2.0</v>
      </c>
      <c r="G268" s="3">
        <v>1.0</v>
      </c>
      <c r="H268" s="3">
        <v>0.0</v>
      </c>
      <c r="I268" s="1"/>
      <c r="J268" s="3">
        <v>836.0</v>
      </c>
    </row>
    <row r="269">
      <c r="A269" s="3">
        <v>1005.0</v>
      </c>
      <c r="B269" s="3">
        <v>1005.0</v>
      </c>
      <c r="C269" s="3">
        <v>280.0</v>
      </c>
      <c r="D269" s="3">
        <v>1.0</v>
      </c>
      <c r="E269" s="1" t="s">
        <v>87</v>
      </c>
      <c r="F269" s="3">
        <v>4.0</v>
      </c>
      <c r="G269" s="3">
        <v>1.0</v>
      </c>
      <c r="H269" s="3">
        <v>0.0</v>
      </c>
      <c r="I269" s="1"/>
      <c r="J269" s="3">
        <v>836.0</v>
      </c>
    </row>
    <row r="270">
      <c r="A270" s="3">
        <v>1006.0</v>
      </c>
      <c r="B270" s="3">
        <v>1006.0</v>
      </c>
      <c r="C270" s="3">
        <v>277.0</v>
      </c>
      <c r="D270" s="3">
        <v>1.0</v>
      </c>
      <c r="E270" s="1" t="s">
        <v>87</v>
      </c>
      <c r="F270" s="3">
        <v>1.0</v>
      </c>
      <c r="G270" s="3">
        <v>1.0</v>
      </c>
      <c r="H270" s="3">
        <v>0.0</v>
      </c>
      <c r="I270" s="1"/>
      <c r="J270" s="3">
        <v>836.0</v>
      </c>
    </row>
    <row r="271">
      <c r="A271" s="3">
        <v>1007.0</v>
      </c>
      <c r="B271" s="3">
        <v>1007.0</v>
      </c>
      <c r="C271" s="3">
        <v>284.0</v>
      </c>
      <c r="D271" s="3">
        <v>1.0</v>
      </c>
      <c r="E271" s="1" t="s">
        <v>89</v>
      </c>
      <c r="F271" s="3">
        <v>1.0</v>
      </c>
      <c r="G271" s="3">
        <v>1.0</v>
      </c>
      <c r="H271" s="3">
        <v>0.0</v>
      </c>
      <c r="I271" s="1"/>
      <c r="J271" s="3">
        <v>836.0</v>
      </c>
    </row>
    <row r="272">
      <c r="A272" s="3">
        <v>1008.0</v>
      </c>
      <c r="B272" s="3">
        <v>1008.0</v>
      </c>
      <c r="C272" s="3">
        <v>260.0</v>
      </c>
      <c r="D272" s="3">
        <v>1.0</v>
      </c>
      <c r="E272" s="1" t="s">
        <v>90</v>
      </c>
      <c r="F272" s="3">
        <v>2.0</v>
      </c>
      <c r="G272" s="3">
        <v>1.0</v>
      </c>
      <c r="H272" s="3">
        <v>0.0</v>
      </c>
      <c r="I272" s="1"/>
      <c r="J272" s="3">
        <v>836.0</v>
      </c>
    </row>
    <row r="273">
      <c r="A273" s="3">
        <v>1009.0</v>
      </c>
      <c r="B273" s="3">
        <v>1009.0</v>
      </c>
      <c r="C273" s="3">
        <v>259.0</v>
      </c>
      <c r="D273" s="3">
        <v>1.0</v>
      </c>
      <c r="E273" s="1" t="s">
        <v>90</v>
      </c>
      <c r="F273" s="3">
        <v>1.0</v>
      </c>
      <c r="G273" s="3">
        <v>1.0</v>
      </c>
      <c r="H273" s="3">
        <v>0.0</v>
      </c>
      <c r="I273" s="1"/>
      <c r="J273" s="3">
        <v>836.0</v>
      </c>
    </row>
    <row r="274">
      <c r="A274" s="3">
        <v>1010.0</v>
      </c>
      <c r="B274" s="3">
        <v>1010.0</v>
      </c>
      <c r="C274" s="3">
        <v>261.0</v>
      </c>
      <c r="D274" s="3">
        <v>1.0</v>
      </c>
      <c r="E274" s="1" t="s">
        <v>90</v>
      </c>
      <c r="F274" s="3">
        <v>3.0</v>
      </c>
      <c r="G274" s="3">
        <v>1.0</v>
      </c>
      <c r="H274" s="3">
        <v>0.0</v>
      </c>
      <c r="I274" s="1"/>
      <c r="J274" s="3">
        <v>836.0</v>
      </c>
    </row>
    <row r="275">
      <c r="A275" s="3">
        <v>1011.0</v>
      </c>
      <c r="B275" s="3">
        <v>1011.0</v>
      </c>
      <c r="C275" s="3">
        <v>285.0</v>
      </c>
      <c r="D275" s="3">
        <v>1.0</v>
      </c>
      <c r="E275" s="1" t="s">
        <v>89</v>
      </c>
      <c r="F275" s="3">
        <v>2.0</v>
      </c>
      <c r="G275" s="3">
        <v>1.0</v>
      </c>
      <c r="H275" s="3">
        <v>0.0</v>
      </c>
      <c r="I275" s="1"/>
      <c r="J275" s="3">
        <v>836.0</v>
      </c>
    </row>
    <row r="276">
      <c r="A276" s="3">
        <v>1012.0</v>
      </c>
      <c r="B276" s="3">
        <v>1012.0</v>
      </c>
      <c r="C276" s="3">
        <v>267.0</v>
      </c>
      <c r="D276" s="3">
        <v>1.0</v>
      </c>
      <c r="E276" s="1" t="s">
        <v>91</v>
      </c>
      <c r="F276" s="3">
        <v>6.0</v>
      </c>
      <c r="G276" s="3">
        <v>1.0</v>
      </c>
      <c r="H276" s="3">
        <v>0.0</v>
      </c>
      <c r="I276" s="1"/>
      <c r="J276" s="3">
        <v>836.0</v>
      </c>
    </row>
    <row r="277">
      <c r="A277" s="3">
        <v>1013.0</v>
      </c>
      <c r="B277" s="3">
        <v>1013.0</v>
      </c>
      <c r="C277" s="3">
        <v>272.0</v>
      </c>
      <c r="D277" s="3">
        <v>1.0</v>
      </c>
      <c r="E277" s="1" t="s">
        <v>92</v>
      </c>
      <c r="F277" s="3">
        <v>2.0</v>
      </c>
      <c r="G277" s="3">
        <v>1.0</v>
      </c>
      <c r="H277" s="3">
        <v>0.0</v>
      </c>
      <c r="I277" s="1"/>
      <c r="J277" s="3">
        <v>836.0</v>
      </c>
    </row>
    <row r="278">
      <c r="A278" s="3">
        <v>1014.0</v>
      </c>
      <c r="B278" s="3">
        <v>1014.0</v>
      </c>
      <c r="C278" s="3">
        <v>273.0</v>
      </c>
      <c r="D278" s="3">
        <v>1.0</v>
      </c>
      <c r="E278" s="1" t="s">
        <v>92</v>
      </c>
      <c r="F278" s="3">
        <v>3.0</v>
      </c>
      <c r="G278" s="3">
        <v>1.0</v>
      </c>
      <c r="H278" s="3">
        <v>0.0</v>
      </c>
      <c r="I278" s="1"/>
      <c r="J278" s="3">
        <v>836.0</v>
      </c>
    </row>
    <row r="279">
      <c r="A279" s="3">
        <v>1015.0</v>
      </c>
      <c r="B279" s="3">
        <v>1015.0</v>
      </c>
      <c r="C279" s="3">
        <v>268.0</v>
      </c>
      <c r="D279" s="3">
        <v>1.0</v>
      </c>
      <c r="E279" s="1" t="s">
        <v>91</v>
      </c>
      <c r="F279" s="3">
        <v>7.0</v>
      </c>
      <c r="G279" s="3">
        <v>1.0</v>
      </c>
      <c r="H279" s="3">
        <v>0.0</v>
      </c>
      <c r="I279" s="1"/>
      <c r="J279" s="3">
        <v>836.0</v>
      </c>
    </row>
    <row r="280">
      <c r="A280" s="3">
        <v>1016.0</v>
      </c>
      <c r="B280" s="3">
        <v>1016.0</v>
      </c>
      <c r="C280" s="3">
        <v>266.0</v>
      </c>
      <c r="D280" s="3">
        <v>1.0</v>
      </c>
      <c r="E280" s="1" t="s">
        <v>91</v>
      </c>
      <c r="F280" s="3">
        <v>5.0</v>
      </c>
      <c r="G280" s="3">
        <v>1.0</v>
      </c>
      <c r="H280" s="3">
        <v>0.0</v>
      </c>
      <c r="I280" s="1"/>
      <c r="J280" s="3">
        <v>836.0</v>
      </c>
    </row>
    <row r="281">
      <c r="A281" s="3">
        <v>1017.0</v>
      </c>
      <c r="B281" s="3">
        <v>1017.0</v>
      </c>
      <c r="C281" s="3">
        <v>269.0</v>
      </c>
      <c r="D281" s="3">
        <v>1.0</v>
      </c>
      <c r="E281" s="1" t="s">
        <v>91</v>
      </c>
      <c r="F281" s="3">
        <v>8.0</v>
      </c>
      <c r="G281" s="3">
        <v>1.0</v>
      </c>
      <c r="H281" s="3">
        <v>0.0</v>
      </c>
      <c r="I281" s="1"/>
      <c r="J281" s="3">
        <v>836.0</v>
      </c>
    </row>
    <row r="282">
      <c r="A282" s="3">
        <v>1018.0</v>
      </c>
      <c r="B282" s="3">
        <v>1018.0</v>
      </c>
      <c r="C282" s="3">
        <v>270.0</v>
      </c>
      <c r="D282" s="3">
        <v>1.0</v>
      </c>
      <c r="E282" s="1" t="s">
        <v>91</v>
      </c>
      <c r="F282" s="3">
        <v>9.0</v>
      </c>
      <c r="G282" s="3">
        <v>1.0</v>
      </c>
      <c r="H282" s="3">
        <v>0.0</v>
      </c>
      <c r="I282" s="1"/>
      <c r="J282" s="3">
        <v>836.0</v>
      </c>
    </row>
    <row r="283">
      <c r="A283" s="3">
        <v>1019.0</v>
      </c>
      <c r="B283" s="3">
        <v>1019.0</v>
      </c>
      <c r="C283" s="3">
        <v>0.0</v>
      </c>
      <c r="D283" s="3">
        <v>1.0</v>
      </c>
      <c r="E283" s="1" t="s">
        <v>91</v>
      </c>
      <c r="F283" s="1" t="s">
        <v>93</v>
      </c>
      <c r="G283" s="3">
        <v>1.0</v>
      </c>
      <c r="H283" s="3">
        <v>0.0</v>
      </c>
      <c r="I283" s="1"/>
      <c r="J283" s="3">
        <v>836.0</v>
      </c>
    </row>
    <row r="284">
      <c r="A284" s="3">
        <v>1020.0</v>
      </c>
      <c r="B284" s="3">
        <v>1020.0</v>
      </c>
      <c r="C284" s="3">
        <v>271.0</v>
      </c>
      <c r="D284" s="3">
        <v>1.0</v>
      </c>
      <c r="E284" s="1" t="s">
        <v>91</v>
      </c>
      <c r="F284" s="3">
        <v>10.0</v>
      </c>
      <c r="G284" s="3">
        <v>1.0</v>
      </c>
      <c r="H284" s="3">
        <v>0.0</v>
      </c>
      <c r="I284" s="1"/>
      <c r="J284" s="3">
        <v>836.0</v>
      </c>
    </row>
    <row r="285">
      <c r="A285" s="3">
        <v>1021.0</v>
      </c>
      <c r="B285" s="3">
        <v>1021.0</v>
      </c>
      <c r="C285" s="3">
        <v>288.0</v>
      </c>
      <c r="D285" s="3">
        <v>1.0</v>
      </c>
      <c r="E285" s="1" t="s">
        <v>94</v>
      </c>
      <c r="F285" s="3">
        <v>1.0</v>
      </c>
      <c r="G285" s="3">
        <v>1.0</v>
      </c>
      <c r="H285" s="3">
        <v>0.0</v>
      </c>
      <c r="I285" s="1"/>
      <c r="J285" s="3">
        <v>836.0</v>
      </c>
    </row>
    <row r="286">
      <c r="A286" s="3">
        <v>1022.0</v>
      </c>
      <c r="B286" s="3">
        <v>1022.0</v>
      </c>
      <c r="C286" s="3">
        <v>289.0</v>
      </c>
      <c r="D286" s="3">
        <v>1.0</v>
      </c>
      <c r="E286" s="1" t="s">
        <v>94</v>
      </c>
      <c r="F286" s="3">
        <v>2.0</v>
      </c>
      <c r="G286" s="3">
        <v>1.0</v>
      </c>
      <c r="H286" s="3">
        <v>0.0</v>
      </c>
      <c r="I286" s="1"/>
      <c r="J286" s="3">
        <v>836.0</v>
      </c>
    </row>
    <row r="287">
      <c r="A287" s="3">
        <v>1023.0</v>
      </c>
      <c r="B287" s="3">
        <v>1023.0</v>
      </c>
      <c r="C287" s="3">
        <v>0.0</v>
      </c>
      <c r="D287" s="3">
        <v>1.0</v>
      </c>
      <c r="E287" s="1" t="s">
        <v>94</v>
      </c>
      <c r="F287" s="1" t="s">
        <v>95</v>
      </c>
      <c r="G287" s="3">
        <v>1.0</v>
      </c>
      <c r="H287" s="3">
        <v>0.0</v>
      </c>
      <c r="I287" s="1"/>
      <c r="J287" s="3">
        <v>836.0</v>
      </c>
    </row>
    <row r="288">
      <c r="A288" s="3">
        <v>1024.0</v>
      </c>
      <c r="B288" s="3">
        <v>1024.0</v>
      </c>
      <c r="C288" s="3">
        <v>265.0</v>
      </c>
      <c r="D288" s="3">
        <v>1.0</v>
      </c>
      <c r="E288" s="1" t="s">
        <v>91</v>
      </c>
      <c r="F288" s="3">
        <v>4.0</v>
      </c>
      <c r="G288" s="3">
        <v>1.0</v>
      </c>
      <c r="H288" s="3">
        <v>0.0</v>
      </c>
      <c r="I288" s="1"/>
      <c r="J288" s="3">
        <v>836.0</v>
      </c>
    </row>
    <row r="289">
      <c r="A289" s="3">
        <v>1025.0</v>
      </c>
      <c r="B289" s="3">
        <v>1025.0</v>
      </c>
      <c r="C289" s="3">
        <v>262.0</v>
      </c>
      <c r="D289" s="3">
        <v>1.0</v>
      </c>
      <c r="E289" s="1" t="s">
        <v>91</v>
      </c>
      <c r="F289" s="3">
        <v>1.0</v>
      </c>
      <c r="G289" s="3">
        <v>1.0</v>
      </c>
      <c r="H289" s="3">
        <v>0.0</v>
      </c>
      <c r="I289" s="1"/>
      <c r="J289" s="3">
        <v>836.0</v>
      </c>
    </row>
    <row r="290">
      <c r="A290" s="3">
        <v>1026.0</v>
      </c>
      <c r="B290" s="3">
        <v>1026.0</v>
      </c>
      <c r="C290" s="3">
        <v>252.0</v>
      </c>
      <c r="D290" s="3">
        <v>1.0</v>
      </c>
      <c r="E290" s="1" t="s">
        <v>96</v>
      </c>
      <c r="F290" s="1"/>
      <c r="G290" s="3">
        <v>1.0</v>
      </c>
      <c r="H290" s="3">
        <v>0.0</v>
      </c>
      <c r="I290" s="1"/>
      <c r="J290" s="3">
        <v>836.0</v>
      </c>
    </row>
    <row r="291">
      <c r="A291" s="3">
        <v>1027.0</v>
      </c>
      <c r="B291" s="3">
        <v>1027.0</v>
      </c>
      <c r="C291" s="3">
        <v>291.0</v>
      </c>
      <c r="D291" s="3">
        <v>1.0</v>
      </c>
      <c r="E291" s="1" t="s">
        <v>94</v>
      </c>
      <c r="F291" s="3">
        <v>4.0</v>
      </c>
      <c r="G291" s="3">
        <v>1.0</v>
      </c>
      <c r="H291" s="3">
        <v>0.0</v>
      </c>
      <c r="I291" s="1"/>
      <c r="J291" s="3">
        <v>836.0</v>
      </c>
    </row>
    <row r="292">
      <c r="A292" s="3">
        <v>1028.0</v>
      </c>
      <c r="B292" s="3">
        <v>1028.0</v>
      </c>
      <c r="C292" s="3">
        <v>290.0</v>
      </c>
      <c r="D292" s="3">
        <v>1.0</v>
      </c>
      <c r="E292" s="1" t="s">
        <v>94</v>
      </c>
      <c r="F292" s="3">
        <v>3.0</v>
      </c>
      <c r="G292" s="3">
        <v>1.0</v>
      </c>
      <c r="H292" s="3">
        <v>0.0</v>
      </c>
      <c r="I292" s="1"/>
      <c r="J292" s="3">
        <v>836.0</v>
      </c>
    </row>
    <row r="293">
      <c r="A293" s="3">
        <v>1029.0</v>
      </c>
      <c r="B293" s="3">
        <v>1029.0</v>
      </c>
      <c r="C293" s="3">
        <v>276.0</v>
      </c>
      <c r="D293" s="3">
        <v>1.0</v>
      </c>
      <c r="E293" s="1" t="s">
        <v>97</v>
      </c>
      <c r="F293" s="3">
        <v>3.0</v>
      </c>
      <c r="G293" s="3">
        <v>1.0</v>
      </c>
      <c r="H293" s="3">
        <v>0.0</v>
      </c>
      <c r="I293" s="1"/>
      <c r="J293" s="3">
        <v>836.0</v>
      </c>
    </row>
    <row r="294">
      <c r="A294" s="3">
        <v>1030.0</v>
      </c>
      <c r="B294" s="3">
        <v>1030.0</v>
      </c>
      <c r="C294" s="3">
        <v>263.0</v>
      </c>
      <c r="D294" s="3">
        <v>1.0</v>
      </c>
      <c r="E294" s="1" t="s">
        <v>91</v>
      </c>
      <c r="F294" s="3">
        <v>2.0</v>
      </c>
      <c r="G294" s="3">
        <v>1.0</v>
      </c>
      <c r="H294" s="3">
        <v>0.0</v>
      </c>
      <c r="I294" s="1"/>
      <c r="J294" s="3">
        <v>836.0</v>
      </c>
    </row>
    <row r="295">
      <c r="A295" s="3">
        <v>1031.0</v>
      </c>
      <c r="B295" s="3">
        <v>1031.0</v>
      </c>
      <c r="C295" s="3">
        <v>0.0</v>
      </c>
      <c r="D295" s="3">
        <v>1.0</v>
      </c>
      <c r="E295" s="1" t="s">
        <v>96</v>
      </c>
      <c r="F295" s="1" t="s">
        <v>93</v>
      </c>
      <c r="G295" s="3">
        <v>1.0</v>
      </c>
      <c r="H295" s="3">
        <v>0.0</v>
      </c>
      <c r="I295" s="1"/>
      <c r="J295" s="3">
        <v>836.0</v>
      </c>
    </row>
    <row r="296">
      <c r="A296" s="3">
        <v>1032.0</v>
      </c>
      <c r="B296" s="3">
        <v>1032.0</v>
      </c>
      <c r="C296" s="3">
        <v>274.0</v>
      </c>
      <c r="D296" s="3">
        <v>1.0</v>
      </c>
      <c r="E296" s="1" t="s">
        <v>97</v>
      </c>
      <c r="F296" s="3">
        <v>1.0</v>
      </c>
      <c r="G296" s="3">
        <v>1.0</v>
      </c>
      <c r="H296" s="3">
        <v>0.0</v>
      </c>
      <c r="I296" s="1"/>
      <c r="J296" s="3">
        <v>836.0</v>
      </c>
    </row>
    <row r="297">
      <c r="A297" s="3">
        <v>1033.0</v>
      </c>
      <c r="B297" s="3">
        <v>1033.0</v>
      </c>
      <c r="C297" s="3">
        <v>264.0</v>
      </c>
      <c r="D297" s="3">
        <v>1.0</v>
      </c>
      <c r="E297" s="1" t="s">
        <v>91</v>
      </c>
      <c r="F297" s="3">
        <v>3.0</v>
      </c>
      <c r="G297" s="3">
        <v>1.0</v>
      </c>
      <c r="H297" s="3">
        <v>0.0</v>
      </c>
      <c r="I297" s="1"/>
      <c r="J297" s="3">
        <v>836.0</v>
      </c>
    </row>
    <row r="298">
      <c r="A298" s="3">
        <v>1034.0</v>
      </c>
      <c r="B298" s="3">
        <v>1034.0</v>
      </c>
      <c r="C298" s="3">
        <v>275.0</v>
      </c>
      <c r="D298" s="3">
        <v>1.0</v>
      </c>
      <c r="E298" s="1" t="s">
        <v>97</v>
      </c>
      <c r="F298" s="3">
        <v>2.0</v>
      </c>
      <c r="G298" s="3">
        <v>1.0</v>
      </c>
      <c r="H298" s="3">
        <v>0.0</v>
      </c>
      <c r="I298" s="1"/>
      <c r="J298" s="3">
        <v>836.0</v>
      </c>
    </row>
    <row r="299">
      <c r="A299" s="3">
        <v>1035.0</v>
      </c>
      <c r="B299" s="3">
        <v>1035.0</v>
      </c>
      <c r="C299" s="3">
        <v>293.0</v>
      </c>
      <c r="D299" s="3">
        <v>1.0</v>
      </c>
      <c r="E299" s="1" t="s">
        <v>94</v>
      </c>
      <c r="F299" s="3">
        <v>6.0</v>
      </c>
      <c r="G299" s="3">
        <v>1.0</v>
      </c>
      <c r="H299" s="3">
        <v>0.0</v>
      </c>
      <c r="I299" s="1"/>
      <c r="J299" s="3">
        <v>836.0</v>
      </c>
    </row>
    <row r="300">
      <c r="A300" s="3">
        <v>1036.0</v>
      </c>
      <c r="B300" s="3">
        <v>1036.0</v>
      </c>
      <c r="C300" s="3">
        <v>292.0</v>
      </c>
      <c r="D300" s="3">
        <v>1.0</v>
      </c>
      <c r="E300" s="1" t="s">
        <v>94</v>
      </c>
      <c r="F300" s="3">
        <v>5.0</v>
      </c>
      <c r="G300" s="3">
        <v>1.0</v>
      </c>
      <c r="H300" s="3">
        <v>0.0</v>
      </c>
      <c r="I300" s="1"/>
      <c r="J300" s="3">
        <v>836.0</v>
      </c>
    </row>
    <row r="301">
      <c r="A301" s="3">
        <v>1037.0</v>
      </c>
      <c r="B301" s="3">
        <v>1037.0</v>
      </c>
      <c r="C301" s="3">
        <v>250.0</v>
      </c>
      <c r="D301" s="3">
        <v>1.0</v>
      </c>
      <c r="E301" s="1" t="s">
        <v>98</v>
      </c>
      <c r="F301" s="3">
        <v>1.0</v>
      </c>
      <c r="G301" s="3">
        <v>1.0</v>
      </c>
      <c r="H301" s="3">
        <v>0.0</v>
      </c>
      <c r="I301" s="1"/>
      <c r="J301" s="3">
        <v>836.0</v>
      </c>
    </row>
    <row r="302">
      <c r="A302" s="3">
        <v>1038.0</v>
      </c>
      <c r="B302" s="3">
        <v>1038.0</v>
      </c>
      <c r="C302" s="3">
        <v>251.0</v>
      </c>
      <c r="D302" s="3">
        <v>1.0</v>
      </c>
      <c r="E302" s="1" t="s">
        <v>98</v>
      </c>
      <c r="F302" s="3">
        <v>2.0</v>
      </c>
      <c r="G302" s="3">
        <v>1.0</v>
      </c>
      <c r="H302" s="3">
        <v>0.0</v>
      </c>
      <c r="I302" s="1"/>
      <c r="J302" s="3">
        <v>836.0</v>
      </c>
    </row>
    <row r="303">
      <c r="A303" s="3">
        <v>1039.0</v>
      </c>
      <c r="B303" s="3">
        <v>1039.0</v>
      </c>
      <c r="C303" s="3">
        <v>257.0</v>
      </c>
      <c r="D303" s="3">
        <v>1.0</v>
      </c>
      <c r="E303" s="1" t="s">
        <v>99</v>
      </c>
      <c r="F303" s="3">
        <v>4.0</v>
      </c>
      <c r="G303" s="3">
        <v>1.0</v>
      </c>
      <c r="H303" s="3">
        <v>0.0</v>
      </c>
      <c r="I303" s="1"/>
      <c r="J303" s="3">
        <v>836.0</v>
      </c>
    </row>
    <row r="304">
      <c r="A304" s="3">
        <v>1040.0</v>
      </c>
      <c r="B304" s="3">
        <v>1040.0</v>
      </c>
      <c r="C304" s="3">
        <v>258.0</v>
      </c>
      <c r="D304" s="3">
        <v>1.0</v>
      </c>
      <c r="E304" s="1" t="s">
        <v>99</v>
      </c>
      <c r="F304" s="3">
        <v>5.0</v>
      </c>
      <c r="G304" s="3">
        <v>1.0</v>
      </c>
      <c r="H304" s="3">
        <v>0.0</v>
      </c>
      <c r="I304" s="1"/>
      <c r="J304" s="3">
        <v>836.0</v>
      </c>
    </row>
    <row r="305">
      <c r="A305" s="3">
        <v>1041.0</v>
      </c>
      <c r="B305" s="3">
        <v>1041.0</v>
      </c>
      <c r="C305" s="3">
        <v>254.0</v>
      </c>
      <c r="D305" s="3">
        <v>1.0</v>
      </c>
      <c r="E305" s="1" t="s">
        <v>99</v>
      </c>
      <c r="F305" s="3">
        <v>1.0</v>
      </c>
      <c r="G305" s="3">
        <v>1.0</v>
      </c>
      <c r="H305" s="3">
        <v>0.0</v>
      </c>
      <c r="I305" s="1"/>
      <c r="J305" s="3">
        <v>836.0</v>
      </c>
    </row>
    <row r="306">
      <c r="A306" s="3">
        <v>1042.0</v>
      </c>
      <c r="B306" s="3">
        <v>1042.0</v>
      </c>
      <c r="C306" s="3">
        <v>255.0</v>
      </c>
      <c r="D306" s="3">
        <v>1.0</v>
      </c>
      <c r="E306" s="1" t="s">
        <v>99</v>
      </c>
      <c r="F306" s="3">
        <v>2.0</v>
      </c>
      <c r="G306" s="3">
        <v>1.0</v>
      </c>
      <c r="H306" s="3">
        <v>0.0</v>
      </c>
      <c r="I306" s="1"/>
      <c r="J306" s="3">
        <v>836.0</v>
      </c>
    </row>
    <row r="307">
      <c r="A307" s="3">
        <v>1043.0</v>
      </c>
      <c r="B307" s="3">
        <v>1043.0</v>
      </c>
      <c r="C307" s="3">
        <v>256.0</v>
      </c>
      <c r="D307" s="3">
        <v>1.0</v>
      </c>
      <c r="E307" s="1" t="s">
        <v>99</v>
      </c>
      <c r="F307" s="3">
        <v>3.0</v>
      </c>
      <c r="G307" s="3">
        <v>1.0</v>
      </c>
      <c r="H307" s="3">
        <v>0.0</v>
      </c>
      <c r="I307" s="1"/>
      <c r="J307" s="3">
        <v>836.0</v>
      </c>
    </row>
    <row r="308">
      <c r="A308" s="3">
        <v>1044.0</v>
      </c>
      <c r="B308" s="3">
        <v>1044.0</v>
      </c>
      <c r="C308" s="3">
        <v>866.0</v>
      </c>
      <c r="D308" s="3">
        <v>1.0</v>
      </c>
      <c r="E308" s="1" t="s">
        <v>99</v>
      </c>
      <c r="F308" s="3">
        <v>6.0</v>
      </c>
      <c r="G308" s="3">
        <v>1.0</v>
      </c>
      <c r="H308" s="3">
        <v>0.0</v>
      </c>
      <c r="I308" s="1"/>
      <c r="J308" s="3">
        <v>836.0</v>
      </c>
    </row>
    <row r="309">
      <c r="A309" s="3">
        <v>1045.0</v>
      </c>
      <c r="B309" s="3">
        <v>1045.0</v>
      </c>
      <c r="C309" s="3">
        <v>867.0</v>
      </c>
      <c r="D309" s="3">
        <v>1.0</v>
      </c>
      <c r="E309" s="1" t="s">
        <v>99</v>
      </c>
      <c r="F309" s="3">
        <v>7.0</v>
      </c>
      <c r="G309" s="3">
        <v>1.0</v>
      </c>
      <c r="H309" s="3">
        <v>0.0</v>
      </c>
      <c r="I309" s="1"/>
      <c r="J309" s="3">
        <v>836.0</v>
      </c>
    </row>
    <row r="310">
      <c r="A310" s="3">
        <v>1046.0</v>
      </c>
      <c r="B310" s="3">
        <v>1046.0</v>
      </c>
      <c r="C310" s="3">
        <v>286.0</v>
      </c>
      <c r="D310" s="3">
        <v>1.0</v>
      </c>
      <c r="E310" s="1" t="s">
        <v>100</v>
      </c>
      <c r="F310" s="3">
        <v>1.0</v>
      </c>
      <c r="G310" s="3">
        <v>1.0</v>
      </c>
      <c r="H310" s="3">
        <v>0.0</v>
      </c>
      <c r="I310" s="1"/>
      <c r="J310" s="3">
        <v>836.0</v>
      </c>
    </row>
    <row r="311">
      <c r="A311" s="3">
        <v>1047.0</v>
      </c>
      <c r="B311" s="3">
        <v>1047.0</v>
      </c>
      <c r="C311" s="3">
        <v>287.0</v>
      </c>
      <c r="D311" s="3">
        <v>1.0</v>
      </c>
      <c r="E311" s="1" t="s">
        <v>100</v>
      </c>
      <c r="F311" s="3">
        <v>2.0</v>
      </c>
      <c r="G311" s="3">
        <v>1.0</v>
      </c>
      <c r="H311" s="3">
        <v>0.0</v>
      </c>
      <c r="I311" s="1"/>
      <c r="J311" s="3">
        <v>836.0</v>
      </c>
    </row>
    <row r="312">
      <c r="A312" s="3">
        <v>1048.0</v>
      </c>
      <c r="B312" s="3">
        <v>1048.0</v>
      </c>
      <c r="C312" s="3">
        <v>0.0</v>
      </c>
      <c r="D312" s="3">
        <v>1.0</v>
      </c>
      <c r="E312" s="1" t="s">
        <v>101</v>
      </c>
      <c r="F312" s="3">
        <v>2.0</v>
      </c>
      <c r="G312" s="3">
        <v>1.0</v>
      </c>
      <c r="H312" s="3">
        <v>0.0</v>
      </c>
      <c r="I312" s="1"/>
      <c r="J312" s="3">
        <v>836.0</v>
      </c>
    </row>
    <row r="313">
      <c r="A313" s="3">
        <v>1049.0</v>
      </c>
      <c r="B313" s="3">
        <v>1049.0</v>
      </c>
      <c r="C313" s="3">
        <v>0.0</v>
      </c>
      <c r="D313" s="3">
        <v>1.0</v>
      </c>
      <c r="E313" s="1" t="s">
        <v>102</v>
      </c>
      <c r="F313" s="3">
        <v>1.0</v>
      </c>
      <c r="G313" s="3">
        <v>1.0</v>
      </c>
      <c r="H313" s="3">
        <v>0.0</v>
      </c>
      <c r="I313" s="1"/>
      <c r="J313" s="3">
        <v>836.0</v>
      </c>
    </row>
    <row r="314">
      <c r="A314" s="3">
        <v>1050.0</v>
      </c>
      <c r="B314" s="3">
        <v>1050.0</v>
      </c>
      <c r="C314" s="3">
        <v>244.0</v>
      </c>
      <c r="D314" s="3">
        <v>1.0</v>
      </c>
      <c r="E314" s="1" t="s">
        <v>100</v>
      </c>
      <c r="F314" s="1" t="s">
        <v>15</v>
      </c>
      <c r="G314" s="3">
        <v>1.0</v>
      </c>
      <c r="H314" s="3">
        <v>0.0</v>
      </c>
      <c r="I314" s="1"/>
      <c r="J314" s="3">
        <v>836.0</v>
      </c>
    </row>
    <row r="315">
      <c r="A315" s="3">
        <v>1051.0</v>
      </c>
      <c r="B315" s="3">
        <v>1051.0</v>
      </c>
      <c r="C315" s="3">
        <v>245.0</v>
      </c>
      <c r="D315" s="3">
        <v>1.0</v>
      </c>
      <c r="E315" s="1" t="s">
        <v>100</v>
      </c>
      <c r="F315" s="1" t="s">
        <v>19</v>
      </c>
      <c r="G315" s="3">
        <v>1.0</v>
      </c>
      <c r="H315" s="3">
        <v>0.0</v>
      </c>
      <c r="I315" s="1"/>
      <c r="J315" s="3">
        <v>836.0</v>
      </c>
    </row>
    <row r="316">
      <c r="A316" s="3">
        <v>1052.0</v>
      </c>
      <c r="B316" s="3">
        <v>1052.0</v>
      </c>
      <c r="C316" s="3">
        <v>246.0</v>
      </c>
      <c r="D316" s="3">
        <v>1.0</v>
      </c>
      <c r="E316" s="1" t="s">
        <v>100</v>
      </c>
      <c r="F316" s="1" t="s">
        <v>35</v>
      </c>
      <c r="G316" s="3">
        <v>1.0</v>
      </c>
      <c r="H316" s="3">
        <v>0.0</v>
      </c>
      <c r="I316" s="1"/>
      <c r="J316" s="3">
        <v>836.0</v>
      </c>
    </row>
    <row r="317">
      <c r="A317" s="3">
        <v>1053.0</v>
      </c>
      <c r="B317" s="3">
        <v>1053.0</v>
      </c>
      <c r="C317" s="3">
        <v>248.0</v>
      </c>
      <c r="D317" s="3">
        <v>1.0</v>
      </c>
      <c r="E317" s="1" t="s">
        <v>100</v>
      </c>
      <c r="F317" s="1" t="s">
        <v>37</v>
      </c>
      <c r="G317" s="3">
        <v>1.0</v>
      </c>
      <c r="H317" s="3">
        <v>0.0</v>
      </c>
      <c r="I317" s="1"/>
      <c r="J317" s="3">
        <v>836.0</v>
      </c>
    </row>
    <row r="318">
      <c r="A318" s="3">
        <v>1054.0</v>
      </c>
      <c r="B318" s="3">
        <v>1054.0</v>
      </c>
      <c r="C318" s="3">
        <v>294.0</v>
      </c>
      <c r="D318" s="3">
        <v>1.0</v>
      </c>
      <c r="E318" s="1" t="s">
        <v>103</v>
      </c>
      <c r="F318" s="1" t="s">
        <v>15</v>
      </c>
      <c r="G318" s="3">
        <v>1.0</v>
      </c>
      <c r="H318" s="3">
        <v>0.0</v>
      </c>
      <c r="I318" s="1"/>
      <c r="J318" s="3">
        <v>836.0</v>
      </c>
    </row>
    <row r="319">
      <c r="A319" s="3">
        <v>1055.0</v>
      </c>
      <c r="B319" s="3">
        <v>1055.0</v>
      </c>
      <c r="C319" s="3">
        <v>0.0</v>
      </c>
      <c r="D319" s="3">
        <v>1.0</v>
      </c>
      <c r="E319" s="1" t="s">
        <v>104</v>
      </c>
      <c r="F319" s="1" t="s">
        <v>93</v>
      </c>
      <c r="G319" s="3">
        <v>1.0</v>
      </c>
      <c r="H319" s="3">
        <v>0.0</v>
      </c>
      <c r="I319" s="1"/>
      <c r="J319" s="3">
        <v>836.0</v>
      </c>
    </row>
    <row r="320">
      <c r="A320" s="3">
        <v>1056.0</v>
      </c>
      <c r="B320" s="3">
        <v>1056.0</v>
      </c>
      <c r="C320" s="3">
        <v>295.0</v>
      </c>
      <c r="D320" s="3">
        <v>1.0</v>
      </c>
      <c r="E320" s="1" t="s">
        <v>103</v>
      </c>
      <c r="F320" s="1" t="s">
        <v>105</v>
      </c>
      <c r="G320" s="3">
        <v>1.0</v>
      </c>
      <c r="H320" s="3">
        <v>0.0</v>
      </c>
      <c r="I320" s="1"/>
      <c r="J320" s="3">
        <v>836.0</v>
      </c>
    </row>
    <row r="321">
      <c r="A321" s="3">
        <v>1057.0</v>
      </c>
      <c r="B321" s="3">
        <v>1057.0</v>
      </c>
      <c r="C321" s="3">
        <v>0.0</v>
      </c>
      <c r="D321" s="3">
        <v>1.0</v>
      </c>
      <c r="E321" s="1" t="s">
        <v>104</v>
      </c>
      <c r="F321" s="1" t="s">
        <v>106</v>
      </c>
      <c r="G321" s="3">
        <v>1.0</v>
      </c>
      <c r="H321" s="3">
        <v>0.0</v>
      </c>
      <c r="I321" s="1"/>
      <c r="J321" s="3">
        <v>836.0</v>
      </c>
    </row>
    <row r="322">
      <c r="A322" s="3">
        <v>1058.0</v>
      </c>
      <c r="B322" s="3">
        <v>1058.0</v>
      </c>
      <c r="C322" s="3">
        <v>303.0</v>
      </c>
      <c r="D322" s="3">
        <v>1.0</v>
      </c>
      <c r="E322" s="1" t="s">
        <v>103</v>
      </c>
      <c r="F322" s="1" t="s">
        <v>35</v>
      </c>
      <c r="G322" s="3">
        <v>1.0</v>
      </c>
      <c r="H322" s="3">
        <v>0.0</v>
      </c>
      <c r="I322" s="1"/>
      <c r="J322" s="3">
        <v>836.0</v>
      </c>
    </row>
    <row r="323">
      <c r="A323" s="3">
        <v>1059.0</v>
      </c>
      <c r="B323" s="3">
        <v>1059.0</v>
      </c>
      <c r="C323" s="3">
        <v>0.0</v>
      </c>
      <c r="D323" s="3">
        <v>1.0</v>
      </c>
      <c r="E323" s="1" t="s">
        <v>104</v>
      </c>
      <c r="F323" s="1" t="s">
        <v>107</v>
      </c>
      <c r="G323" s="3">
        <v>1.0</v>
      </c>
      <c r="H323" s="3">
        <v>0.0</v>
      </c>
      <c r="I323" s="1"/>
      <c r="J323" s="3">
        <v>836.0</v>
      </c>
    </row>
    <row r="324">
      <c r="A324" s="3">
        <v>1060.0</v>
      </c>
      <c r="B324" s="3">
        <v>1060.0</v>
      </c>
      <c r="C324" s="3">
        <v>1141.0</v>
      </c>
      <c r="D324" s="3">
        <v>1.0</v>
      </c>
      <c r="E324" s="1" t="s">
        <v>108</v>
      </c>
      <c r="F324" s="3">
        <v>3.0</v>
      </c>
      <c r="G324" s="3">
        <v>1.0</v>
      </c>
      <c r="H324" s="3">
        <v>0.0</v>
      </c>
      <c r="I324" s="1"/>
      <c r="J324" s="3">
        <v>836.0</v>
      </c>
    </row>
    <row r="325">
      <c r="A325" s="3">
        <v>1061.0</v>
      </c>
      <c r="B325" s="3">
        <v>1061.0</v>
      </c>
      <c r="C325" s="3">
        <v>1140.0</v>
      </c>
      <c r="D325" s="3">
        <v>1.0</v>
      </c>
      <c r="E325" s="1" t="s">
        <v>108</v>
      </c>
      <c r="F325" s="3">
        <v>2.0</v>
      </c>
      <c r="G325" s="3">
        <v>1.0</v>
      </c>
      <c r="H325" s="3">
        <v>0.0</v>
      </c>
      <c r="I325" s="1"/>
      <c r="J325" s="3">
        <v>836.0</v>
      </c>
    </row>
    <row r="326">
      <c r="A326" s="3">
        <v>1062.0</v>
      </c>
      <c r="B326" s="3">
        <v>1062.0</v>
      </c>
      <c r="C326" s="3">
        <v>1139.0</v>
      </c>
      <c r="D326" s="3">
        <v>1.0</v>
      </c>
      <c r="E326" s="1" t="s">
        <v>108</v>
      </c>
      <c r="F326" s="3">
        <v>1.0</v>
      </c>
      <c r="G326" s="3">
        <v>1.0</v>
      </c>
      <c r="H326" s="3">
        <v>0.0</v>
      </c>
      <c r="I326" s="1"/>
      <c r="J326" s="3">
        <v>836.0</v>
      </c>
    </row>
    <row r="327">
      <c r="A327" s="3">
        <v>1063.0</v>
      </c>
      <c r="B327" s="3">
        <v>1063.0</v>
      </c>
      <c r="C327" s="3">
        <v>0.0</v>
      </c>
      <c r="D327" s="3">
        <v>1.0</v>
      </c>
      <c r="E327" s="1" t="s">
        <v>109</v>
      </c>
      <c r="F327" s="1" t="s">
        <v>93</v>
      </c>
      <c r="G327" s="3">
        <v>1.0</v>
      </c>
      <c r="H327" s="3">
        <v>0.0</v>
      </c>
      <c r="I327" s="1"/>
      <c r="J327" s="3">
        <v>836.0</v>
      </c>
    </row>
    <row r="328">
      <c r="A328" s="3">
        <v>1064.0</v>
      </c>
      <c r="B328" s="3">
        <v>1064.0</v>
      </c>
      <c r="C328" s="3">
        <v>1119.0</v>
      </c>
      <c r="D328" s="3">
        <v>1.0</v>
      </c>
      <c r="E328" s="1" t="s">
        <v>109</v>
      </c>
      <c r="F328" s="1"/>
      <c r="G328" s="3">
        <v>1.0</v>
      </c>
      <c r="H328" s="3">
        <v>0.0</v>
      </c>
      <c r="I328" s="1"/>
      <c r="J328" s="3">
        <v>836.0</v>
      </c>
    </row>
    <row r="329">
      <c r="A329" s="3">
        <v>1065.0</v>
      </c>
      <c r="B329" s="3">
        <v>1065.0</v>
      </c>
      <c r="C329" s="3">
        <v>296.0</v>
      </c>
      <c r="D329" s="3">
        <v>1.0</v>
      </c>
      <c r="E329" s="1" t="s">
        <v>110</v>
      </c>
      <c r="F329" s="1" t="s">
        <v>111</v>
      </c>
      <c r="G329" s="3">
        <v>1.0</v>
      </c>
      <c r="H329" s="3">
        <v>0.0</v>
      </c>
      <c r="I329" s="1"/>
      <c r="J329" s="3">
        <v>836.0</v>
      </c>
    </row>
    <row r="330">
      <c r="A330" s="3">
        <v>1066.0</v>
      </c>
      <c r="B330" s="3">
        <v>1066.0</v>
      </c>
      <c r="C330" s="3">
        <v>321.0</v>
      </c>
      <c r="D330" s="3">
        <v>1.0</v>
      </c>
      <c r="E330" s="1" t="s">
        <v>112</v>
      </c>
      <c r="F330" s="1" t="s">
        <v>19</v>
      </c>
      <c r="G330" s="3">
        <v>1.0</v>
      </c>
      <c r="H330" s="3">
        <v>0.0</v>
      </c>
      <c r="I330" s="1"/>
      <c r="J330" s="3">
        <v>836.0</v>
      </c>
    </row>
    <row r="331">
      <c r="A331" s="3">
        <v>1067.0</v>
      </c>
      <c r="B331" s="3">
        <v>1067.0</v>
      </c>
      <c r="C331" s="3">
        <v>320.0</v>
      </c>
      <c r="D331" s="3">
        <v>1.0</v>
      </c>
      <c r="E331" s="1" t="s">
        <v>112</v>
      </c>
      <c r="F331" s="1" t="s">
        <v>35</v>
      </c>
      <c r="G331" s="3">
        <v>1.0</v>
      </c>
      <c r="H331" s="3">
        <v>0.0</v>
      </c>
      <c r="I331" s="1"/>
      <c r="J331" s="3">
        <v>836.0</v>
      </c>
    </row>
    <row r="332">
      <c r="A332" s="3">
        <v>1068.0</v>
      </c>
      <c r="B332" s="3">
        <v>1068.0</v>
      </c>
      <c r="C332" s="3">
        <v>319.0</v>
      </c>
      <c r="D332" s="3">
        <v>1.0</v>
      </c>
      <c r="E332" s="1" t="s">
        <v>112</v>
      </c>
      <c r="F332" s="1" t="s">
        <v>15</v>
      </c>
      <c r="G332" s="3">
        <v>1.0</v>
      </c>
      <c r="H332" s="3">
        <v>0.0</v>
      </c>
      <c r="I332" s="1"/>
      <c r="J332" s="3">
        <v>836.0</v>
      </c>
    </row>
    <row r="333">
      <c r="A333" s="3">
        <v>1069.0</v>
      </c>
      <c r="B333" s="3">
        <v>1069.0</v>
      </c>
      <c r="C333" s="3">
        <v>652.0</v>
      </c>
      <c r="D333" s="3">
        <v>1.0</v>
      </c>
      <c r="E333" s="1" t="s">
        <v>113</v>
      </c>
      <c r="F333" s="3">
        <v>4.0</v>
      </c>
      <c r="G333" s="3">
        <v>1.0</v>
      </c>
      <c r="H333" s="3">
        <v>0.0</v>
      </c>
      <c r="I333" s="1"/>
      <c r="J333" s="3">
        <v>836.0</v>
      </c>
    </row>
    <row r="334">
      <c r="A334" s="3">
        <v>1070.0</v>
      </c>
      <c r="B334" s="3">
        <v>1070.0</v>
      </c>
      <c r="C334" s="3">
        <v>305.0</v>
      </c>
      <c r="D334" s="3">
        <v>1.0</v>
      </c>
      <c r="E334" s="1" t="s">
        <v>110</v>
      </c>
      <c r="F334" s="1" t="s">
        <v>114</v>
      </c>
      <c r="G334" s="3">
        <v>1.0</v>
      </c>
      <c r="H334" s="3">
        <v>0.0</v>
      </c>
      <c r="I334" s="1"/>
      <c r="J334" s="3">
        <v>836.0</v>
      </c>
    </row>
    <row r="335">
      <c r="A335" s="3">
        <v>1071.0</v>
      </c>
      <c r="B335" s="3">
        <v>1071.0</v>
      </c>
      <c r="C335" s="3">
        <v>304.0</v>
      </c>
      <c r="D335" s="3">
        <v>1.0</v>
      </c>
      <c r="E335" s="1" t="s">
        <v>110</v>
      </c>
      <c r="F335" s="1" t="s">
        <v>115</v>
      </c>
      <c r="G335" s="3">
        <v>1.0</v>
      </c>
      <c r="H335" s="3">
        <v>0.0</v>
      </c>
      <c r="I335" s="1"/>
      <c r="J335" s="3">
        <v>836.0</v>
      </c>
    </row>
    <row r="336">
      <c r="A336" s="3">
        <v>1072.0</v>
      </c>
      <c r="B336" s="3">
        <v>1072.0</v>
      </c>
      <c r="C336" s="3">
        <v>315.0</v>
      </c>
      <c r="D336" s="3">
        <v>1.0</v>
      </c>
      <c r="E336" s="1" t="s">
        <v>110</v>
      </c>
      <c r="F336" s="3">
        <v>4.0</v>
      </c>
      <c r="G336" s="3">
        <v>1.0</v>
      </c>
      <c r="H336" s="3">
        <v>0.0</v>
      </c>
      <c r="I336" s="1"/>
      <c r="J336" s="3">
        <v>836.0</v>
      </c>
    </row>
    <row r="337">
      <c r="A337" s="3">
        <v>1073.0</v>
      </c>
      <c r="B337" s="3">
        <v>1073.0</v>
      </c>
      <c r="C337" s="3">
        <v>302.0</v>
      </c>
      <c r="D337" s="3">
        <v>1.0</v>
      </c>
      <c r="E337" s="1" t="s">
        <v>110</v>
      </c>
      <c r="F337" s="1" t="s">
        <v>28</v>
      </c>
      <c r="G337" s="3">
        <v>1.0</v>
      </c>
      <c r="H337" s="3">
        <v>0.0</v>
      </c>
      <c r="I337" s="1"/>
      <c r="J337" s="3">
        <v>836.0</v>
      </c>
    </row>
    <row r="338">
      <c r="A338" s="3">
        <v>2060.0</v>
      </c>
      <c r="B338" s="3">
        <v>1635.0</v>
      </c>
      <c r="C338" s="3">
        <v>0.0</v>
      </c>
      <c r="D338" s="3">
        <v>2.0</v>
      </c>
      <c r="E338" s="1" t="s">
        <v>116</v>
      </c>
      <c r="F338" s="1"/>
      <c r="G338" s="3">
        <v>1.0</v>
      </c>
      <c r="H338" s="3">
        <v>0.0</v>
      </c>
      <c r="I338" s="4">
        <v>40497.0</v>
      </c>
      <c r="J338" s="3">
        <v>836.0</v>
      </c>
    </row>
    <row r="339">
      <c r="A339" s="3">
        <v>1.0</v>
      </c>
      <c r="B339" s="3">
        <v>1.0</v>
      </c>
      <c r="C339" s="3">
        <v>1.0</v>
      </c>
      <c r="D339" s="3">
        <v>1.0</v>
      </c>
      <c r="E339" s="1" t="s">
        <v>117</v>
      </c>
      <c r="F339" s="1" t="s">
        <v>15</v>
      </c>
      <c r="G339" s="3">
        <v>1.0</v>
      </c>
      <c r="H339" s="3">
        <v>0.0</v>
      </c>
      <c r="I339" s="1"/>
      <c r="J339" s="3">
        <v>836.0</v>
      </c>
    </row>
    <row r="340">
      <c r="A340" s="3">
        <v>3.0</v>
      </c>
      <c r="B340" s="3">
        <v>3.0</v>
      </c>
      <c r="C340" s="3">
        <v>3.0</v>
      </c>
      <c r="D340" s="3">
        <v>1.0</v>
      </c>
      <c r="E340" s="1" t="s">
        <v>117</v>
      </c>
      <c r="F340" s="1" t="s">
        <v>35</v>
      </c>
      <c r="G340" s="3">
        <v>1.0</v>
      </c>
      <c r="H340" s="3">
        <v>0.0</v>
      </c>
      <c r="I340" s="1"/>
      <c r="J340" s="3">
        <v>836.0</v>
      </c>
    </row>
    <row r="341">
      <c r="A341" s="3">
        <v>4.0</v>
      </c>
      <c r="B341" s="3">
        <v>4.0</v>
      </c>
      <c r="C341" s="3">
        <v>6.0</v>
      </c>
      <c r="D341" s="3">
        <v>1.0</v>
      </c>
      <c r="E341" s="2" t="s">
        <v>118</v>
      </c>
      <c r="F341" s="1"/>
      <c r="G341" s="3">
        <v>1.0</v>
      </c>
      <c r="H341" s="3">
        <v>0.0</v>
      </c>
      <c r="I341" s="1"/>
      <c r="J341" s="3">
        <v>836.0</v>
      </c>
    </row>
    <row r="342">
      <c r="A342" s="3">
        <v>5.0</v>
      </c>
      <c r="B342" s="3">
        <v>5.0</v>
      </c>
      <c r="C342" s="3">
        <v>8.0</v>
      </c>
      <c r="D342" s="3">
        <v>1.0</v>
      </c>
      <c r="E342" s="1" t="s">
        <v>119</v>
      </c>
      <c r="F342" s="3">
        <v>1.0</v>
      </c>
      <c r="G342" s="3">
        <v>1.0</v>
      </c>
      <c r="H342" s="3">
        <v>0.0</v>
      </c>
      <c r="I342" s="1"/>
      <c r="J342" s="3">
        <v>836.0</v>
      </c>
    </row>
    <row r="343">
      <c r="A343" s="3">
        <v>6.0</v>
      </c>
      <c r="B343" s="3">
        <v>6.0</v>
      </c>
      <c r="C343" s="3">
        <v>0.0</v>
      </c>
      <c r="D343" s="3">
        <v>1.0</v>
      </c>
      <c r="E343" s="1" t="s">
        <v>119</v>
      </c>
      <c r="F343" s="3">
        <v>4.0</v>
      </c>
      <c r="G343" s="3">
        <v>1.0</v>
      </c>
      <c r="H343" s="3">
        <v>0.0</v>
      </c>
      <c r="I343" s="1"/>
      <c r="J343" s="3">
        <v>836.0</v>
      </c>
    </row>
    <row r="344">
      <c r="A344" s="3">
        <v>7.0</v>
      </c>
      <c r="B344" s="3">
        <v>7.0</v>
      </c>
      <c r="C344" s="3">
        <v>9.0</v>
      </c>
      <c r="D344" s="3">
        <v>1.0</v>
      </c>
      <c r="E344" s="1" t="s">
        <v>119</v>
      </c>
      <c r="F344" s="3">
        <v>2.0</v>
      </c>
      <c r="G344" s="3">
        <v>1.0</v>
      </c>
      <c r="H344" s="3">
        <v>0.0</v>
      </c>
      <c r="I344" s="1"/>
      <c r="J344" s="3">
        <v>836.0</v>
      </c>
    </row>
    <row r="345">
      <c r="A345" s="3">
        <v>8.0</v>
      </c>
      <c r="B345" s="3">
        <v>8.0</v>
      </c>
      <c r="C345" s="3">
        <v>12.0</v>
      </c>
      <c r="D345" s="3">
        <v>1.0</v>
      </c>
      <c r="E345" s="1" t="s">
        <v>120</v>
      </c>
      <c r="F345" s="1" t="s">
        <v>15</v>
      </c>
      <c r="G345" s="3">
        <v>1.0</v>
      </c>
      <c r="H345" s="3">
        <v>0.0</v>
      </c>
      <c r="I345" s="1"/>
      <c r="J345" s="3">
        <v>836.0</v>
      </c>
    </row>
    <row r="346">
      <c r="A346" s="3">
        <v>9.0</v>
      </c>
      <c r="B346" s="3">
        <v>9.0</v>
      </c>
      <c r="C346" s="3">
        <v>10.0</v>
      </c>
      <c r="D346" s="3">
        <v>1.0</v>
      </c>
      <c r="E346" s="1" t="s">
        <v>119</v>
      </c>
      <c r="F346" s="3">
        <v>3.0</v>
      </c>
      <c r="G346" s="3">
        <v>1.0</v>
      </c>
      <c r="H346" s="3">
        <v>0.0</v>
      </c>
      <c r="I346" s="1"/>
      <c r="J346" s="3">
        <v>836.0</v>
      </c>
    </row>
    <row r="347">
      <c r="A347" s="3">
        <v>10.0</v>
      </c>
      <c r="B347" s="3">
        <v>10.0</v>
      </c>
      <c r="C347" s="3">
        <v>13.0</v>
      </c>
      <c r="D347" s="3">
        <v>1.0</v>
      </c>
      <c r="E347" s="1" t="s">
        <v>120</v>
      </c>
      <c r="F347" s="1" t="s">
        <v>19</v>
      </c>
      <c r="G347" s="3">
        <v>1.0</v>
      </c>
      <c r="H347" s="3">
        <v>0.0</v>
      </c>
      <c r="I347" s="1"/>
      <c r="J347" s="3">
        <v>836.0</v>
      </c>
    </row>
    <row r="348">
      <c r="A348" s="3">
        <v>11.0</v>
      </c>
      <c r="B348" s="3">
        <v>11.0</v>
      </c>
      <c r="C348" s="3">
        <v>20.0</v>
      </c>
      <c r="D348" s="3">
        <v>1.0</v>
      </c>
      <c r="E348" s="2" t="s">
        <v>121</v>
      </c>
      <c r="F348" s="1"/>
      <c r="G348" s="3">
        <v>1.0</v>
      </c>
      <c r="H348" s="3">
        <v>0.0</v>
      </c>
      <c r="I348" s="1"/>
      <c r="J348" s="3">
        <v>836.0</v>
      </c>
    </row>
    <row r="349">
      <c r="A349" s="3">
        <v>12.0</v>
      </c>
      <c r="B349" s="3">
        <v>12.0</v>
      </c>
      <c r="C349" s="3">
        <v>11.0</v>
      </c>
      <c r="D349" s="3">
        <v>1.0</v>
      </c>
      <c r="E349" s="1" t="s">
        <v>122</v>
      </c>
      <c r="F349" s="1"/>
      <c r="G349" s="3">
        <v>1.0</v>
      </c>
      <c r="H349" s="3">
        <v>0.0</v>
      </c>
      <c r="I349" s="1"/>
      <c r="J349" s="3">
        <v>836.0</v>
      </c>
    </row>
    <row r="350">
      <c r="A350" s="3">
        <v>13.0</v>
      </c>
      <c r="B350" s="3">
        <v>13.0</v>
      </c>
      <c r="C350" s="3">
        <v>18.0</v>
      </c>
      <c r="D350" s="3">
        <v>1.0</v>
      </c>
      <c r="E350" s="1" t="s">
        <v>123</v>
      </c>
      <c r="F350" s="3">
        <v>6.0</v>
      </c>
      <c r="G350" s="3">
        <v>1.0</v>
      </c>
      <c r="H350" s="3">
        <v>0.0</v>
      </c>
      <c r="I350" s="1"/>
      <c r="J350" s="3">
        <v>836.0</v>
      </c>
    </row>
    <row r="351">
      <c r="A351" s="3">
        <v>14.0</v>
      </c>
      <c r="B351" s="3">
        <v>14.0</v>
      </c>
      <c r="C351" s="3">
        <v>19.0</v>
      </c>
      <c r="D351" s="3">
        <v>1.0</v>
      </c>
      <c r="E351" s="1" t="s">
        <v>123</v>
      </c>
      <c r="F351" s="3">
        <v>7.0</v>
      </c>
      <c r="G351" s="3">
        <v>1.0</v>
      </c>
      <c r="H351" s="3">
        <v>0.0</v>
      </c>
      <c r="I351" s="1"/>
      <c r="J351" s="3">
        <v>836.0</v>
      </c>
    </row>
    <row r="352">
      <c r="A352" s="3">
        <v>15.0</v>
      </c>
      <c r="B352" s="3">
        <v>15.0</v>
      </c>
      <c r="C352" s="3">
        <v>23.0</v>
      </c>
      <c r="D352" s="3">
        <v>1.0</v>
      </c>
      <c r="E352" s="1" t="s">
        <v>123</v>
      </c>
      <c r="F352" s="3">
        <v>5.0</v>
      </c>
      <c r="G352" s="3">
        <v>1.0</v>
      </c>
      <c r="H352" s="3">
        <v>0.0</v>
      </c>
      <c r="I352" s="1"/>
      <c r="J352" s="3">
        <v>836.0</v>
      </c>
    </row>
    <row r="353">
      <c r="A353" s="3">
        <v>16.0</v>
      </c>
      <c r="B353" s="3">
        <v>16.0</v>
      </c>
      <c r="C353" s="3">
        <v>17.0</v>
      </c>
      <c r="D353" s="3">
        <v>1.0</v>
      </c>
      <c r="E353" s="1" t="s">
        <v>123</v>
      </c>
      <c r="F353" s="3">
        <v>4.0</v>
      </c>
      <c r="G353" s="3">
        <v>1.0</v>
      </c>
      <c r="H353" s="3">
        <v>0.0</v>
      </c>
      <c r="I353" s="1"/>
      <c r="J353" s="3">
        <v>836.0</v>
      </c>
    </row>
    <row r="354">
      <c r="A354" s="3">
        <v>17.0</v>
      </c>
      <c r="B354" s="3">
        <v>17.0</v>
      </c>
      <c r="C354" s="3">
        <v>16.0</v>
      </c>
      <c r="D354" s="3">
        <v>1.0</v>
      </c>
      <c r="E354" s="1" t="s">
        <v>123</v>
      </c>
      <c r="F354" s="3">
        <v>3.0</v>
      </c>
      <c r="G354" s="3">
        <v>1.0</v>
      </c>
      <c r="H354" s="3">
        <v>0.0</v>
      </c>
      <c r="I354" s="1"/>
      <c r="J354" s="3">
        <v>836.0</v>
      </c>
    </row>
    <row r="355">
      <c r="A355" s="3">
        <v>18.0</v>
      </c>
      <c r="B355" s="3">
        <v>18.0</v>
      </c>
      <c r="C355" s="3">
        <v>15.0</v>
      </c>
      <c r="D355" s="3">
        <v>1.0</v>
      </c>
      <c r="E355" s="1" t="s">
        <v>123</v>
      </c>
      <c r="F355" s="3">
        <v>2.1</v>
      </c>
      <c r="G355" s="3">
        <v>1.0</v>
      </c>
      <c r="H355" s="3">
        <v>0.0</v>
      </c>
      <c r="I355" s="1"/>
      <c r="J355" s="3">
        <v>836.0</v>
      </c>
    </row>
    <row r="356">
      <c r="A356" s="3">
        <v>19.0</v>
      </c>
      <c r="B356" s="3">
        <v>19.0</v>
      </c>
      <c r="C356" s="3">
        <v>14.0</v>
      </c>
      <c r="D356" s="3">
        <v>1.0</v>
      </c>
      <c r="E356" s="1" t="s">
        <v>123</v>
      </c>
      <c r="F356" s="3">
        <v>1.1</v>
      </c>
      <c r="G356" s="3">
        <v>1.0</v>
      </c>
      <c r="H356" s="3">
        <v>0.0</v>
      </c>
      <c r="I356" s="1"/>
      <c r="J356" s="3">
        <v>836.0</v>
      </c>
    </row>
    <row r="357">
      <c r="A357" s="3">
        <v>20.0</v>
      </c>
      <c r="B357" s="3">
        <v>20.0</v>
      </c>
      <c r="C357" s="3">
        <v>24.0</v>
      </c>
      <c r="D357" s="3">
        <v>1.0</v>
      </c>
      <c r="E357" s="2" t="s">
        <v>124</v>
      </c>
      <c r="F357" s="1"/>
      <c r="G357" s="3">
        <v>1.0</v>
      </c>
      <c r="H357" s="3">
        <v>0.0</v>
      </c>
      <c r="I357" s="1"/>
      <c r="J357" s="3">
        <v>836.0</v>
      </c>
    </row>
    <row r="358">
      <c r="A358" s="3">
        <v>21.0</v>
      </c>
      <c r="B358" s="3">
        <v>21.0</v>
      </c>
      <c r="C358" s="3">
        <v>25.0</v>
      </c>
      <c r="D358" s="3">
        <v>1.0</v>
      </c>
      <c r="E358" s="1" t="s">
        <v>125</v>
      </c>
      <c r="F358" s="1" t="s">
        <v>15</v>
      </c>
      <c r="G358" s="3">
        <v>1.0</v>
      </c>
      <c r="H358" s="3">
        <v>1.0</v>
      </c>
      <c r="I358" s="4">
        <v>40476.0</v>
      </c>
      <c r="J358" s="3">
        <v>836.0</v>
      </c>
    </row>
    <row r="359">
      <c r="A359" s="3">
        <v>22.0</v>
      </c>
      <c r="B359" s="3">
        <v>22.0</v>
      </c>
      <c r="C359" s="3">
        <v>813.0</v>
      </c>
      <c r="D359" s="3">
        <v>1.0</v>
      </c>
      <c r="E359" s="1" t="s">
        <v>125</v>
      </c>
      <c r="F359" s="1" t="s">
        <v>126</v>
      </c>
      <c r="G359" s="3">
        <v>1.0</v>
      </c>
      <c r="H359" s="3">
        <v>1.0</v>
      </c>
      <c r="I359" s="4">
        <v>40476.0</v>
      </c>
      <c r="J359" s="3">
        <v>836.0</v>
      </c>
    </row>
    <row r="360">
      <c r="A360" s="3">
        <v>23.0</v>
      </c>
      <c r="B360" s="3">
        <v>23.0</v>
      </c>
      <c r="C360" s="3">
        <v>26.0</v>
      </c>
      <c r="D360" s="3">
        <v>2.0</v>
      </c>
      <c r="E360" s="1" t="s">
        <v>125</v>
      </c>
      <c r="F360" s="1" t="s">
        <v>19</v>
      </c>
      <c r="G360" s="3">
        <v>1.0</v>
      </c>
      <c r="H360" s="3">
        <v>0.0</v>
      </c>
      <c r="I360" s="4">
        <v>40476.0</v>
      </c>
      <c r="J360" s="3">
        <v>836.0</v>
      </c>
    </row>
    <row r="361">
      <c r="A361" s="3">
        <v>24.0</v>
      </c>
      <c r="B361" s="3">
        <v>24.0</v>
      </c>
      <c r="C361" s="3">
        <v>27.0</v>
      </c>
      <c r="D361" s="3">
        <v>1.0</v>
      </c>
      <c r="E361" s="1" t="s">
        <v>125</v>
      </c>
      <c r="F361" s="1" t="s">
        <v>35</v>
      </c>
      <c r="G361" s="3">
        <v>1.0</v>
      </c>
      <c r="H361" s="3">
        <v>1.0</v>
      </c>
      <c r="I361" s="4">
        <v>40476.0</v>
      </c>
      <c r="J361" s="3">
        <v>836.0</v>
      </c>
    </row>
    <row r="362">
      <c r="A362" s="3">
        <v>25.0</v>
      </c>
      <c r="B362" s="3">
        <v>25.0</v>
      </c>
      <c r="C362" s="3">
        <v>101.0</v>
      </c>
      <c r="D362" s="3">
        <v>1.0</v>
      </c>
      <c r="E362" s="1" t="s">
        <v>44</v>
      </c>
      <c r="F362" s="1" t="s">
        <v>24</v>
      </c>
      <c r="G362" s="3">
        <v>1.0</v>
      </c>
      <c r="H362" s="3">
        <v>0.0</v>
      </c>
      <c r="I362" s="1"/>
      <c r="J362" s="3">
        <v>836.0</v>
      </c>
    </row>
    <row r="363">
      <c r="A363" s="3">
        <v>26.0</v>
      </c>
      <c r="B363" s="3">
        <v>26.0</v>
      </c>
      <c r="C363" s="3">
        <v>102.0</v>
      </c>
      <c r="D363" s="3">
        <v>1.0</v>
      </c>
      <c r="E363" s="1" t="s">
        <v>44</v>
      </c>
      <c r="F363" s="1" t="s">
        <v>25</v>
      </c>
      <c r="G363" s="3">
        <v>1.0</v>
      </c>
      <c r="H363" s="3">
        <v>0.0</v>
      </c>
      <c r="I363" s="1"/>
      <c r="J363" s="3">
        <v>836.0</v>
      </c>
    </row>
    <row r="364">
      <c r="A364" s="3">
        <v>27.0</v>
      </c>
      <c r="B364" s="3">
        <v>27.0</v>
      </c>
      <c r="C364" s="3">
        <v>103.0</v>
      </c>
      <c r="D364" s="3">
        <v>1.0</v>
      </c>
      <c r="E364" s="1" t="s">
        <v>44</v>
      </c>
      <c r="F364" s="3">
        <v>2.0</v>
      </c>
      <c r="G364" s="3">
        <v>1.0</v>
      </c>
      <c r="H364" s="3">
        <v>0.0</v>
      </c>
      <c r="I364" s="1"/>
      <c r="J364" s="3">
        <v>836.0</v>
      </c>
    </row>
    <row r="365">
      <c r="A365" s="3">
        <v>28.0</v>
      </c>
      <c r="B365" s="3">
        <v>28.0</v>
      </c>
      <c r="C365" s="3">
        <v>105.0</v>
      </c>
      <c r="D365" s="3">
        <v>1.0</v>
      </c>
      <c r="E365" s="1" t="s">
        <v>44</v>
      </c>
      <c r="F365" s="1" t="s">
        <v>127</v>
      </c>
      <c r="G365" s="3">
        <v>1.0</v>
      </c>
      <c r="H365" s="3">
        <v>0.0</v>
      </c>
      <c r="I365" s="1"/>
      <c r="J365" s="3">
        <v>836.0</v>
      </c>
    </row>
    <row r="366">
      <c r="A366" s="3">
        <v>29.0</v>
      </c>
      <c r="B366" s="3">
        <v>29.0</v>
      </c>
      <c r="C366" s="3">
        <v>106.0</v>
      </c>
      <c r="D366" s="3">
        <v>1.0</v>
      </c>
      <c r="E366" s="1" t="s">
        <v>44</v>
      </c>
      <c r="F366" s="1" t="s">
        <v>128</v>
      </c>
      <c r="G366" s="3">
        <v>1.0</v>
      </c>
      <c r="H366" s="3">
        <v>0.0</v>
      </c>
      <c r="I366" s="1"/>
      <c r="J366" s="3">
        <v>836.0</v>
      </c>
    </row>
    <row r="367">
      <c r="A367" s="3">
        <v>30.0</v>
      </c>
      <c r="B367" s="3">
        <v>30.0</v>
      </c>
      <c r="C367" s="3">
        <v>104.0</v>
      </c>
      <c r="D367" s="3">
        <v>1.0</v>
      </c>
      <c r="E367" s="1" t="s">
        <v>44</v>
      </c>
      <c r="F367" s="1" t="s">
        <v>11</v>
      </c>
      <c r="G367" s="3">
        <v>1.0</v>
      </c>
      <c r="H367" s="3">
        <v>0.0</v>
      </c>
      <c r="I367" s="1"/>
      <c r="J367" s="3">
        <v>836.0</v>
      </c>
    </row>
    <row r="368">
      <c r="A368" s="3">
        <v>31.0</v>
      </c>
      <c r="B368" s="3">
        <v>31.0</v>
      </c>
      <c r="C368" s="3">
        <v>107.0</v>
      </c>
      <c r="D368" s="3">
        <v>1.0</v>
      </c>
      <c r="E368" s="1" t="s">
        <v>44</v>
      </c>
      <c r="F368" s="1" t="s">
        <v>129</v>
      </c>
      <c r="G368" s="3">
        <v>1.0</v>
      </c>
      <c r="H368" s="3">
        <v>0.0</v>
      </c>
      <c r="I368" s="1"/>
      <c r="J368" s="3">
        <v>836.0</v>
      </c>
    </row>
    <row r="369">
      <c r="A369" s="3">
        <v>32.0</v>
      </c>
      <c r="B369" s="3">
        <v>32.0</v>
      </c>
      <c r="C369" s="3">
        <v>109.0</v>
      </c>
      <c r="D369" s="3">
        <v>1.0</v>
      </c>
      <c r="E369" s="1" t="s">
        <v>44</v>
      </c>
      <c r="F369" s="1" t="s">
        <v>130</v>
      </c>
      <c r="G369" s="3">
        <v>1.0</v>
      </c>
      <c r="H369" s="3">
        <v>0.0</v>
      </c>
      <c r="I369" s="1"/>
      <c r="J369" s="3">
        <v>836.0</v>
      </c>
    </row>
    <row r="370">
      <c r="A370" s="3">
        <v>33.0</v>
      </c>
      <c r="B370" s="3">
        <v>33.0</v>
      </c>
      <c r="C370" s="3">
        <v>108.0</v>
      </c>
      <c r="D370" s="3">
        <v>1.0</v>
      </c>
      <c r="E370" s="1" t="s">
        <v>44</v>
      </c>
      <c r="F370" s="1" t="s">
        <v>131</v>
      </c>
      <c r="G370" s="3">
        <v>1.0</v>
      </c>
      <c r="H370" s="3">
        <v>0.0</v>
      </c>
      <c r="I370" s="1"/>
      <c r="J370" s="3">
        <v>836.0</v>
      </c>
    </row>
    <row r="371">
      <c r="A371" s="3">
        <v>34.0</v>
      </c>
      <c r="B371" s="3">
        <v>34.0</v>
      </c>
      <c r="C371" s="3">
        <v>110.0</v>
      </c>
      <c r="D371" s="3">
        <v>1.0</v>
      </c>
      <c r="E371" s="1" t="s">
        <v>44</v>
      </c>
      <c r="F371" s="1" t="s">
        <v>132</v>
      </c>
      <c r="G371" s="3">
        <v>1.0</v>
      </c>
      <c r="H371" s="3">
        <v>0.0</v>
      </c>
      <c r="I371" s="1"/>
      <c r="J371" s="3">
        <v>836.0</v>
      </c>
    </row>
    <row r="372">
      <c r="A372" s="3">
        <v>35.0</v>
      </c>
      <c r="B372" s="3">
        <v>35.0</v>
      </c>
      <c r="C372" s="3">
        <v>117.0</v>
      </c>
      <c r="D372" s="3">
        <v>1.0</v>
      </c>
      <c r="E372" s="1" t="s">
        <v>44</v>
      </c>
      <c r="F372" s="1" t="s">
        <v>133</v>
      </c>
      <c r="G372" s="3">
        <v>1.0</v>
      </c>
      <c r="H372" s="3">
        <v>0.0</v>
      </c>
      <c r="I372" s="1"/>
      <c r="J372" s="3">
        <v>836.0</v>
      </c>
    </row>
    <row r="373">
      <c r="A373" s="3">
        <v>36.0</v>
      </c>
      <c r="B373" s="3">
        <v>36.0</v>
      </c>
      <c r="C373" s="3">
        <v>116.0</v>
      </c>
      <c r="D373" s="3">
        <v>1.0</v>
      </c>
      <c r="E373" s="1" t="s">
        <v>44</v>
      </c>
      <c r="F373" s="1" t="s">
        <v>134</v>
      </c>
      <c r="G373" s="3">
        <v>1.0</v>
      </c>
      <c r="H373" s="3">
        <v>0.0</v>
      </c>
      <c r="I373" s="1"/>
      <c r="J373" s="3">
        <v>836.0</v>
      </c>
    </row>
    <row r="374">
      <c r="A374" s="3">
        <v>37.0</v>
      </c>
      <c r="B374" s="3">
        <v>37.0</v>
      </c>
      <c r="C374" s="3">
        <v>113.0</v>
      </c>
      <c r="D374" s="3">
        <v>1.0</v>
      </c>
      <c r="E374" s="1" t="s">
        <v>44</v>
      </c>
      <c r="F374" s="1" t="s">
        <v>135</v>
      </c>
      <c r="G374" s="3">
        <v>1.0</v>
      </c>
      <c r="H374" s="3">
        <v>0.0</v>
      </c>
      <c r="I374" s="1"/>
      <c r="J374" s="3">
        <v>836.0</v>
      </c>
    </row>
    <row r="375">
      <c r="A375" s="3">
        <v>38.0</v>
      </c>
      <c r="B375" s="3">
        <v>38.0</v>
      </c>
      <c r="C375" s="3">
        <v>114.0</v>
      </c>
      <c r="D375" s="3">
        <v>1.0</v>
      </c>
      <c r="E375" s="1" t="s">
        <v>44</v>
      </c>
      <c r="F375" s="1" t="s">
        <v>136</v>
      </c>
      <c r="G375" s="3">
        <v>1.0</v>
      </c>
      <c r="H375" s="3">
        <v>0.0</v>
      </c>
      <c r="I375" s="1"/>
      <c r="J375" s="3">
        <v>836.0</v>
      </c>
    </row>
    <row r="376">
      <c r="A376" s="3">
        <v>39.0</v>
      </c>
      <c r="B376" s="3">
        <v>39.0</v>
      </c>
      <c r="C376" s="3">
        <v>115.0</v>
      </c>
      <c r="D376" s="3">
        <v>1.0</v>
      </c>
      <c r="E376" s="1" t="s">
        <v>44</v>
      </c>
      <c r="F376" s="1" t="s">
        <v>137</v>
      </c>
      <c r="G376" s="3">
        <v>1.0</v>
      </c>
      <c r="H376" s="3">
        <v>0.0</v>
      </c>
      <c r="I376" s="1"/>
      <c r="J376" s="3">
        <v>836.0</v>
      </c>
    </row>
    <row r="377">
      <c r="A377" s="3">
        <v>40.0</v>
      </c>
      <c r="B377" s="3">
        <v>40.0</v>
      </c>
      <c r="C377" s="3">
        <v>118.0</v>
      </c>
      <c r="D377" s="3">
        <v>1.0</v>
      </c>
      <c r="E377" s="1" t="s">
        <v>44</v>
      </c>
      <c r="F377" s="3">
        <v>7.0</v>
      </c>
      <c r="G377" s="3">
        <v>1.0</v>
      </c>
      <c r="H377" s="3">
        <v>0.0</v>
      </c>
      <c r="I377" s="1"/>
      <c r="J377" s="3">
        <v>836.0</v>
      </c>
    </row>
    <row r="378">
      <c r="A378" s="3">
        <v>41.0</v>
      </c>
      <c r="B378" s="3">
        <v>41.0</v>
      </c>
      <c r="C378" s="3">
        <v>119.0</v>
      </c>
      <c r="D378" s="3">
        <v>1.0</v>
      </c>
      <c r="E378" s="1" t="s">
        <v>138</v>
      </c>
      <c r="F378" s="3">
        <v>1.0</v>
      </c>
      <c r="G378" s="3">
        <v>1.0</v>
      </c>
      <c r="H378" s="3">
        <v>0.0</v>
      </c>
      <c r="I378" s="4">
        <v>40491.0</v>
      </c>
      <c r="J378" s="3">
        <v>836.0</v>
      </c>
    </row>
    <row r="379">
      <c r="A379" s="3">
        <v>42.0</v>
      </c>
      <c r="B379" s="3">
        <v>42.0</v>
      </c>
      <c r="C379" s="3">
        <v>28.0</v>
      </c>
      <c r="D379" s="3">
        <v>1.0</v>
      </c>
      <c r="E379" s="2" t="s">
        <v>139</v>
      </c>
      <c r="F379" s="1"/>
      <c r="G379" s="3">
        <v>1.0</v>
      </c>
      <c r="H379" s="3">
        <v>0.0</v>
      </c>
      <c r="I379" s="1"/>
      <c r="J379" s="3">
        <v>836.0</v>
      </c>
    </row>
    <row r="380">
      <c r="A380" s="3">
        <v>43.0</v>
      </c>
      <c r="B380" s="3">
        <v>43.0</v>
      </c>
      <c r="C380" s="3">
        <v>120.0</v>
      </c>
      <c r="D380" s="3">
        <v>1.0</v>
      </c>
      <c r="E380" s="1" t="s">
        <v>138</v>
      </c>
      <c r="F380" s="3">
        <v>2.0</v>
      </c>
      <c r="G380" s="3">
        <v>1.0</v>
      </c>
      <c r="H380" s="3">
        <v>0.0</v>
      </c>
      <c r="I380" s="1"/>
      <c r="J380" s="3">
        <v>836.0</v>
      </c>
    </row>
    <row r="381">
      <c r="A381" s="3">
        <v>44.0</v>
      </c>
      <c r="B381" s="3">
        <v>44.0</v>
      </c>
      <c r="C381" s="3">
        <v>121.0</v>
      </c>
      <c r="D381" s="3">
        <v>1.0</v>
      </c>
      <c r="E381" s="1" t="s">
        <v>138</v>
      </c>
      <c r="F381" s="3">
        <v>3.0</v>
      </c>
      <c r="G381" s="3">
        <v>1.0</v>
      </c>
      <c r="H381" s="3">
        <v>0.0</v>
      </c>
      <c r="I381" s="1"/>
      <c r="J381" s="3">
        <v>836.0</v>
      </c>
    </row>
    <row r="382">
      <c r="A382" s="3">
        <v>45.0</v>
      </c>
      <c r="B382" s="3">
        <v>45.0</v>
      </c>
      <c r="C382" s="3">
        <v>40.0</v>
      </c>
      <c r="D382" s="3">
        <v>1.0</v>
      </c>
      <c r="E382" s="1" t="s">
        <v>140</v>
      </c>
      <c r="F382" s="1" t="s">
        <v>19</v>
      </c>
      <c r="G382" s="3">
        <v>1.0</v>
      </c>
      <c r="H382" s="3">
        <v>0.0</v>
      </c>
      <c r="I382" s="1"/>
      <c r="J382" s="3">
        <v>836.0</v>
      </c>
    </row>
    <row r="383">
      <c r="A383" s="3">
        <v>46.0</v>
      </c>
      <c r="B383" s="3">
        <v>46.0</v>
      </c>
      <c r="C383" s="3">
        <v>39.0</v>
      </c>
      <c r="D383" s="3">
        <v>1.0</v>
      </c>
      <c r="E383" s="1" t="s">
        <v>140</v>
      </c>
      <c r="F383" s="1" t="s">
        <v>141</v>
      </c>
      <c r="G383" s="3">
        <v>1.0</v>
      </c>
      <c r="H383" s="3">
        <v>0.0</v>
      </c>
      <c r="I383" s="1"/>
      <c r="J383" s="3">
        <v>836.0</v>
      </c>
    </row>
    <row r="384">
      <c r="A384" s="3">
        <v>47.0</v>
      </c>
      <c r="B384" s="3">
        <v>47.0</v>
      </c>
      <c r="C384" s="3">
        <v>824.0</v>
      </c>
      <c r="D384" s="3">
        <v>1.0</v>
      </c>
      <c r="E384" s="1" t="s">
        <v>142</v>
      </c>
      <c r="F384" s="1" t="s">
        <v>143</v>
      </c>
      <c r="G384" s="3">
        <v>1.0</v>
      </c>
      <c r="H384" s="3">
        <v>0.0</v>
      </c>
      <c r="I384" s="1"/>
      <c r="J384" s="3">
        <v>836.0</v>
      </c>
    </row>
    <row r="385">
      <c r="A385" s="3">
        <v>48.0</v>
      </c>
      <c r="B385" s="3">
        <v>48.0</v>
      </c>
      <c r="C385" s="3">
        <v>30.0</v>
      </c>
      <c r="D385" s="3">
        <v>1.0</v>
      </c>
      <c r="E385" s="1" t="s">
        <v>142</v>
      </c>
      <c r="F385" s="1" t="s">
        <v>141</v>
      </c>
      <c r="G385" s="3">
        <v>1.0</v>
      </c>
      <c r="H385" s="3">
        <v>0.0</v>
      </c>
      <c r="I385" s="1"/>
      <c r="J385" s="3">
        <v>836.0</v>
      </c>
    </row>
    <row r="386">
      <c r="A386" s="3">
        <v>49.0</v>
      </c>
      <c r="B386" s="3">
        <v>49.0</v>
      </c>
      <c r="C386" s="3">
        <v>31.0</v>
      </c>
      <c r="D386" s="3">
        <v>1.0</v>
      </c>
      <c r="E386" s="1" t="s">
        <v>142</v>
      </c>
      <c r="F386" s="1" t="s">
        <v>144</v>
      </c>
      <c r="G386" s="3">
        <v>1.0</v>
      </c>
      <c r="H386" s="3">
        <v>0.0</v>
      </c>
      <c r="I386" s="1"/>
      <c r="J386" s="3">
        <v>836.0</v>
      </c>
    </row>
    <row r="387">
      <c r="A387" s="3">
        <v>50.0</v>
      </c>
      <c r="B387" s="3">
        <v>50.0</v>
      </c>
      <c r="C387" s="3">
        <v>816.0</v>
      </c>
      <c r="D387" s="3">
        <v>1.0</v>
      </c>
      <c r="E387" s="1" t="s">
        <v>142</v>
      </c>
      <c r="F387" s="1" t="s">
        <v>145</v>
      </c>
      <c r="G387" s="3">
        <v>1.0</v>
      </c>
      <c r="H387" s="3">
        <v>0.0</v>
      </c>
      <c r="I387" s="1"/>
      <c r="J387" s="3">
        <v>836.0</v>
      </c>
    </row>
    <row r="388">
      <c r="A388" s="3">
        <v>51.0</v>
      </c>
      <c r="B388" s="3">
        <v>51.0</v>
      </c>
      <c r="C388" s="3">
        <v>36.0</v>
      </c>
      <c r="D388" s="3">
        <v>1.0</v>
      </c>
      <c r="E388" s="1" t="s">
        <v>146</v>
      </c>
      <c r="F388" s="1" t="s">
        <v>144</v>
      </c>
      <c r="G388" s="3">
        <v>1.0</v>
      </c>
      <c r="H388" s="3">
        <v>0.0</v>
      </c>
      <c r="I388" s="1"/>
      <c r="J388" s="3">
        <v>836.0</v>
      </c>
    </row>
    <row r="389">
      <c r="A389" s="3">
        <v>52.0</v>
      </c>
      <c r="B389" s="3">
        <v>52.0</v>
      </c>
      <c r="C389" s="3">
        <v>34.0</v>
      </c>
      <c r="D389" s="3">
        <v>1.0</v>
      </c>
      <c r="E389" s="1" t="s">
        <v>146</v>
      </c>
      <c r="F389" s="1" t="s">
        <v>147</v>
      </c>
      <c r="G389" s="3">
        <v>1.0</v>
      </c>
      <c r="H389" s="3">
        <v>0.0</v>
      </c>
      <c r="I389" s="1"/>
      <c r="J389" s="3">
        <v>836.0</v>
      </c>
    </row>
    <row r="390">
      <c r="A390" s="3">
        <v>53.0</v>
      </c>
      <c r="B390" s="3">
        <v>53.0</v>
      </c>
      <c r="C390" s="3">
        <v>35.0</v>
      </c>
      <c r="D390" s="3">
        <v>1.0</v>
      </c>
      <c r="E390" s="1" t="s">
        <v>146</v>
      </c>
      <c r="F390" s="1" t="s">
        <v>141</v>
      </c>
      <c r="G390" s="3">
        <v>1.0</v>
      </c>
      <c r="H390" s="3">
        <v>0.0</v>
      </c>
      <c r="I390" s="1"/>
      <c r="J390" s="3">
        <v>836.0</v>
      </c>
    </row>
    <row r="391">
      <c r="A391" s="3">
        <v>54.0</v>
      </c>
      <c r="B391" s="3">
        <v>54.0</v>
      </c>
      <c r="C391" s="3">
        <v>81.0</v>
      </c>
      <c r="D391" s="3">
        <v>1.0</v>
      </c>
      <c r="E391" s="1" t="s">
        <v>148</v>
      </c>
      <c r="F391" s="1" t="s">
        <v>132</v>
      </c>
      <c r="G391" s="3">
        <v>1.0</v>
      </c>
      <c r="H391" s="3">
        <v>0.0</v>
      </c>
      <c r="I391" s="1"/>
      <c r="J391" s="3">
        <v>836.0</v>
      </c>
    </row>
    <row r="392">
      <c r="A392" s="3">
        <v>55.0</v>
      </c>
      <c r="B392" s="3">
        <v>55.0</v>
      </c>
      <c r="C392" s="3">
        <v>82.0</v>
      </c>
      <c r="D392" s="3">
        <v>1.0</v>
      </c>
      <c r="E392" s="1" t="s">
        <v>148</v>
      </c>
      <c r="F392" s="1" t="s">
        <v>149</v>
      </c>
      <c r="G392" s="3">
        <v>1.0</v>
      </c>
      <c r="H392" s="3">
        <v>0.0</v>
      </c>
      <c r="I392" s="1"/>
      <c r="J392" s="3">
        <v>836.0</v>
      </c>
    </row>
    <row r="393">
      <c r="A393" s="3">
        <v>56.0</v>
      </c>
      <c r="B393" s="3">
        <v>56.0</v>
      </c>
      <c r="C393" s="3">
        <v>83.0</v>
      </c>
      <c r="D393" s="3">
        <v>1.0</v>
      </c>
      <c r="E393" s="1" t="s">
        <v>148</v>
      </c>
      <c r="F393" s="1" t="s">
        <v>150</v>
      </c>
      <c r="G393" s="3">
        <v>1.0</v>
      </c>
      <c r="H393" s="3">
        <v>0.0</v>
      </c>
      <c r="I393" s="1"/>
      <c r="J393" s="3">
        <v>836.0</v>
      </c>
    </row>
    <row r="394">
      <c r="A394" s="3">
        <v>57.0</v>
      </c>
      <c r="B394" s="3">
        <v>57.0</v>
      </c>
      <c r="C394" s="3">
        <v>88.0</v>
      </c>
      <c r="D394" s="3">
        <v>1.0</v>
      </c>
      <c r="E394" s="1" t="s">
        <v>148</v>
      </c>
      <c r="F394" s="3">
        <v>9.0</v>
      </c>
      <c r="G394" s="3">
        <v>1.0</v>
      </c>
      <c r="H394" s="3">
        <v>0.0</v>
      </c>
      <c r="I394" s="1"/>
      <c r="J394" s="3">
        <v>836.0</v>
      </c>
    </row>
    <row r="395">
      <c r="A395" s="3">
        <v>58.0</v>
      </c>
      <c r="B395" s="3">
        <v>58.0</v>
      </c>
      <c r="C395" s="3">
        <v>37.0</v>
      </c>
      <c r="D395" s="3">
        <v>1.0</v>
      </c>
      <c r="E395" s="2" t="s">
        <v>151</v>
      </c>
      <c r="F395" s="1"/>
      <c r="G395" s="3">
        <v>1.0</v>
      </c>
      <c r="H395" s="3">
        <v>0.0</v>
      </c>
      <c r="I395" s="1"/>
      <c r="J395" s="3">
        <v>836.0</v>
      </c>
    </row>
    <row r="396">
      <c r="A396" s="3">
        <v>59.0</v>
      </c>
      <c r="B396" s="3">
        <v>59.0</v>
      </c>
      <c r="C396" s="3">
        <v>91.0</v>
      </c>
      <c r="D396" s="3">
        <v>1.0</v>
      </c>
      <c r="E396" s="1" t="s">
        <v>152</v>
      </c>
      <c r="F396" s="3">
        <v>3.0</v>
      </c>
      <c r="G396" s="3">
        <v>1.0</v>
      </c>
      <c r="H396" s="3">
        <v>0.0</v>
      </c>
      <c r="I396" s="1"/>
      <c r="J396" s="3">
        <v>836.0</v>
      </c>
    </row>
    <row r="397">
      <c r="A397" s="3">
        <v>60.0</v>
      </c>
      <c r="B397" s="3">
        <v>60.0</v>
      </c>
      <c r="C397" s="3">
        <v>79.0</v>
      </c>
      <c r="D397" s="3">
        <v>1.0</v>
      </c>
      <c r="E397" s="1" t="s">
        <v>148</v>
      </c>
      <c r="F397" s="3">
        <v>3.0</v>
      </c>
      <c r="G397" s="3">
        <v>1.0</v>
      </c>
      <c r="H397" s="3">
        <v>0.0</v>
      </c>
      <c r="I397" s="1"/>
      <c r="J397" s="3">
        <v>836.0</v>
      </c>
    </row>
    <row r="398">
      <c r="A398" s="3">
        <v>61.0</v>
      </c>
      <c r="B398" s="3">
        <v>61.0</v>
      </c>
      <c r="C398" s="3">
        <v>78.0</v>
      </c>
      <c r="D398" s="3">
        <v>1.0</v>
      </c>
      <c r="E398" s="1" t="s">
        <v>148</v>
      </c>
      <c r="F398" s="1" t="s">
        <v>153</v>
      </c>
      <c r="G398" s="3">
        <v>1.0</v>
      </c>
      <c r="H398" s="3">
        <v>0.0</v>
      </c>
      <c r="I398" s="4">
        <v>40497.0</v>
      </c>
      <c r="J398" s="3">
        <v>836.0</v>
      </c>
    </row>
    <row r="399">
      <c r="A399" s="3">
        <v>65.0</v>
      </c>
      <c r="B399" s="3">
        <v>65.0</v>
      </c>
      <c r="C399" s="3">
        <v>70.0</v>
      </c>
      <c r="D399" s="3">
        <v>1.0</v>
      </c>
      <c r="E399" s="1" t="s">
        <v>148</v>
      </c>
      <c r="F399" s="1" t="s">
        <v>24</v>
      </c>
      <c r="G399" s="3">
        <v>0.0</v>
      </c>
      <c r="H399" s="3">
        <v>0.0</v>
      </c>
      <c r="I399" s="1"/>
      <c r="J399" s="3">
        <v>836.0</v>
      </c>
    </row>
    <row r="400">
      <c r="A400" s="3">
        <v>66.0</v>
      </c>
      <c r="B400" s="3">
        <v>66.0</v>
      </c>
      <c r="C400" s="3">
        <v>72.0</v>
      </c>
      <c r="D400" s="3">
        <v>1.0</v>
      </c>
      <c r="E400" s="1" t="s">
        <v>148</v>
      </c>
      <c r="F400" s="1" t="s">
        <v>26</v>
      </c>
      <c r="G400" s="3">
        <v>1.0</v>
      </c>
      <c r="H400" s="3">
        <v>0.0</v>
      </c>
      <c r="I400" s="1"/>
      <c r="J400" s="3">
        <v>836.0</v>
      </c>
    </row>
    <row r="401">
      <c r="A401" s="3">
        <v>67.0</v>
      </c>
      <c r="B401" s="3">
        <v>67.0</v>
      </c>
      <c r="C401" s="3">
        <v>73.0</v>
      </c>
      <c r="D401" s="3">
        <v>1.0</v>
      </c>
      <c r="E401" s="1" t="s">
        <v>148</v>
      </c>
      <c r="F401" s="1" t="s">
        <v>27</v>
      </c>
      <c r="G401" s="3">
        <v>1.0</v>
      </c>
      <c r="H401" s="3">
        <v>0.0</v>
      </c>
      <c r="I401" s="1"/>
      <c r="J401" s="3">
        <v>836.0</v>
      </c>
    </row>
    <row r="402">
      <c r="A402" s="3">
        <v>68.0</v>
      </c>
      <c r="B402" s="3">
        <v>68.0</v>
      </c>
      <c r="C402" s="3">
        <v>71.0</v>
      </c>
      <c r="D402" s="3">
        <v>1.0</v>
      </c>
      <c r="E402" s="1" t="s">
        <v>148</v>
      </c>
      <c r="F402" s="1" t="s">
        <v>25</v>
      </c>
      <c r="G402" s="3">
        <v>1.0</v>
      </c>
      <c r="H402" s="3">
        <v>0.0</v>
      </c>
      <c r="I402" s="1"/>
      <c r="J402" s="3">
        <v>836.0</v>
      </c>
    </row>
    <row r="403">
      <c r="A403" s="3">
        <v>69.0</v>
      </c>
      <c r="B403" s="3">
        <v>69.0</v>
      </c>
      <c r="C403" s="3">
        <v>74.0</v>
      </c>
      <c r="D403" s="3">
        <v>1.0</v>
      </c>
      <c r="E403" s="1" t="s">
        <v>148</v>
      </c>
      <c r="F403" s="1" t="s">
        <v>28</v>
      </c>
      <c r="G403" s="3">
        <v>1.0</v>
      </c>
      <c r="H403" s="3">
        <v>0.0</v>
      </c>
      <c r="I403" s="1"/>
      <c r="J403" s="3">
        <v>836.0</v>
      </c>
    </row>
    <row r="404">
      <c r="A404" s="3">
        <v>70.0</v>
      </c>
      <c r="B404" s="3">
        <v>70.0</v>
      </c>
      <c r="C404" s="3">
        <v>90.0</v>
      </c>
      <c r="D404" s="3">
        <v>1.0</v>
      </c>
      <c r="E404" s="1" t="s">
        <v>152</v>
      </c>
      <c r="F404" s="3">
        <v>2.0</v>
      </c>
      <c r="G404" s="3">
        <v>1.0</v>
      </c>
      <c r="H404" s="3">
        <v>0.0</v>
      </c>
      <c r="I404" s="1"/>
      <c r="J404" s="3">
        <v>836.0</v>
      </c>
    </row>
    <row r="405">
      <c r="A405" s="3">
        <v>71.0</v>
      </c>
      <c r="B405" s="3">
        <v>71.0</v>
      </c>
      <c r="C405" s="3">
        <v>89.0</v>
      </c>
      <c r="D405" s="3">
        <v>1.0</v>
      </c>
      <c r="E405" s="1" t="s">
        <v>152</v>
      </c>
      <c r="F405" s="3">
        <v>1.0</v>
      </c>
      <c r="G405" s="3">
        <v>1.0</v>
      </c>
      <c r="H405" s="3">
        <v>0.0</v>
      </c>
      <c r="I405" s="1"/>
      <c r="J405" s="3">
        <v>836.0</v>
      </c>
    </row>
    <row r="406">
      <c r="A406" s="3">
        <v>72.0</v>
      </c>
      <c r="B406" s="3">
        <v>72.0</v>
      </c>
      <c r="C406" s="3">
        <v>93.0</v>
      </c>
      <c r="D406" s="3">
        <v>1.0</v>
      </c>
      <c r="E406" s="1" t="s">
        <v>154</v>
      </c>
      <c r="F406" s="3">
        <v>1.0</v>
      </c>
      <c r="G406" s="3">
        <v>1.0</v>
      </c>
      <c r="H406" s="3">
        <v>0.0</v>
      </c>
      <c r="I406" s="1"/>
      <c r="J406" s="3">
        <v>836.0</v>
      </c>
    </row>
    <row r="407">
      <c r="A407" s="3">
        <v>73.0</v>
      </c>
      <c r="B407" s="3">
        <v>73.0</v>
      </c>
      <c r="C407" s="3">
        <v>75.0</v>
      </c>
      <c r="D407" s="3">
        <v>1.0</v>
      </c>
      <c r="E407" s="1" t="s">
        <v>148</v>
      </c>
      <c r="F407" s="1" t="s">
        <v>155</v>
      </c>
      <c r="G407" s="3">
        <v>1.0</v>
      </c>
      <c r="H407" s="3">
        <v>0.0</v>
      </c>
      <c r="I407" s="1"/>
      <c r="J407" s="3">
        <v>836.0</v>
      </c>
    </row>
    <row r="408">
      <c r="A408" s="3">
        <v>74.0</v>
      </c>
      <c r="B408" s="3">
        <v>74.0</v>
      </c>
      <c r="C408" s="3">
        <v>237.0</v>
      </c>
      <c r="D408" s="3">
        <v>1.0</v>
      </c>
      <c r="E408" s="1" t="s">
        <v>156</v>
      </c>
      <c r="F408" s="3">
        <v>2.0</v>
      </c>
      <c r="G408" s="3">
        <v>1.0</v>
      </c>
      <c r="H408" s="3">
        <v>0.0</v>
      </c>
      <c r="I408" s="1"/>
      <c r="J408" s="3">
        <v>836.0</v>
      </c>
    </row>
    <row r="409">
      <c r="A409" s="3">
        <v>75.0</v>
      </c>
      <c r="B409" s="3">
        <v>75.0</v>
      </c>
      <c r="C409" s="3">
        <v>55.0</v>
      </c>
      <c r="D409" s="3">
        <v>1.0</v>
      </c>
      <c r="E409" s="1" t="s">
        <v>157</v>
      </c>
      <c r="F409" s="3">
        <v>4.0</v>
      </c>
      <c r="G409" s="3">
        <v>1.0</v>
      </c>
      <c r="H409" s="3">
        <v>0.0</v>
      </c>
      <c r="I409" s="1"/>
      <c r="J409" s="3">
        <v>836.0</v>
      </c>
    </row>
    <row r="410">
      <c r="A410" s="3">
        <v>76.0</v>
      </c>
      <c r="B410" s="3">
        <v>76.0</v>
      </c>
      <c r="C410" s="3">
        <v>56.0</v>
      </c>
      <c r="D410" s="3">
        <v>1.0</v>
      </c>
      <c r="E410" s="1" t="s">
        <v>157</v>
      </c>
      <c r="F410" s="3">
        <v>5.0</v>
      </c>
      <c r="G410" s="3">
        <v>1.0</v>
      </c>
      <c r="H410" s="3">
        <v>0.0</v>
      </c>
      <c r="I410" s="1"/>
      <c r="J410" s="3">
        <v>836.0</v>
      </c>
    </row>
    <row r="411">
      <c r="A411" s="3">
        <v>77.0</v>
      </c>
      <c r="B411" s="3">
        <v>77.0</v>
      </c>
      <c r="C411" s="3">
        <v>1043.0</v>
      </c>
      <c r="D411" s="3">
        <v>1.0</v>
      </c>
      <c r="E411" s="1" t="s">
        <v>156</v>
      </c>
      <c r="F411" s="3">
        <v>4.0</v>
      </c>
      <c r="G411" s="3">
        <v>1.0</v>
      </c>
      <c r="H411" s="3">
        <v>0.0</v>
      </c>
      <c r="I411" s="1"/>
      <c r="J411" s="3">
        <v>836.0</v>
      </c>
    </row>
    <row r="412">
      <c r="A412" s="3">
        <v>78.0</v>
      </c>
      <c r="B412" s="3">
        <v>78.0</v>
      </c>
      <c r="C412" s="3">
        <v>65.0</v>
      </c>
      <c r="D412" s="3">
        <v>1.0</v>
      </c>
      <c r="E412" s="1" t="s">
        <v>47</v>
      </c>
      <c r="F412" s="3">
        <v>5.0</v>
      </c>
      <c r="G412" s="3">
        <v>1.0</v>
      </c>
      <c r="H412" s="3">
        <v>0.0</v>
      </c>
      <c r="I412" s="1"/>
      <c r="J412" s="3">
        <v>836.0</v>
      </c>
    </row>
    <row r="413">
      <c r="A413" s="3">
        <v>79.0</v>
      </c>
      <c r="B413" s="3">
        <v>79.0</v>
      </c>
      <c r="C413" s="3">
        <v>63.0</v>
      </c>
      <c r="D413" s="3">
        <v>1.0</v>
      </c>
      <c r="E413" s="1" t="s">
        <v>47</v>
      </c>
      <c r="F413" s="3">
        <v>3.0</v>
      </c>
      <c r="G413" s="3">
        <v>1.0</v>
      </c>
      <c r="H413" s="3">
        <v>0.0</v>
      </c>
      <c r="I413" s="1"/>
      <c r="J413" s="3">
        <v>836.0</v>
      </c>
    </row>
    <row r="414">
      <c r="A414" s="3">
        <v>80.0</v>
      </c>
      <c r="B414" s="3">
        <v>80.0</v>
      </c>
      <c r="C414" s="3">
        <v>64.0</v>
      </c>
      <c r="D414" s="3">
        <v>1.0</v>
      </c>
      <c r="E414" s="1" t="s">
        <v>47</v>
      </c>
      <c r="F414" s="3">
        <v>4.0</v>
      </c>
      <c r="G414" s="3">
        <v>1.0</v>
      </c>
      <c r="H414" s="3">
        <v>0.0</v>
      </c>
      <c r="I414" s="1"/>
      <c r="J414" s="3">
        <v>836.0</v>
      </c>
    </row>
    <row r="415">
      <c r="A415" s="3">
        <v>82.0</v>
      </c>
      <c r="B415" s="3">
        <v>82.0</v>
      </c>
      <c r="C415" s="3">
        <v>62.0</v>
      </c>
      <c r="D415" s="3">
        <v>1.0</v>
      </c>
      <c r="E415" s="1" t="s">
        <v>47</v>
      </c>
      <c r="F415" s="3">
        <v>2.0</v>
      </c>
      <c r="G415" s="3">
        <v>0.0</v>
      </c>
      <c r="H415" s="3">
        <v>0.0</v>
      </c>
      <c r="I415" s="4">
        <v>40609.0</v>
      </c>
      <c r="J415" s="3">
        <v>836.0</v>
      </c>
    </row>
    <row r="416">
      <c r="A416" s="3">
        <v>83.0</v>
      </c>
      <c r="B416" s="3">
        <v>83.0</v>
      </c>
      <c r="C416" s="3">
        <v>59.0</v>
      </c>
      <c r="D416" s="3">
        <v>1.0</v>
      </c>
      <c r="E416" s="1" t="s">
        <v>47</v>
      </c>
      <c r="F416" s="1" t="s">
        <v>24</v>
      </c>
      <c r="G416" s="3">
        <v>1.0</v>
      </c>
      <c r="H416" s="3">
        <v>0.0</v>
      </c>
      <c r="I416" s="1"/>
      <c r="J416" s="3">
        <v>836.0</v>
      </c>
    </row>
    <row r="417">
      <c r="A417" s="3">
        <v>84.0</v>
      </c>
      <c r="B417" s="3">
        <v>84.0</v>
      </c>
      <c r="C417" s="3">
        <v>61.0</v>
      </c>
      <c r="D417" s="3">
        <v>1.0</v>
      </c>
      <c r="E417" s="1" t="s">
        <v>47</v>
      </c>
      <c r="F417" s="1" t="s">
        <v>26</v>
      </c>
      <c r="G417" s="3">
        <v>1.0</v>
      </c>
      <c r="H417" s="3">
        <v>0.0</v>
      </c>
      <c r="I417" s="1"/>
      <c r="J417" s="3">
        <v>836.0</v>
      </c>
    </row>
    <row r="418">
      <c r="A418" s="3">
        <v>85.0</v>
      </c>
      <c r="B418" s="3">
        <v>85.0</v>
      </c>
      <c r="C418" s="3">
        <v>60.0</v>
      </c>
      <c r="D418" s="3">
        <v>1.0</v>
      </c>
      <c r="E418" s="1" t="s">
        <v>47</v>
      </c>
      <c r="F418" s="1" t="s">
        <v>25</v>
      </c>
      <c r="G418" s="3">
        <v>1.0</v>
      </c>
      <c r="H418" s="3">
        <v>0.0</v>
      </c>
      <c r="I418" s="1"/>
      <c r="J418" s="3">
        <v>836.0</v>
      </c>
    </row>
    <row r="419">
      <c r="A419" s="3">
        <v>86.0</v>
      </c>
      <c r="B419" s="3">
        <v>86.0</v>
      </c>
      <c r="C419" s="3">
        <v>1042.0</v>
      </c>
      <c r="D419" s="3">
        <v>1.0</v>
      </c>
      <c r="E419" s="1" t="s">
        <v>156</v>
      </c>
      <c r="F419" s="3">
        <v>3.0</v>
      </c>
      <c r="G419" s="3">
        <v>1.0</v>
      </c>
      <c r="H419" s="3">
        <v>0.0</v>
      </c>
      <c r="I419" s="1"/>
      <c r="J419" s="3">
        <v>836.0</v>
      </c>
    </row>
    <row r="420">
      <c r="A420" s="3">
        <v>87.0</v>
      </c>
      <c r="B420" s="3">
        <v>87.0</v>
      </c>
      <c r="C420" s="3">
        <v>97.0</v>
      </c>
      <c r="D420" s="3">
        <v>1.0</v>
      </c>
      <c r="E420" s="1" t="s">
        <v>158</v>
      </c>
      <c r="F420" s="1"/>
      <c r="G420" s="3">
        <v>1.0</v>
      </c>
      <c r="H420" s="3">
        <v>0.0</v>
      </c>
      <c r="I420" s="1"/>
      <c r="J420" s="3">
        <v>836.0</v>
      </c>
    </row>
    <row r="421">
      <c r="A421" s="3">
        <v>88.0</v>
      </c>
      <c r="B421" s="3">
        <v>88.0</v>
      </c>
      <c r="C421" s="3">
        <v>58.0</v>
      </c>
      <c r="D421" s="3">
        <v>1.0</v>
      </c>
      <c r="E421" s="1" t="s">
        <v>157</v>
      </c>
      <c r="F421" s="3">
        <v>7.0</v>
      </c>
      <c r="G421" s="3">
        <v>1.0</v>
      </c>
      <c r="H421" s="3">
        <v>0.0</v>
      </c>
      <c r="I421" s="1"/>
      <c r="J421" s="3">
        <v>836.0</v>
      </c>
    </row>
    <row r="422">
      <c r="A422" s="3">
        <v>89.0</v>
      </c>
      <c r="B422" s="3">
        <v>89.0</v>
      </c>
      <c r="C422" s="3">
        <v>54.0</v>
      </c>
      <c r="D422" s="3">
        <v>1.0</v>
      </c>
      <c r="E422" s="1" t="s">
        <v>157</v>
      </c>
      <c r="F422" s="3">
        <v>3.0</v>
      </c>
      <c r="G422" s="3">
        <v>1.0</v>
      </c>
      <c r="H422" s="3">
        <v>0.0</v>
      </c>
      <c r="I422" s="1"/>
      <c r="J422" s="3">
        <v>836.0</v>
      </c>
    </row>
    <row r="423">
      <c r="A423" s="3">
        <v>90.0</v>
      </c>
      <c r="B423" s="3">
        <v>90.0</v>
      </c>
      <c r="C423" s="3">
        <v>53.0</v>
      </c>
      <c r="D423" s="3">
        <v>1.0</v>
      </c>
      <c r="E423" s="1" t="s">
        <v>157</v>
      </c>
      <c r="F423" s="1" t="s">
        <v>159</v>
      </c>
      <c r="G423" s="3">
        <v>1.0</v>
      </c>
      <c r="H423" s="3">
        <v>0.0</v>
      </c>
      <c r="I423" s="1"/>
      <c r="J423" s="3">
        <v>836.0</v>
      </c>
    </row>
    <row r="424">
      <c r="A424" s="3">
        <v>91.0</v>
      </c>
      <c r="B424" s="3">
        <v>91.0</v>
      </c>
      <c r="C424" s="3">
        <v>51.0</v>
      </c>
      <c r="D424" s="3">
        <v>1.0</v>
      </c>
      <c r="E424" s="1" t="s">
        <v>157</v>
      </c>
      <c r="F424" s="1" t="s">
        <v>160</v>
      </c>
      <c r="G424" s="3">
        <v>1.0</v>
      </c>
      <c r="H424" s="3">
        <v>0.0</v>
      </c>
      <c r="I424" s="1"/>
      <c r="J424" s="3">
        <v>836.0</v>
      </c>
    </row>
    <row r="425">
      <c r="A425" s="3">
        <v>92.0</v>
      </c>
      <c r="B425" s="3">
        <v>92.0</v>
      </c>
      <c r="C425" s="3">
        <v>50.0</v>
      </c>
      <c r="D425" s="3">
        <v>1.0</v>
      </c>
      <c r="E425" s="1" t="s">
        <v>157</v>
      </c>
      <c r="F425" s="1" t="s">
        <v>153</v>
      </c>
      <c r="G425" s="3">
        <v>1.0</v>
      </c>
      <c r="H425" s="3">
        <v>0.0</v>
      </c>
      <c r="I425" s="1"/>
      <c r="J425" s="3">
        <v>836.0</v>
      </c>
    </row>
    <row r="426">
      <c r="A426" s="3">
        <v>93.0</v>
      </c>
      <c r="B426" s="3">
        <v>93.0</v>
      </c>
      <c r="C426" s="3">
        <v>49.0</v>
      </c>
      <c r="D426" s="3">
        <v>1.0</v>
      </c>
      <c r="E426" s="1" t="s">
        <v>157</v>
      </c>
      <c r="F426" s="1" t="s">
        <v>161</v>
      </c>
      <c r="G426" s="3">
        <v>1.0</v>
      </c>
      <c r="H426" s="3">
        <v>0.0</v>
      </c>
      <c r="I426" s="1"/>
      <c r="J426" s="3">
        <v>836.0</v>
      </c>
    </row>
    <row r="427">
      <c r="A427" s="3">
        <v>94.0</v>
      </c>
      <c r="B427" s="3">
        <v>94.0</v>
      </c>
      <c r="C427" s="3">
        <v>52.0</v>
      </c>
      <c r="D427" s="3">
        <v>1.0</v>
      </c>
      <c r="E427" s="1" t="s">
        <v>157</v>
      </c>
      <c r="F427" s="1" t="s">
        <v>162</v>
      </c>
      <c r="G427" s="3">
        <v>1.0</v>
      </c>
      <c r="H427" s="3">
        <v>0.0</v>
      </c>
      <c r="I427" s="1"/>
      <c r="J427" s="3">
        <v>836.0</v>
      </c>
    </row>
    <row r="428">
      <c r="A428" s="3">
        <v>95.0</v>
      </c>
      <c r="B428" s="3">
        <v>95.0</v>
      </c>
      <c r="C428" s="3">
        <v>48.0</v>
      </c>
      <c r="D428" s="3">
        <v>1.0</v>
      </c>
      <c r="E428" s="1" t="s">
        <v>157</v>
      </c>
      <c r="F428" s="1" t="s">
        <v>163</v>
      </c>
      <c r="G428" s="3">
        <v>1.0</v>
      </c>
      <c r="H428" s="3">
        <v>0.0</v>
      </c>
      <c r="I428" s="1"/>
      <c r="J428" s="3">
        <v>836.0</v>
      </c>
    </row>
    <row r="429">
      <c r="A429" s="3">
        <v>96.0</v>
      </c>
      <c r="B429" s="3">
        <v>96.0</v>
      </c>
      <c r="C429" s="3">
        <v>47.0</v>
      </c>
      <c r="D429" s="3">
        <v>1.0</v>
      </c>
      <c r="E429" s="1" t="s">
        <v>157</v>
      </c>
      <c r="F429" s="3">
        <v>1.0</v>
      </c>
      <c r="G429" s="3">
        <v>1.0</v>
      </c>
      <c r="H429" s="3">
        <v>0.0</v>
      </c>
      <c r="I429" s="1"/>
      <c r="J429" s="3">
        <v>836.0</v>
      </c>
    </row>
    <row r="430">
      <c r="A430" s="3">
        <v>97.0</v>
      </c>
      <c r="B430" s="3">
        <v>97.0</v>
      </c>
      <c r="C430" s="3">
        <v>235.0</v>
      </c>
      <c r="D430" s="3">
        <v>1.0</v>
      </c>
      <c r="E430" s="1" t="s">
        <v>164</v>
      </c>
      <c r="F430" s="3">
        <v>1.0</v>
      </c>
      <c r="G430" s="3">
        <v>1.0</v>
      </c>
      <c r="H430" s="3">
        <v>0.0</v>
      </c>
      <c r="I430" s="1"/>
      <c r="J430" s="3">
        <v>836.0</v>
      </c>
    </row>
    <row r="431">
      <c r="A431" s="3">
        <v>98.0</v>
      </c>
      <c r="B431" s="3">
        <v>98.0</v>
      </c>
      <c r="C431" s="3">
        <v>223.0</v>
      </c>
      <c r="D431" s="3">
        <v>1.0</v>
      </c>
      <c r="E431" s="1" t="s">
        <v>165</v>
      </c>
      <c r="F431" s="1" t="s">
        <v>45</v>
      </c>
      <c r="G431" s="3">
        <v>1.0</v>
      </c>
      <c r="H431" s="3">
        <v>0.0</v>
      </c>
      <c r="I431" s="1"/>
      <c r="J431" s="3">
        <v>836.0</v>
      </c>
    </row>
    <row r="432">
      <c r="A432" s="3">
        <v>99.0</v>
      </c>
      <c r="B432" s="3">
        <v>99.0</v>
      </c>
      <c r="C432" s="3">
        <v>222.0</v>
      </c>
      <c r="D432" s="3">
        <v>1.0</v>
      </c>
      <c r="E432" s="1" t="s">
        <v>165</v>
      </c>
      <c r="F432" s="1" t="s">
        <v>136</v>
      </c>
      <c r="G432" s="3">
        <v>1.0</v>
      </c>
      <c r="H432" s="3">
        <v>0.0</v>
      </c>
      <c r="I432" s="1"/>
      <c r="J432" s="3">
        <v>836.0</v>
      </c>
    </row>
    <row r="433">
      <c r="A433" s="3">
        <v>100.0</v>
      </c>
      <c r="B433" s="3">
        <v>100.0</v>
      </c>
      <c r="C433" s="3">
        <v>221.0</v>
      </c>
      <c r="D433" s="3">
        <v>1.0</v>
      </c>
      <c r="E433" s="1" t="s">
        <v>165</v>
      </c>
      <c r="F433" s="1" t="s">
        <v>135</v>
      </c>
      <c r="G433" s="3">
        <v>1.0</v>
      </c>
      <c r="H433" s="3">
        <v>0.0</v>
      </c>
      <c r="I433" s="1"/>
      <c r="J433" s="3">
        <v>836.0</v>
      </c>
    </row>
    <row r="434">
      <c r="A434" s="3">
        <v>101.0</v>
      </c>
      <c r="B434" s="3">
        <v>101.0</v>
      </c>
      <c r="C434" s="3">
        <v>224.0</v>
      </c>
      <c r="D434" s="3">
        <v>1.0</v>
      </c>
      <c r="E434" s="1" t="s">
        <v>165</v>
      </c>
      <c r="F434" s="1" t="s">
        <v>134</v>
      </c>
      <c r="G434" s="3">
        <v>1.0</v>
      </c>
      <c r="H434" s="3">
        <v>0.0</v>
      </c>
      <c r="I434" s="1"/>
      <c r="J434" s="3">
        <v>836.0</v>
      </c>
    </row>
    <row r="435">
      <c r="A435" s="3">
        <v>102.0</v>
      </c>
      <c r="B435" s="3">
        <v>102.0</v>
      </c>
      <c r="C435" s="3">
        <v>862.0</v>
      </c>
      <c r="D435" s="3">
        <v>1.0</v>
      </c>
      <c r="E435" s="1" t="s">
        <v>165</v>
      </c>
      <c r="F435" s="3">
        <v>14.0</v>
      </c>
      <c r="G435" s="3">
        <v>1.0</v>
      </c>
      <c r="H435" s="3">
        <v>0.0</v>
      </c>
      <c r="I435" s="1"/>
      <c r="J435" s="3">
        <v>836.0</v>
      </c>
    </row>
    <row r="436">
      <c r="A436" s="3">
        <v>103.0</v>
      </c>
      <c r="B436" s="3">
        <v>103.0</v>
      </c>
      <c r="C436" s="3">
        <v>227.0</v>
      </c>
      <c r="D436" s="3">
        <v>1.0</v>
      </c>
      <c r="E436" s="1" t="s">
        <v>165</v>
      </c>
      <c r="F436" s="1" t="s">
        <v>58</v>
      </c>
      <c r="G436" s="3">
        <v>1.0</v>
      </c>
      <c r="H436" s="3">
        <v>0.0</v>
      </c>
      <c r="I436" s="1"/>
      <c r="J436" s="3">
        <v>836.0</v>
      </c>
    </row>
    <row r="437">
      <c r="A437" s="3">
        <v>104.0</v>
      </c>
      <c r="B437" s="3">
        <v>104.0</v>
      </c>
      <c r="C437" s="3">
        <v>228.0</v>
      </c>
      <c r="D437" s="3">
        <v>1.0</v>
      </c>
      <c r="E437" s="1" t="s">
        <v>165</v>
      </c>
      <c r="F437" s="1" t="s">
        <v>166</v>
      </c>
      <c r="G437" s="3">
        <v>1.0</v>
      </c>
      <c r="H437" s="3">
        <v>0.0</v>
      </c>
      <c r="I437" s="1"/>
      <c r="J437" s="3">
        <v>836.0</v>
      </c>
    </row>
    <row r="438">
      <c r="A438" s="3">
        <v>105.0</v>
      </c>
      <c r="B438" s="3">
        <v>105.0</v>
      </c>
      <c r="C438" s="3">
        <v>229.0</v>
      </c>
      <c r="D438" s="3">
        <v>1.0</v>
      </c>
      <c r="E438" s="1" t="s">
        <v>165</v>
      </c>
      <c r="F438" s="1" t="s">
        <v>167</v>
      </c>
      <c r="G438" s="3">
        <v>1.0</v>
      </c>
      <c r="H438" s="3">
        <v>0.0</v>
      </c>
      <c r="I438" s="1"/>
      <c r="J438" s="3">
        <v>836.0</v>
      </c>
    </row>
    <row r="439">
      <c r="A439" s="3">
        <v>106.0</v>
      </c>
      <c r="B439" s="3">
        <v>106.0</v>
      </c>
      <c r="C439" s="3">
        <v>219.0</v>
      </c>
      <c r="D439" s="3">
        <v>1.0</v>
      </c>
      <c r="E439" s="1" t="s">
        <v>165</v>
      </c>
      <c r="F439" s="3">
        <v>4.0</v>
      </c>
      <c r="G439" s="3">
        <v>1.0</v>
      </c>
      <c r="H439" s="3">
        <v>0.0</v>
      </c>
      <c r="I439" s="1"/>
      <c r="J439" s="3">
        <v>836.0</v>
      </c>
    </row>
    <row r="440">
      <c r="A440" s="3">
        <v>107.0</v>
      </c>
      <c r="B440" s="3">
        <v>107.0</v>
      </c>
      <c r="C440" s="3">
        <v>230.0</v>
      </c>
      <c r="D440" s="3">
        <v>1.0</v>
      </c>
      <c r="E440" s="1" t="s">
        <v>165</v>
      </c>
      <c r="F440" s="1" t="s">
        <v>168</v>
      </c>
      <c r="G440" s="3">
        <v>1.0</v>
      </c>
      <c r="H440" s="3">
        <v>0.0</v>
      </c>
      <c r="I440" s="1"/>
      <c r="J440" s="3">
        <v>836.0</v>
      </c>
    </row>
    <row r="441">
      <c r="A441" s="3">
        <v>108.0</v>
      </c>
      <c r="B441" s="3">
        <v>108.0</v>
      </c>
      <c r="C441" s="3">
        <v>226.0</v>
      </c>
      <c r="D441" s="3">
        <v>1.0</v>
      </c>
      <c r="E441" s="1" t="s">
        <v>165</v>
      </c>
      <c r="F441" s="3">
        <v>7.0</v>
      </c>
      <c r="G441" s="3">
        <v>1.0</v>
      </c>
      <c r="H441" s="3">
        <v>0.0</v>
      </c>
      <c r="I441" s="1"/>
      <c r="J441" s="3">
        <v>836.0</v>
      </c>
    </row>
    <row r="442">
      <c r="A442" s="3">
        <v>109.0</v>
      </c>
      <c r="B442" s="3">
        <v>109.0</v>
      </c>
      <c r="C442" s="3">
        <v>233.0</v>
      </c>
      <c r="D442" s="3">
        <v>1.0</v>
      </c>
      <c r="E442" s="1" t="s">
        <v>165</v>
      </c>
      <c r="F442" s="3">
        <v>12.0</v>
      </c>
      <c r="G442" s="3">
        <v>1.0</v>
      </c>
      <c r="H442" s="3">
        <v>0.0</v>
      </c>
      <c r="I442" s="1"/>
      <c r="J442" s="3">
        <v>836.0</v>
      </c>
    </row>
    <row r="443">
      <c r="A443" s="3">
        <v>110.0</v>
      </c>
      <c r="B443" s="3">
        <v>110.0</v>
      </c>
      <c r="C443" s="3">
        <v>220.0</v>
      </c>
      <c r="D443" s="3">
        <v>1.0</v>
      </c>
      <c r="E443" s="1" t="s">
        <v>165</v>
      </c>
      <c r="F443" s="3">
        <v>5.0</v>
      </c>
      <c r="G443" s="3">
        <v>1.0</v>
      </c>
      <c r="H443" s="3">
        <v>0.0</v>
      </c>
      <c r="I443" s="1"/>
      <c r="J443" s="3">
        <v>836.0</v>
      </c>
    </row>
    <row r="444">
      <c r="A444" s="3">
        <v>111.0</v>
      </c>
      <c r="B444" s="3">
        <v>111.0</v>
      </c>
      <c r="C444" s="3">
        <v>861.0</v>
      </c>
      <c r="D444" s="3">
        <v>1.0</v>
      </c>
      <c r="E444" s="1" t="s">
        <v>165</v>
      </c>
      <c r="F444" s="3">
        <v>13.0</v>
      </c>
      <c r="G444" s="3">
        <v>1.0</v>
      </c>
      <c r="H444" s="3">
        <v>0.0</v>
      </c>
      <c r="I444" s="1"/>
      <c r="J444" s="3">
        <v>836.0</v>
      </c>
    </row>
    <row r="445">
      <c r="A445" s="3">
        <v>112.0</v>
      </c>
      <c r="B445" s="3">
        <v>112.0</v>
      </c>
      <c r="C445" s="3">
        <v>350.0</v>
      </c>
      <c r="D445" s="3">
        <v>1.0</v>
      </c>
      <c r="E445" s="2" t="s">
        <v>169</v>
      </c>
      <c r="F445" s="1"/>
      <c r="G445" s="3">
        <v>1.0</v>
      </c>
      <c r="H445" s="3">
        <v>0.0</v>
      </c>
      <c r="I445" s="1"/>
      <c r="J445" s="3">
        <v>836.0</v>
      </c>
    </row>
    <row r="446">
      <c r="A446" s="3">
        <v>113.0</v>
      </c>
      <c r="B446" s="3">
        <v>113.0</v>
      </c>
      <c r="C446" s="3">
        <v>865.0</v>
      </c>
      <c r="D446" s="3">
        <v>1.0</v>
      </c>
      <c r="E446" s="1" t="s">
        <v>165</v>
      </c>
      <c r="F446" s="3">
        <v>16.0</v>
      </c>
      <c r="G446" s="3">
        <v>1.0</v>
      </c>
      <c r="H446" s="3">
        <v>0.0</v>
      </c>
      <c r="I446" s="1"/>
      <c r="J446" s="3">
        <v>836.0</v>
      </c>
    </row>
    <row r="447">
      <c r="A447" s="3">
        <v>114.0</v>
      </c>
      <c r="B447" s="3">
        <v>114.0</v>
      </c>
      <c r="C447" s="3">
        <v>346.0</v>
      </c>
      <c r="D447" s="3">
        <v>1.0</v>
      </c>
      <c r="E447" s="2" t="s">
        <v>170</v>
      </c>
      <c r="F447" s="1"/>
      <c r="G447" s="3">
        <v>1.0</v>
      </c>
      <c r="H447" s="3">
        <v>0.0</v>
      </c>
      <c r="I447" s="1"/>
      <c r="J447" s="3">
        <v>836.0</v>
      </c>
    </row>
    <row r="448">
      <c r="A448" s="3">
        <v>115.0</v>
      </c>
      <c r="B448" s="3">
        <v>115.0</v>
      </c>
      <c r="C448" s="3">
        <v>864.0</v>
      </c>
      <c r="D448" s="3">
        <v>1.0</v>
      </c>
      <c r="E448" s="1" t="s">
        <v>165</v>
      </c>
      <c r="F448" s="1" t="s">
        <v>171</v>
      </c>
      <c r="G448" s="3">
        <v>1.0</v>
      </c>
      <c r="H448" s="3">
        <v>0.0</v>
      </c>
      <c r="I448" s="1"/>
      <c r="J448" s="3">
        <v>836.0</v>
      </c>
    </row>
    <row r="449">
      <c r="A449" s="3">
        <v>116.0</v>
      </c>
      <c r="B449" s="3">
        <v>116.0</v>
      </c>
      <c r="C449" s="3">
        <v>863.0</v>
      </c>
      <c r="D449" s="3">
        <v>1.0</v>
      </c>
      <c r="E449" s="1" t="s">
        <v>165</v>
      </c>
      <c r="F449" s="1" t="s">
        <v>172</v>
      </c>
      <c r="G449" s="3">
        <v>1.0</v>
      </c>
      <c r="H449" s="3">
        <v>0.0</v>
      </c>
      <c r="I449" s="1"/>
      <c r="J449" s="3">
        <v>836.0</v>
      </c>
    </row>
    <row r="450">
      <c r="A450" s="3">
        <v>117.0</v>
      </c>
      <c r="B450" s="3">
        <v>117.0</v>
      </c>
      <c r="C450" s="3">
        <v>232.0</v>
      </c>
      <c r="D450" s="3">
        <v>1.0</v>
      </c>
      <c r="E450" s="1" t="s">
        <v>165</v>
      </c>
      <c r="F450" s="3">
        <v>11.0</v>
      </c>
      <c r="G450" s="3">
        <v>1.0</v>
      </c>
      <c r="H450" s="3">
        <v>0.0</v>
      </c>
      <c r="I450" s="1"/>
      <c r="J450" s="3">
        <v>836.0</v>
      </c>
    </row>
    <row r="451">
      <c r="A451" s="3">
        <v>118.0</v>
      </c>
      <c r="B451" s="3">
        <v>118.0</v>
      </c>
      <c r="C451" s="3">
        <v>217.0</v>
      </c>
      <c r="D451" s="3">
        <v>1.0</v>
      </c>
      <c r="E451" s="1" t="s">
        <v>165</v>
      </c>
      <c r="F451" s="3">
        <v>2.0</v>
      </c>
      <c r="G451" s="3">
        <v>1.0</v>
      </c>
      <c r="H451" s="3">
        <v>0.0</v>
      </c>
      <c r="I451" s="1"/>
      <c r="J451" s="3">
        <v>836.0</v>
      </c>
    </row>
    <row r="452">
      <c r="A452" s="3">
        <v>119.0</v>
      </c>
      <c r="B452" s="3">
        <v>119.0</v>
      </c>
      <c r="C452" s="3">
        <v>218.0</v>
      </c>
      <c r="D452" s="3">
        <v>1.0</v>
      </c>
      <c r="E452" s="1" t="s">
        <v>165</v>
      </c>
      <c r="F452" s="3">
        <v>3.0</v>
      </c>
      <c r="G452" s="3">
        <v>1.0</v>
      </c>
      <c r="H452" s="3">
        <v>0.0</v>
      </c>
      <c r="I452" s="1"/>
      <c r="J452" s="3">
        <v>836.0</v>
      </c>
    </row>
    <row r="453">
      <c r="A453" s="3">
        <v>120.0</v>
      </c>
      <c r="B453" s="3">
        <v>120.0</v>
      </c>
      <c r="C453" s="3">
        <v>216.0</v>
      </c>
      <c r="D453" s="3">
        <v>1.0</v>
      </c>
      <c r="E453" s="1" t="s">
        <v>165</v>
      </c>
      <c r="F453" s="1" t="s">
        <v>26</v>
      </c>
      <c r="G453" s="3">
        <v>1.0</v>
      </c>
      <c r="H453" s="3">
        <v>0.0</v>
      </c>
      <c r="I453" s="1"/>
      <c r="J453" s="3">
        <v>836.0</v>
      </c>
    </row>
    <row r="454">
      <c r="A454" s="3">
        <v>121.0</v>
      </c>
      <c r="B454" s="3">
        <v>121.0</v>
      </c>
      <c r="C454" s="3">
        <v>214.0</v>
      </c>
      <c r="D454" s="3">
        <v>1.0</v>
      </c>
      <c r="E454" s="1" t="s">
        <v>165</v>
      </c>
      <c r="F454" s="1" t="s">
        <v>24</v>
      </c>
      <c r="G454" s="3">
        <v>1.0</v>
      </c>
      <c r="H454" s="3">
        <v>0.0</v>
      </c>
      <c r="I454" s="1"/>
      <c r="J454" s="3">
        <v>836.0</v>
      </c>
    </row>
    <row r="455">
      <c r="A455" s="3">
        <v>122.0</v>
      </c>
      <c r="B455" s="3">
        <v>122.0</v>
      </c>
      <c r="C455" s="3">
        <v>215.0</v>
      </c>
      <c r="D455" s="3">
        <v>1.0</v>
      </c>
      <c r="E455" s="1" t="s">
        <v>165</v>
      </c>
      <c r="F455" s="1" t="s">
        <v>25</v>
      </c>
      <c r="G455" s="3">
        <v>1.0</v>
      </c>
      <c r="H455" s="3">
        <v>0.0</v>
      </c>
      <c r="I455" s="1"/>
      <c r="J455" s="3">
        <v>836.0</v>
      </c>
    </row>
    <row r="456">
      <c r="A456" s="3">
        <v>124.0</v>
      </c>
      <c r="B456" s="3">
        <v>124.0</v>
      </c>
      <c r="C456" s="3">
        <v>165.0</v>
      </c>
      <c r="D456" s="3">
        <v>1.0</v>
      </c>
      <c r="E456" s="1" t="s">
        <v>61</v>
      </c>
      <c r="F456" s="1" t="s">
        <v>173</v>
      </c>
      <c r="G456" s="3">
        <v>1.0</v>
      </c>
      <c r="H456" s="3">
        <v>0.0</v>
      </c>
      <c r="I456" s="1"/>
      <c r="J456" s="3">
        <v>836.0</v>
      </c>
    </row>
    <row r="457">
      <c r="A457" s="3">
        <v>125.0</v>
      </c>
      <c r="B457" s="3">
        <v>125.0</v>
      </c>
      <c r="C457" s="3">
        <v>166.0</v>
      </c>
      <c r="D457" s="3">
        <v>1.0</v>
      </c>
      <c r="E457" s="1" t="s">
        <v>61</v>
      </c>
      <c r="F457" s="1" t="s">
        <v>19</v>
      </c>
      <c r="G457" s="3">
        <v>1.0</v>
      </c>
      <c r="H457" s="3">
        <v>0.0</v>
      </c>
      <c r="I457" s="1"/>
      <c r="J457" s="3">
        <v>836.0</v>
      </c>
    </row>
    <row r="458">
      <c r="A458" s="3">
        <v>126.0</v>
      </c>
      <c r="B458" s="3">
        <v>126.0</v>
      </c>
      <c r="C458" s="3">
        <v>162.0</v>
      </c>
      <c r="D458" s="3">
        <v>1.0</v>
      </c>
      <c r="E458" s="1" t="s">
        <v>57</v>
      </c>
      <c r="F458" s="3">
        <v>6.0</v>
      </c>
      <c r="G458" s="3">
        <v>1.0</v>
      </c>
      <c r="H458" s="3">
        <v>0.0</v>
      </c>
      <c r="I458" s="1"/>
      <c r="J458" s="3">
        <v>836.0</v>
      </c>
    </row>
    <row r="459">
      <c r="A459" s="3">
        <v>127.0</v>
      </c>
      <c r="B459" s="3">
        <v>127.0</v>
      </c>
      <c r="C459" s="3">
        <v>160.0</v>
      </c>
      <c r="D459" s="3">
        <v>1.0</v>
      </c>
      <c r="E459" s="1" t="s">
        <v>57</v>
      </c>
      <c r="F459" s="1" t="s">
        <v>132</v>
      </c>
      <c r="G459" s="3">
        <v>1.0</v>
      </c>
      <c r="H459" s="3">
        <v>0.0</v>
      </c>
      <c r="I459" s="1"/>
      <c r="J459" s="3">
        <v>836.0</v>
      </c>
    </row>
    <row r="460">
      <c r="A460" s="3">
        <v>128.0</v>
      </c>
      <c r="B460" s="3">
        <v>128.0</v>
      </c>
      <c r="C460" s="3">
        <v>161.0</v>
      </c>
      <c r="D460" s="3">
        <v>1.0</v>
      </c>
      <c r="E460" s="1" t="s">
        <v>57</v>
      </c>
      <c r="F460" s="1" t="s">
        <v>149</v>
      </c>
      <c r="G460" s="3">
        <v>1.0</v>
      </c>
      <c r="H460" s="3">
        <v>0.0</v>
      </c>
      <c r="I460" s="1"/>
      <c r="J460" s="3">
        <v>836.0</v>
      </c>
    </row>
    <row r="461">
      <c r="A461" s="3">
        <v>129.0</v>
      </c>
      <c r="B461" s="3">
        <v>129.0</v>
      </c>
      <c r="C461" s="3">
        <v>140.0</v>
      </c>
      <c r="D461" s="3">
        <v>1.0</v>
      </c>
      <c r="E461" s="1" t="s">
        <v>57</v>
      </c>
      <c r="F461" s="1" t="s">
        <v>155</v>
      </c>
      <c r="G461" s="3">
        <v>1.0</v>
      </c>
      <c r="H461" s="3">
        <v>0.0</v>
      </c>
      <c r="I461" s="1"/>
      <c r="J461" s="3">
        <v>836.0</v>
      </c>
    </row>
    <row r="462">
      <c r="A462" s="3">
        <v>130.0</v>
      </c>
      <c r="B462" s="3">
        <v>130.0</v>
      </c>
      <c r="C462" s="3">
        <v>139.0</v>
      </c>
      <c r="D462" s="3">
        <v>1.0</v>
      </c>
      <c r="E462" s="1" t="s">
        <v>57</v>
      </c>
      <c r="F462" s="1" t="s">
        <v>28</v>
      </c>
      <c r="G462" s="3">
        <v>1.0</v>
      </c>
      <c r="H462" s="3">
        <v>0.0</v>
      </c>
      <c r="I462" s="1"/>
      <c r="J462" s="3">
        <v>836.0</v>
      </c>
    </row>
    <row r="463">
      <c r="A463" s="3">
        <v>131.0</v>
      </c>
      <c r="B463" s="3">
        <v>131.0</v>
      </c>
      <c r="C463" s="3">
        <v>141.0</v>
      </c>
      <c r="D463" s="3">
        <v>1.0</v>
      </c>
      <c r="E463" s="1" t="s">
        <v>57</v>
      </c>
      <c r="F463" s="1" t="s">
        <v>115</v>
      </c>
      <c r="G463" s="3">
        <v>1.0</v>
      </c>
      <c r="H463" s="3">
        <v>0.0</v>
      </c>
      <c r="I463" s="1"/>
      <c r="J463" s="3">
        <v>836.0</v>
      </c>
    </row>
    <row r="464">
      <c r="A464" s="3">
        <v>132.0</v>
      </c>
      <c r="B464" s="3">
        <v>132.0</v>
      </c>
      <c r="C464" s="3">
        <v>142.0</v>
      </c>
      <c r="D464" s="3">
        <v>1.0</v>
      </c>
      <c r="E464" s="1" t="s">
        <v>57</v>
      </c>
      <c r="F464" s="1" t="s">
        <v>163</v>
      </c>
      <c r="G464" s="3">
        <v>1.0</v>
      </c>
      <c r="H464" s="3">
        <v>0.0</v>
      </c>
      <c r="I464" s="1"/>
      <c r="J464" s="3">
        <v>836.0</v>
      </c>
    </row>
    <row r="465">
      <c r="A465" s="3">
        <v>133.0</v>
      </c>
      <c r="B465" s="3">
        <v>133.0</v>
      </c>
      <c r="C465" s="3">
        <v>138.0</v>
      </c>
      <c r="D465" s="3">
        <v>1.0</v>
      </c>
      <c r="E465" s="1" t="s">
        <v>57</v>
      </c>
      <c r="F465" s="1" t="s">
        <v>27</v>
      </c>
      <c r="G465" s="3">
        <v>1.0</v>
      </c>
      <c r="H465" s="3">
        <v>0.0</v>
      </c>
      <c r="I465" s="1"/>
      <c r="J465" s="3">
        <v>836.0</v>
      </c>
    </row>
    <row r="466">
      <c r="A466" s="3">
        <v>134.0</v>
      </c>
      <c r="B466" s="3">
        <v>134.0</v>
      </c>
      <c r="C466" s="3">
        <v>136.0</v>
      </c>
      <c r="D466" s="3">
        <v>1.0</v>
      </c>
      <c r="E466" s="1" t="s">
        <v>57</v>
      </c>
      <c r="F466" s="1" t="s">
        <v>25</v>
      </c>
      <c r="G466" s="3">
        <v>1.0</v>
      </c>
      <c r="H466" s="3">
        <v>0.0</v>
      </c>
      <c r="I466" s="1"/>
      <c r="J466" s="3">
        <v>836.0</v>
      </c>
    </row>
    <row r="467">
      <c r="A467" s="3">
        <v>135.0</v>
      </c>
      <c r="B467" s="3">
        <v>135.0</v>
      </c>
      <c r="C467" s="3">
        <v>137.0</v>
      </c>
      <c r="D467" s="3">
        <v>1.0</v>
      </c>
      <c r="E467" s="1" t="s">
        <v>57</v>
      </c>
      <c r="F467" s="1" t="s">
        <v>26</v>
      </c>
      <c r="G467" s="3">
        <v>1.0</v>
      </c>
      <c r="H467" s="3">
        <v>0.0</v>
      </c>
      <c r="I467" s="1"/>
      <c r="J467" s="3">
        <v>836.0</v>
      </c>
    </row>
    <row r="468">
      <c r="A468" s="3">
        <v>136.0</v>
      </c>
      <c r="B468" s="3">
        <v>136.0</v>
      </c>
      <c r="C468" s="3">
        <v>135.0</v>
      </c>
      <c r="D468" s="3">
        <v>1.0</v>
      </c>
      <c r="E468" s="1" t="s">
        <v>57</v>
      </c>
      <c r="F468" s="1" t="s">
        <v>24</v>
      </c>
      <c r="G468" s="3">
        <v>1.0</v>
      </c>
      <c r="H468" s="3">
        <v>0.0</v>
      </c>
      <c r="I468" s="1"/>
      <c r="J468" s="3">
        <v>836.0</v>
      </c>
    </row>
    <row r="469">
      <c r="A469" s="3">
        <v>137.0</v>
      </c>
      <c r="B469" s="3">
        <v>137.0</v>
      </c>
      <c r="C469" s="3">
        <v>155.0</v>
      </c>
      <c r="D469" s="3">
        <v>1.0</v>
      </c>
      <c r="E469" s="1" t="s">
        <v>57</v>
      </c>
      <c r="F469" s="1" t="s">
        <v>127</v>
      </c>
      <c r="G469" s="3">
        <v>1.0</v>
      </c>
      <c r="H469" s="3">
        <v>0.0</v>
      </c>
      <c r="I469" s="1"/>
      <c r="J469" s="3">
        <v>836.0</v>
      </c>
    </row>
    <row r="470">
      <c r="A470" s="3">
        <v>138.0</v>
      </c>
      <c r="B470" s="3">
        <v>138.0</v>
      </c>
      <c r="C470" s="3">
        <v>0.0</v>
      </c>
      <c r="D470" s="3">
        <v>1.0</v>
      </c>
      <c r="E470" s="1" t="s">
        <v>57</v>
      </c>
      <c r="F470" s="1" t="s">
        <v>174</v>
      </c>
      <c r="G470" s="3">
        <v>1.0</v>
      </c>
      <c r="H470" s="3">
        <v>0.0</v>
      </c>
      <c r="I470" s="1"/>
      <c r="J470" s="3">
        <v>836.0</v>
      </c>
    </row>
    <row r="471">
      <c r="A471" s="3">
        <v>139.0</v>
      </c>
      <c r="B471" s="3">
        <v>139.0</v>
      </c>
      <c r="C471" s="3">
        <v>144.0</v>
      </c>
      <c r="D471" s="3">
        <v>1.0</v>
      </c>
      <c r="E471" s="1" t="s">
        <v>57</v>
      </c>
      <c r="F471" s="1" t="s">
        <v>153</v>
      </c>
      <c r="G471" s="3">
        <v>1.0</v>
      </c>
      <c r="H471" s="3">
        <v>0.0</v>
      </c>
      <c r="I471" s="1"/>
      <c r="J471" s="3">
        <v>836.0</v>
      </c>
    </row>
    <row r="472">
      <c r="A472" s="3">
        <v>140.0</v>
      </c>
      <c r="B472" s="3">
        <v>140.0</v>
      </c>
      <c r="C472" s="3">
        <v>146.0</v>
      </c>
      <c r="D472" s="3">
        <v>1.0</v>
      </c>
      <c r="E472" s="1" t="s">
        <v>57</v>
      </c>
      <c r="F472" s="1" t="s">
        <v>161</v>
      </c>
      <c r="G472" s="3">
        <v>1.0</v>
      </c>
      <c r="H472" s="3">
        <v>0.0</v>
      </c>
      <c r="I472" s="1"/>
      <c r="J472" s="3">
        <v>836.0</v>
      </c>
    </row>
    <row r="473">
      <c r="A473" s="3">
        <v>141.0</v>
      </c>
      <c r="B473" s="3">
        <v>141.0</v>
      </c>
      <c r="C473" s="3">
        <v>159.0</v>
      </c>
      <c r="D473" s="3">
        <v>1.0</v>
      </c>
      <c r="E473" s="1" t="s">
        <v>57</v>
      </c>
      <c r="F473" s="1" t="s">
        <v>175</v>
      </c>
      <c r="G473" s="3">
        <v>1.0</v>
      </c>
      <c r="H473" s="3">
        <v>0.0</v>
      </c>
      <c r="I473" s="1"/>
      <c r="J473" s="3">
        <v>836.0</v>
      </c>
    </row>
    <row r="474">
      <c r="A474" s="3">
        <v>142.0</v>
      </c>
      <c r="B474" s="3">
        <v>142.0</v>
      </c>
      <c r="C474" s="3">
        <v>154.0</v>
      </c>
      <c r="D474" s="3">
        <v>1.0</v>
      </c>
      <c r="E474" s="1" t="s">
        <v>57</v>
      </c>
      <c r="F474" s="1" t="s">
        <v>11</v>
      </c>
      <c r="G474" s="3">
        <v>1.0</v>
      </c>
      <c r="H474" s="3">
        <v>0.0</v>
      </c>
      <c r="I474" s="1"/>
      <c r="J474" s="3">
        <v>836.0</v>
      </c>
    </row>
    <row r="475">
      <c r="A475" s="3">
        <v>143.0</v>
      </c>
      <c r="B475" s="3">
        <v>143.0</v>
      </c>
      <c r="C475" s="3">
        <v>145.0</v>
      </c>
      <c r="D475" s="3">
        <v>1.0</v>
      </c>
      <c r="E475" s="1" t="s">
        <v>57</v>
      </c>
      <c r="F475" s="1" t="s">
        <v>160</v>
      </c>
      <c r="G475" s="3">
        <v>1.0</v>
      </c>
      <c r="H475" s="3">
        <v>0.0</v>
      </c>
      <c r="I475" s="1"/>
      <c r="J475" s="3">
        <v>836.0</v>
      </c>
    </row>
    <row r="476">
      <c r="A476" s="3">
        <v>144.0</v>
      </c>
      <c r="B476" s="3">
        <v>144.0</v>
      </c>
      <c r="C476" s="3">
        <v>158.0</v>
      </c>
      <c r="D476" s="3">
        <v>1.0</v>
      </c>
      <c r="E476" s="1" t="s">
        <v>57</v>
      </c>
      <c r="F476" s="1" t="s">
        <v>130</v>
      </c>
      <c r="G476" s="3">
        <v>1.0</v>
      </c>
      <c r="H476" s="3">
        <v>0.0</v>
      </c>
      <c r="I476" s="1"/>
      <c r="J476" s="3">
        <v>836.0</v>
      </c>
    </row>
    <row r="477">
      <c r="A477" s="3">
        <v>145.0</v>
      </c>
      <c r="B477" s="3">
        <v>145.0</v>
      </c>
      <c r="C477" s="3">
        <v>147.0</v>
      </c>
      <c r="D477" s="3">
        <v>1.0</v>
      </c>
      <c r="E477" s="1" t="s">
        <v>57</v>
      </c>
      <c r="F477" s="1" t="s">
        <v>159</v>
      </c>
      <c r="G477" s="3">
        <v>1.0</v>
      </c>
      <c r="H477" s="3">
        <v>0.0</v>
      </c>
      <c r="I477" s="1"/>
      <c r="J477" s="3">
        <v>836.0</v>
      </c>
    </row>
    <row r="478">
      <c r="A478" s="3">
        <v>146.0</v>
      </c>
      <c r="B478" s="3">
        <v>146.0</v>
      </c>
      <c r="C478" s="3">
        <v>149.0</v>
      </c>
      <c r="D478" s="3">
        <v>1.0</v>
      </c>
      <c r="E478" s="1" t="s">
        <v>57</v>
      </c>
      <c r="F478" s="1" t="s">
        <v>176</v>
      </c>
      <c r="G478" s="3">
        <v>1.0</v>
      </c>
      <c r="H478" s="3">
        <v>0.0</v>
      </c>
      <c r="I478" s="1"/>
      <c r="J478" s="3">
        <v>836.0</v>
      </c>
    </row>
    <row r="479">
      <c r="A479" s="3">
        <v>147.0</v>
      </c>
      <c r="B479" s="3">
        <v>147.0</v>
      </c>
      <c r="C479" s="3">
        <v>148.0</v>
      </c>
      <c r="D479" s="3">
        <v>1.0</v>
      </c>
      <c r="E479" s="1" t="s">
        <v>57</v>
      </c>
      <c r="F479" s="1" t="s">
        <v>177</v>
      </c>
      <c r="G479" s="3">
        <v>1.0</v>
      </c>
      <c r="H479" s="3">
        <v>0.0</v>
      </c>
      <c r="I479" s="1"/>
      <c r="J479" s="3">
        <v>836.0</v>
      </c>
    </row>
    <row r="480">
      <c r="A480" s="3">
        <v>148.0</v>
      </c>
      <c r="B480" s="3">
        <v>148.0</v>
      </c>
      <c r="C480" s="3">
        <v>156.0</v>
      </c>
      <c r="D480" s="3">
        <v>1.0</v>
      </c>
      <c r="E480" s="1" t="s">
        <v>57</v>
      </c>
      <c r="F480" s="1" t="s">
        <v>129</v>
      </c>
      <c r="G480" s="3">
        <v>1.0</v>
      </c>
      <c r="H480" s="3">
        <v>0.0</v>
      </c>
      <c r="I480" s="1"/>
      <c r="J480" s="3">
        <v>836.0</v>
      </c>
    </row>
    <row r="481">
      <c r="A481" s="3">
        <v>149.0</v>
      </c>
      <c r="B481" s="3">
        <v>149.0</v>
      </c>
      <c r="C481" s="3">
        <v>150.0</v>
      </c>
      <c r="D481" s="3">
        <v>1.0</v>
      </c>
      <c r="E481" s="1" t="s">
        <v>57</v>
      </c>
      <c r="F481" s="1" t="s">
        <v>178</v>
      </c>
      <c r="G481" s="3">
        <v>1.0</v>
      </c>
      <c r="H481" s="3">
        <v>0.0</v>
      </c>
      <c r="I481" s="1"/>
      <c r="J481" s="3">
        <v>836.0</v>
      </c>
    </row>
    <row r="482">
      <c r="A482" s="3">
        <v>150.0</v>
      </c>
      <c r="B482" s="3">
        <v>150.0</v>
      </c>
      <c r="C482" s="3">
        <v>143.0</v>
      </c>
      <c r="D482" s="3">
        <v>1.0</v>
      </c>
      <c r="E482" s="1" t="s">
        <v>57</v>
      </c>
      <c r="F482" s="1" t="s">
        <v>162</v>
      </c>
      <c r="G482" s="3">
        <v>1.0</v>
      </c>
      <c r="H482" s="3">
        <v>0.0</v>
      </c>
      <c r="I482" s="1"/>
      <c r="J482" s="3">
        <v>836.0</v>
      </c>
    </row>
    <row r="483">
      <c r="A483" s="3">
        <v>151.0</v>
      </c>
      <c r="B483" s="3">
        <v>151.0</v>
      </c>
      <c r="C483" s="3">
        <v>157.0</v>
      </c>
      <c r="D483" s="3">
        <v>1.0</v>
      </c>
      <c r="E483" s="1" t="s">
        <v>57</v>
      </c>
      <c r="F483" s="1" t="s">
        <v>131</v>
      </c>
      <c r="G483" s="3">
        <v>1.0</v>
      </c>
      <c r="H483" s="3">
        <v>0.0</v>
      </c>
      <c r="I483" s="1"/>
      <c r="J483" s="3">
        <v>836.0</v>
      </c>
    </row>
    <row r="484">
      <c r="A484" s="3">
        <v>152.0</v>
      </c>
      <c r="B484" s="3">
        <v>152.0</v>
      </c>
      <c r="C484" s="3">
        <v>152.0</v>
      </c>
      <c r="D484" s="3">
        <v>1.0</v>
      </c>
      <c r="E484" s="1" t="s">
        <v>57</v>
      </c>
      <c r="F484" s="1" t="s">
        <v>179</v>
      </c>
      <c r="G484" s="3">
        <v>1.0</v>
      </c>
      <c r="H484" s="3">
        <v>0.0</v>
      </c>
      <c r="I484" s="1"/>
      <c r="J484" s="3">
        <v>836.0</v>
      </c>
    </row>
    <row r="485">
      <c r="A485" s="3">
        <v>153.0</v>
      </c>
      <c r="B485" s="3">
        <v>153.0</v>
      </c>
      <c r="C485" s="3">
        <v>151.0</v>
      </c>
      <c r="D485" s="3">
        <v>1.0</v>
      </c>
      <c r="E485" s="1" t="s">
        <v>57</v>
      </c>
      <c r="F485" s="1" t="s">
        <v>180</v>
      </c>
      <c r="G485" s="3">
        <v>1.0</v>
      </c>
      <c r="H485" s="3">
        <v>0.0</v>
      </c>
      <c r="I485" s="1"/>
      <c r="J485" s="3">
        <v>836.0</v>
      </c>
    </row>
    <row r="486">
      <c r="A486" s="3">
        <v>154.0</v>
      </c>
      <c r="B486" s="3">
        <v>154.0</v>
      </c>
      <c r="C486" s="3">
        <v>153.0</v>
      </c>
      <c r="D486" s="3">
        <v>1.0</v>
      </c>
      <c r="E486" s="1" t="s">
        <v>57</v>
      </c>
      <c r="F486" s="1" t="s">
        <v>181</v>
      </c>
      <c r="G486" s="3">
        <v>1.0</v>
      </c>
      <c r="H486" s="3">
        <v>0.0</v>
      </c>
      <c r="I486" s="1"/>
      <c r="J486" s="3">
        <v>836.0</v>
      </c>
    </row>
    <row r="487">
      <c r="A487" s="3">
        <v>155.0</v>
      </c>
      <c r="B487" s="3">
        <v>155.0</v>
      </c>
      <c r="C487" s="3">
        <v>163.0</v>
      </c>
      <c r="D487" s="3">
        <v>1.0</v>
      </c>
      <c r="E487" s="1" t="s">
        <v>57</v>
      </c>
      <c r="F487" s="3">
        <v>7.0</v>
      </c>
      <c r="G487" s="3">
        <v>1.0</v>
      </c>
      <c r="H487" s="3">
        <v>0.0</v>
      </c>
      <c r="I487" s="1"/>
      <c r="J487" s="3">
        <v>836.0</v>
      </c>
    </row>
    <row r="488">
      <c r="A488" s="3">
        <v>156.0</v>
      </c>
      <c r="B488" s="3">
        <v>156.0</v>
      </c>
      <c r="C488" s="3">
        <v>164.0</v>
      </c>
      <c r="D488" s="3">
        <v>1.0</v>
      </c>
      <c r="E488" s="1" t="s">
        <v>36</v>
      </c>
      <c r="F488" s="1"/>
      <c r="G488" s="3">
        <v>1.0</v>
      </c>
      <c r="H488" s="3">
        <v>0.0</v>
      </c>
      <c r="I488" s="1"/>
      <c r="J488" s="3">
        <v>836.0</v>
      </c>
    </row>
    <row r="489">
      <c r="A489" s="3">
        <v>157.0</v>
      </c>
      <c r="B489" s="3">
        <v>157.0</v>
      </c>
      <c r="C489" s="3">
        <v>174.0</v>
      </c>
      <c r="D489" s="3">
        <v>1.0</v>
      </c>
      <c r="E489" s="1" t="s">
        <v>182</v>
      </c>
      <c r="F489" s="3">
        <v>4.0</v>
      </c>
      <c r="G489" s="3">
        <v>1.0</v>
      </c>
      <c r="H489" s="3">
        <v>0.0</v>
      </c>
      <c r="I489" s="1"/>
      <c r="J489" s="3">
        <v>836.0</v>
      </c>
    </row>
    <row r="490">
      <c r="A490" s="3">
        <v>158.0</v>
      </c>
      <c r="B490" s="3">
        <v>158.0</v>
      </c>
      <c r="C490" s="3">
        <v>171.0</v>
      </c>
      <c r="D490" s="3">
        <v>1.0</v>
      </c>
      <c r="E490" s="1" t="s">
        <v>182</v>
      </c>
      <c r="F490" s="3">
        <v>1.0</v>
      </c>
      <c r="G490" s="3">
        <v>1.0</v>
      </c>
      <c r="H490" s="3">
        <v>0.0</v>
      </c>
      <c r="I490" s="1"/>
      <c r="J490" s="3">
        <v>836.0</v>
      </c>
    </row>
    <row r="491">
      <c r="A491" s="3">
        <v>159.0</v>
      </c>
      <c r="B491" s="3">
        <v>159.0</v>
      </c>
      <c r="C491" s="3">
        <v>984.0</v>
      </c>
      <c r="D491" s="3">
        <v>1.0</v>
      </c>
      <c r="E491" s="1" t="s">
        <v>183</v>
      </c>
      <c r="F491" s="3">
        <v>1.0</v>
      </c>
      <c r="G491" s="3">
        <v>1.0</v>
      </c>
      <c r="H491" s="3">
        <v>0.0</v>
      </c>
      <c r="I491" s="1"/>
      <c r="J491" s="3">
        <v>836.0</v>
      </c>
    </row>
    <row r="492">
      <c r="A492" s="3">
        <v>160.0</v>
      </c>
      <c r="B492" s="3">
        <v>160.0</v>
      </c>
      <c r="C492" s="3">
        <v>170.0</v>
      </c>
      <c r="D492" s="3">
        <v>1.0</v>
      </c>
      <c r="E492" s="1" t="s">
        <v>184</v>
      </c>
      <c r="F492" s="3">
        <v>3.0</v>
      </c>
      <c r="G492" s="3">
        <v>1.0</v>
      </c>
      <c r="H492" s="3">
        <v>0.0</v>
      </c>
      <c r="I492" s="1"/>
      <c r="J492" s="3">
        <v>836.0</v>
      </c>
    </row>
    <row r="493">
      <c r="A493" s="3">
        <v>161.0</v>
      </c>
      <c r="B493" s="3">
        <v>161.0</v>
      </c>
      <c r="C493" s="3">
        <v>167.0</v>
      </c>
      <c r="D493" s="3">
        <v>1.0</v>
      </c>
      <c r="E493" s="1" t="s">
        <v>184</v>
      </c>
      <c r="F493" s="1" t="s">
        <v>24</v>
      </c>
      <c r="G493" s="3">
        <v>1.0</v>
      </c>
      <c r="H493" s="3">
        <v>0.0</v>
      </c>
      <c r="I493" s="1"/>
      <c r="J493" s="3">
        <v>836.0</v>
      </c>
    </row>
    <row r="494">
      <c r="A494" s="3">
        <v>162.0</v>
      </c>
      <c r="B494" s="3">
        <v>162.0</v>
      </c>
      <c r="C494" s="3">
        <v>168.0</v>
      </c>
      <c r="D494" s="3">
        <v>1.0</v>
      </c>
      <c r="E494" s="1" t="s">
        <v>184</v>
      </c>
      <c r="F494" s="1" t="s">
        <v>25</v>
      </c>
      <c r="G494" s="3">
        <v>1.0</v>
      </c>
      <c r="H494" s="3">
        <v>0.0</v>
      </c>
      <c r="I494" s="1"/>
      <c r="J494" s="3">
        <v>836.0</v>
      </c>
    </row>
    <row r="495">
      <c r="A495" s="3">
        <v>163.0</v>
      </c>
      <c r="B495" s="3">
        <v>163.0</v>
      </c>
      <c r="C495" s="3">
        <v>985.0</v>
      </c>
      <c r="D495" s="3">
        <v>1.0</v>
      </c>
      <c r="E495" s="1" t="s">
        <v>183</v>
      </c>
      <c r="F495" s="3">
        <v>2.0</v>
      </c>
      <c r="G495" s="3">
        <v>1.0</v>
      </c>
      <c r="H495" s="3">
        <v>0.0</v>
      </c>
      <c r="I495" s="1"/>
      <c r="J495" s="3">
        <v>836.0</v>
      </c>
    </row>
    <row r="496">
      <c r="A496" s="3">
        <v>164.0</v>
      </c>
      <c r="B496" s="3">
        <v>164.0</v>
      </c>
      <c r="C496" s="3">
        <v>0.0</v>
      </c>
      <c r="D496" s="3">
        <v>1.0</v>
      </c>
      <c r="E496" s="1" t="s">
        <v>184</v>
      </c>
      <c r="F496" s="1" t="s">
        <v>161</v>
      </c>
      <c r="G496" s="3">
        <v>1.0</v>
      </c>
      <c r="H496" s="3">
        <v>0.0</v>
      </c>
      <c r="I496" s="1"/>
      <c r="J496" s="3">
        <v>836.0</v>
      </c>
    </row>
    <row r="497">
      <c r="A497" s="3">
        <v>165.0</v>
      </c>
      <c r="B497" s="3">
        <v>165.0</v>
      </c>
      <c r="C497" s="3">
        <v>169.0</v>
      </c>
      <c r="D497" s="3">
        <v>1.0</v>
      </c>
      <c r="E497" s="1" t="s">
        <v>184</v>
      </c>
      <c r="F497" s="1" t="s">
        <v>163</v>
      </c>
      <c r="G497" s="3">
        <v>1.0</v>
      </c>
      <c r="H497" s="3">
        <v>0.0</v>
      </c>
      <c r="I497" s="1"/>
      <c r="J497" s="3">
        <v>836.0</v>
      </c>
    </row>
    <row r="498">
      <c r="A498" s="3">
        <v>166.0</v>
      </c>
      <c r="B498" s="3">
        <v>166.0</v>
      </c>
      <c r="C498" s="3">
        <v>193.0</v>
      </c>
      <c r="D498" s="3">
        <v>1.0</v>
      </c>
      <c r="E498" s="1" t="s">
        <v>185</v>
      </c>
      <c r="F498" s="3">
        <v>14.0</v>
      </c>
      <c r="G498" s="3">
        <v>1.0</v>
      </c>
      <c r="H498" s="3">
        <v>0.0</v>
      </c>
      <c r="I498" s="1"/>
      <c r="J498" s="3">
        <v>836.0</v>
      </c>
    </row>
    <row r="499">
      <c r="A499" s="3">
        <v>167.0</v>
      </c>
      <c r="B499" s="3">
        <v>167.0</v>
      </c>
      <c r="C499" s="3">
        <v>191.0</v>
      </c>
      <c r="D499" s="3">
        <v>1.0</v>
      </c>
      <c r="E499" s="1" t="s">
        <v>185</v>
      </c>
      <c r="F499" s="3">
        <v>12.0</v>
      </c>
      <c r="G499" s="3">
        <v>1.0</v>
      </c>
      <c r="H499" s="3">
        <v>0.0</v>
      </c>
      <c r="I499" s="1"/>
      <c r="J499" s="3">
        <v>836.0</v>
      </c>
    </row>
    <row r="500">
      <c r="A500" s="3">
        <v>168.0</v>
      </c>
      <c r="B500" s="3">
        <v>168.0</v>
      </c>
      <c r="C500" s="3">
        <v>194.0</v>
      </c>
      <c r="D500" s="3">
        <v>1.0</v>
      </c>
      <c r="E500" s="1" t="s">
        <v>185</v>
      </c>
      <c r="F500" s="3">
        <v>15.0</v>
      </c>
      <c r="G500" s="3">
        <v>1.0</v>
      </c>
      <c r="H500" s="3">
        <v>0.0</v>
      </c>
      <c r="I500" s="1"/>
      <c r="J500" s="3">
        <v>836.0</v>
      </c>
    </row>
    <row r="501">
      <c r="A501" s="3">
        <v>169.0</v>
      </c>
      <c r="B501" s="3">
        <v>169.0</v>
      </c>
      <c r="C501" s="3">
        <v>177.0</v>
      </c>
      <c r="D501" s="3">
        <v>1.0</v>
      </c>
      <c r="E501" s="1" t="s">
        <v>186</v>
      </c>
      <c r="F501" s="1" t="s">
        <v>19</v>
      </c>
      <c r="G501" s="3">
        <v>1.0</v>
      </c>
      <c r="H501" s="3">
        <v>0.0</v>
      </c>
      <c r="I501" s="1"/>
      <c r="J501" s="3">
        <v>836.0</v>
      </c>
    </row>
    <row r="502">
      <c r="A502" s="3">
        <v>170.0</v>
      </c>
      <c r="B502" s="3">
        <v>170.0</v>
      </c>
      <c r="C502" s="3">
        <v>190.0</v>
      </c>
      <c r="D502" s="3">
        <v>1.0</v>
      </c>
      <c r="E502" s="1" t="s">
        <v>185</v>
      </c>
      <c r="F502" s="3">
        <v>11.0</v>
      </c>
      <c r="G502" s="3">
        <v>1.0</v>
      </c>
      <c r="H502" s="3">
        <v>0.0</v>
      </c>
      <c r="I502" s="1"/>
      <c r="J502" s="3">
        <v>836.0</v>
      </c>
    </row>
    <row r="503">
      <c r="A503" s="3">
        <v>171.0</v>
      </c>
      <c r="B503" s="3">
        <v>171.0</v>
      </c>
      <c r="C503" s="3">
        <v>192.0</v>
      </c>
      <c r="D503" s="3">
        <v>1.0</v>
      </c>
      <c r="E503" s="1" t="s">
        <v>185</v>
      </c>
      <c r="F503" s="3">
        <v>13.0</v>
      </c>
      <c r="G503" s="3">
        <v>1.0</v>
      </c>
      <c r="H503" s="3">
        <v>0.0</v>
      </c>
      <c r="I503" s="1"/>
      <c r="J503" s="3">
        <v>836.0</v>
      </c>
    </row>
    <row r="504">
      <c r="A504" s="3">
        <v>172.0</v>
      </c>
      <c r="B504" s="3">
        <v>172.0</v>
      </c>
      <c r="C504" s="3">
        <v>189.0</v>
      </c>
      <c r="D504" s="3">
        <v>1.0</v>
      </c>
      <c r="E504" s="1" t="s">
        <v>185</v>
      </c>
      <c r="F504" s="3">
        <v>10.0</v>
      </c>
      <c r="G504" s="3">
        <v>1.0</v>
      </c>
      <c r="H504" s="3">
        <v>0.0</v>
      </c>
      <c r="I504" s="1"/>
      <c r="J504" s="3">
        <v>836.0</v>
      </c>
    </row>
    <row r="505">
      <c r="A505" s="3">
        <v>173.0</v>
      </c>
      <c r="B505" s="3">
        <v>173.0</v>
      </c>
      <c r="C505" s="3">
        <v>176.0</v>
      </c>
      <c r="D505" s="3">
        <v>1.0</v>
      </c>
      <c r="E505" s="1" t="s">
        <v>186</v>
      </c>
      <c r="F505" s="1" t="s">
        <v>15</v>
      </c>
      <c r="G505" s="3">
        <v>1.0</v>
      </c>
      <c r="H505" s="3">
        <v>0.0</v>
      </c>
      <c r="I505" s="1"/>
      <c r="J505" s="3">
        <v>836.0</v>
      </c>
    </row>
    <row r="506">
      <c r="A506" s="3">
        <v>174.0</v>
      </c>
      <c r="B506" s="3">
        <v>174.0</v>
      </c>
      <c r="C506" s="3">
        <v>188.0</v>
      </c>
      <c r="D506" s="3">
        <v>1.0</v>
      </c>
      <c r="E506" s="1" t="s">
        <v>185</v>
      </c>
      <c r="F506" s="3">
        <v>9.0</v>
      </c>
      <c r="G506" s="3">
        <v>1.0</v>
      </c>
      <c r="H506" s="3">
        <v>0.0</v>
      </c>
      <c r="I506" s="1"/>
      <c r="J506" s="3">
        <v>836.0</v>
      </c>
    </row>
    <row r="507">
      <c r="A507" s="3">
        <v>175.0</v>
      </c>
      <c r="B507" s="3">
        <v>175.0</v>
      </c>
      <c r="C507" s="3">
        <v>184.0</v>
      </c>
      <c r="D507" s="3">
        <v>1.0</v>
      </c>
      <c r="E507" s="1" t="s">
        <v>185</v>
      </c>
      <c r="F507" s="3">
        <v>5.0</v>
      </c>
      <c r="G507" s="3">
        <v>1.0</v>
      </c>
      <c r="H507" s="3">
        <v>0.0</v>
      </c>
      <c r="I507" s="1"/>
      <c r="J507" s="3">
        <v>836.0</v>
      </c>
    </row>
    <row r="508">
      <c r="A508" s="3">
        <v>178.0</v>
      </c>
      <c r="B508" s="3">
        <v>178.0</v>
      </c>
      <c r="C508" s="3">
        <v>185.0</v>
      </c>
      <c r="D508" s="3">
        <v>1.0</v>
      </c>
      <c r="E508" s="1" t="s">
        <v>185</v>
      </c>
      <c r="F508" s="3">
        <v>6.0</v>
      </c>
      <c r="G508" s="3">
        <v>1.0</v>
      </c>
      <c r="H508" s="3">
        <v>0.0</v>
      </c>
      <c r="I508" s="1"/>
      <c r="J508" s="3">
        <v>836.0</v>
      </c>
    </row>
    <row r="509">
      <c r="A509" s="3">
        <v>179.0</v>
      </c>
      <c r="B509" s="3">
        <v>179.0</v>
      </c>
      <c r="C509" s="3">
        <v>182.0</v>
      </c>
      <c r="D509" s="3">
        <v>1.0</v>
      </c>
      <c r="E509" s="1" t="s">
        <v>185</v>
      </c>
      <c r="F509" s="3">
        <v>3.0</v>
      </c>
      <c r="G509" s="3">
        <v>1.0</v>
      </c>
      <c r="H509" s="3">
        <v>0.0</v>
      </c>
      <c r="I509" s="1"/>
      <c r="J509" s="3">
        <v>836.0</v>
      </c>
    </row>
    <row r="510">
      <c r="A510" s="3">
        <v>180.0</v>
      </c>
      <c r="B510" s="3">
        <v>180.0</v>
      </c>
      <c r="C510" s="3">
        <v>172.0</v>
      </c>
      <c r="D510" s="3">
        <v>1.0</v>
      </c>
      <c r="E510" s="1" t="s">
        <v>182</v>
      </c>
      <c r="F510" s="3">
        <v>2.0</v>
      </c>
      <c r="G510" s="3">
        <v>1.0</v>
      </c>
      <c r="H510" s="3">
        <v>0.0</v>
      </c>
      <c r="I510" s="1"/>
      <c r="J510" s="3">
        <v>836.0</v>
      </c>
    </row>
    <row r="511">
      <c r="A511" s="3">
        <v>181.0</v>
      </c>
      <c r="B511" s="3">
        <v>181.0</v>
      </c>
      <c r="C511" s="3">
        <v>183.0</v>
      </c>
      <c r="D511" s="3">
        <v>1.0</v>
      </c>
      <c r="E511" s="1" t="s">
        <v>185</v>
      </c>
      <c r="F511" s="3">
        <v>4.0</v>
      </c>
      <c r="G511" s="3">
        <v>1.0</v>
      </c>
      <c r="H511" s="3">
        <v>0.0</v>
      </c>
      <c r="I511" s="1"/>
      <c r="J511" s="3">
        <v>836.0</v>
      </c>
    </row>
    <row r="512">
      <c r="A512" s="3">
        <v>182.0</v>
      </c>
      <c r="B512" s="3">
        <v>182.0</v>
      </c>
      <c r="C512" s="3">
        <v>186.0</v>
      </c>
      <c r="D512" s="3">
        <v>1.0</v>
      </c>
      <c r="E512" s="1" t="s">
        <v>185</v>
      </c>
      <c r="F512" s="3">
        <v>7.0</v>
      </c>
      <c r="G512" s="3">
        <v>1.0</v>
      </c>
      <c r="H512" s="3">
        <v>0.0</v>
      </c>
      <c r="I512" s="1"/>
      <c r="J512" s="3">
        <v>836.0</v>
      </c>
    </row>
    <row r="513">
      <c r="A513" s="3">
        <v>183.0</v>
      </c>
      <c r="B513" s="3">
        <v>183.0</v>
      </c>
      <c r="C513" s="3">
        <v>187.0</v>
      </c>
      <c r="D513" s="3">
        <v>1.0</v>
      </c>
      <c r="E513" s="1" t="s">
        <v>185</v>
      </c>
      <c r="F513" s="3">
        <v>8.0</v>
      </c>
      <c r="G513" s="3">
        <v>1.0</v>
      </c>
      <c r="H513" s="3">
        <v>0.0</v>
      </c>
      <c r="I513" s="1"/>
      <c r="J513" s="3">
        <v>836.0</v>
      </c>
    </row>
    <row r="514">
      <c r="A514" s="3">
        <v>184.0</v>
      </c>
      <c r="B514" s="3">
        <v>184.0</v>
      </c>
      <c r="C514" s="3">
        <v>181.0</v>
      </c>
      <c r="D514" s="3">
        <v>1.0</v>
      </c>
      <c r="E514" s="1" t="s">
        <v>185</v>
      </c>
      <c r="F514" s="3">
        <v>2.0</v>
      </c>
      <c r="G514" s="3">
        <v>1.0</v>
      </c>
      <c r="H514" s="3">
        <v>0.0</v>
      </c>
      <c r="I514" s="1"/>
      <c r="J514" s="3">
        <v>836.0</v>
      </c>
    </row>
    <row r="515">
      <c r="A515" s="3">
        <v>185.0</v>
      </c>
      <c r="B515" s="3">
        <v>185.0</v>
      </c>
      <c r="C515" s="3">
        <v>0.0</v>
      </c>
      <c r="D515" s="3">
        <v>1.0</v>
      </c>
      <c r="E515" s="1" t="s">
        <v>185</v>
      </c>
      <c r="F515" s="1" t="s">
        <v>93</v>
      </c>
      <c r="G515" s="3">
        <v>1.0</v>
      </c>
      <c r="H515" s="3">
        <v>0.0</v>
      </c>
      <c r="I515" s="1"/>
      <c r="J515" s="3">
        <v>836.0</v>
      </c>
    </row>
    <row r="516">
      <c r="A516" s="3">
        <v>186.0</v>
      </c>
      <c r="B516" s="3">
        <v>186.0</v>
      </c>
      <c r="C516" s="3">
        <v>180.0</v>
      </c>
      <c r="D516" s="3">
        <v>1.0</v>
      </c>
      <c r="E516" s="1" t="s">
        <v>185</v>
      </c>
      <c r="F516" s="3">
        <v>1.0</v>
      </c>
      <c r="G516" s="3">
        <v>1.0</v>
      </c>
      <c r="H516" s="3">
        <v>0.0</v>
      </c>
      <c r="I516" s="1"/>
      <c r="J516" s="3">
        <v>836.0</v>
      </c>
    </row>
    <row r="517">
      <c r="A517" s="3">
        <v>187.0</v>
      </c>
      <c r="B517" s="3">
        <v>187.0</v>
      </c>
      <c r="C517" s="3">
        <v>173.0</v>
      </c>
      <c r="D517" s="3">
        <v>1.0</v>
      </c>
      <c r="E517" s="1" t="s">
        <v>182</v>
      </c>
      <c r="F517" s="3">
        <v>3.0</v>
      </c>
      <c r="G517" s="3">
        <v>1.0</v>
      </c>
      <c r="H517" s="3">
        <v>0.0</v>
      </c>
      <c r="I517" s="1"/>
      <c r="J517" s="3">
        <v>836.0</v>
      </c>
    </row>
    <row r="518">
      <c r="A518" s="3">
        <v>188.0</v>
      </c>
      <c r="B518" s="3">
        <v>188.0</v>
      </c>
      <c r="C518" s="3">
        <v>200.0</v>
      </c>
      <c r="D518" s="3">
        <v>1.0</v>
      </c>
      <c r="E518" s="1" t="s">
        <v>187</v>
      </c>
      <c r="F518" s="1" t="s">
        <v>188</v>
      </c>
      <c r="G518" s="3">
        <v>1.0</v>
      </c>
      <c r="H518" s="3">
        <v>0.0</v>
      </c>
      <c r="I518" s="1"/>
      <c r="J518" s="3">
        <v>836.0</v>
      </c>
    </row>
    <row r="519">
      <c r="A519" s="3">
        <v>189.0</v>
      </c>
      <c r="B519" s="3">
        <v>189.0</v>
      </c>
      <c r="C519" s="3">
        <v>202.0</v>
      </c>
      <c r="D519" s="3">
        <v>1.0</v>
      </c>
      <c r="E519" s="1" t="s">
        <v>187</v>
      </c>
      <c r="F519" s="1" t="s">
        <v>189</v>
      </c>
      <c r="G519" s="3">
        <v>1.0</v>
      </c>
      <c r="H519" s="3">
        <v>0.0</v>
      </c>
      <c r="I519" s="1"/>
      <c r="J519" s="3">
        <v>836.0</v>
      </c>
    </row>
    <row r="520">
      <c r="A520" s="3">
        <v>190.0</v>
      </c>
      <c r="B520" s="3">
        <v>190.0</v>
      </c>
      <c r="C520" s="3">
        <v>198.0</v>
      </c>
      <c r="D520" s="3">
        <v>1.0</v>
      </c>
      <c r="E520" s="1" t="s">
        <v>187</v>
      </c>
      <c r="F520" s="1" t="s">
        <v>126</v>
      </c>
      <c r="G520" s="3">
        <v>1.0</v>
      </c>
      <c r="H520" s="3">
        <v>0.0</v>
      </c>
      <c r="I520" s="1"/>
      <c r="J520" s="3">
        <v>836.0</v>
      </c>
    </row>
    <row r="521">
      <c r="A521" s="3">
        <v>192.0</v>
      </c>
      <c r="B521" s="3">
        <v>192.0</v>
      </c>
      <c r="C521" s="3">
        <v>195.0</v>
      </c>
      <c r="D521" s="3">
        <v>1.0</v>
      </c>
      <c r="E521" s="1" t="s">
        <v>187</v>
      </c>
      <c r="F521" s="1" t="s">
        <v>15</v>
      </c>
      <c r="G521" s="3">
        <v>1.0</v>
      </c>
      <c r="H521" s="3">
        <v>0.0</v>
      </c>
      <c r="I521" s="1"/>
      <c r="J521" s="3">
        <v>836.0</v>
      </c>
    </row>
    <row r="522">
      <c r="A522" s="3">
        <v>193.0</v>
      </c>
      <c r="B522" s="3">
        <v>193.0</v>
      </c>
      <c r="C522" s="3">
        <v>197.0</v>
      </c>
      <c r="D522" s="3">
        <v>1.0</v>
      </c>
      <c r="E522" s="1" t="s">
        <v>187</v>
      </c>
      <c r="F522" s="1" t="s">
        <v>35</v>
      </c>
      <c r="G522" s="3">
        <v>1.0</v>
      </c>
      <c r="H522" s="3">
        <v>0.0</v>
      </c>
      <c r="I522" s="1"/>
      <c r="J522" s="3">
        <v>836.0</v>
      </c>
    </row>
    <row r="523">
      <c r="A523" s="3">
        <v>194.0</v>
      </c>
      <c r="B523" s="3">
        <v>194.0</v>
      </c>
      <c r="C523" s="3">
        <v>196.0</v>
      </c>
      <c r="D523" s="3">
        <v>1.0</v>
      </c>
      <c r="E523" s="1" t="s">
        <v>187</v>
      </c>
      <c r="F523" s="1" t="s">
        <v>19</v>
      </c>
      <c r="G523" s="3">
        <v>1.0</v>
      </c>
      <c r="H523" s="3">
        <v>0.0</v>
      </c>
      <c r="I523" s="1"/>
      <c r="J523" s="3">
        <v>836.0</v>
      </c>
    </row>
    <row r="524">
      <c r="A524" s="3">
        <v>195.0</v>
      </c>
      <c r="B524" s="3">
        <v>195.0</v>
      </c>
      <c r="C524" s="3">
        <v>0.0</v>
      </c>
      <c r="D524" s="3">
        <v>1.0</v>
      </c>
      <c r="E524" s="1" t="s">
        <v>187</v>
      </c>
      <c r="F524" s="1" t="s">
        <v>69</v>
      </c>
      <c r="G524" s="3">
        <v>1.0</v>
      </c>
      <c r="H524" s="3">
        <v>0.0</v>
      </c>
      <c r="I524" s="1"/>
      <c r="J524" s="3">
        <v>836.0</v>
      </c>
    </row>
    <row r="525">
      <c r="A525" s="3">
        <v>196.0</v>
      </c>
      <c r="B525" s="3">
        <v>196.0</v>
      </c>
      <c r="C525" s="3">
        <v>883.0</v>
      </c>
      <c r="D525" s="3">
        <v>1.0</v>
      </c>
      <c r="E525" s="1" t="s">
        <v>190</v>
      </c>
      <c r="F525" s="3">
        <v>2.0</v>
      </c>
      <c r="G525" s="3">
        <v>1.0</v>
      </c>
      <c r="H525" s="3">
        <v>0.0</v>
      </c>
      <c r="I525" s="1"/>
      <c r="J525" s="3">
        <v>836.0</v>
      </c>
    </row>
    <row r="526">
      <c r="A526" s="3">
        <v>197.0</v>
      </c>
      <c r="B526" s="3">
        <v>197.0</v>
      </c>
      <c r="C526" s="3">
        <v>882.0</v>
      </c>
      <c r="D526" s="3">
        <v>1.0</v>
      </c>
      <c r="E526" s="1" t="s">
        <v>190</v>
      </c>
      <c r="F526" s="3">
        <v>1.0</v>
      </c>
      <c r="G526" s="3">
        <v>1.0</v>
      </c>
      <c r="H526" s="3">
        <v>0.0</v>
      </c>
      <c r="I526" s="1"/>
      <c r="J526" s="3">
        <v>836.0</v>
      </c>
    </row>
    <row r="527">
      <c r="A527" s="3">
        <v>198.0</v>
      </c>
      <c r="B527" s="3">
        <v>198.0</v>
      </c>
      <c r="C527" s="3">
        <v>239.0</v>
      </c>
      <c r="D527" s="3">
        <v>1.0</v>
      </c>
      <c r="E527" s="1" t="s">
        <v>10</v>
      </c>
      <c r="F527" s="3">
        <v>2.0</v>
      </c>
      <c r="G527" s="3">
        <v>1.0</v>
      </c>
      <c r="H527" s="3">
        <v>0.0</v>
      </c>
      <c r="I527" s="1"/>
      <c r="J527" s="3">
        <v>836.0</v>
      </c>
    </row>
    <row r="528">
      <c r="A528" s="3">
        <v>199.0</v>
      </c>
      <c r="B528" s="3">
        <v>199.0</v>
      </c>
      <c r="C528" s="3">
        <v>199.0</v>
      </c>
      <c r="D528" s="3">
        <v>1.0</v>
      </c>
      <c r="E528" s="1" t="s">
        <v>187</v>
      </c>
      <c r="F528" s="1" t="s">
        <v>37</v>
      </c>
      <c r="G528" s="3">
        <v>1.0</v>
      </c>
      <c r="H528" s="3">
        <v>0.0</v>
      </c>
      <c r="I528" s="1"/>
      <c r="J528" s="3">
        <v>836.0</v>
      </c>
    </row>
    <row r="529">
      <c r="A529" s="3">
        <v>200.0</v>
      </c>
      <c r="B529" s="3">
        <v>200.0</v>
      </c>
      <c r="C529" s="3">
        <v>241.0</v>
      </c>
      <c r="D529" s="3">
        <v>1.0</v>
      </c>
      <c r="E529" s="1" t="s">
        <v>10</v>
      </c>
      <c r="F529" s="1" t="s">
        <v>127</v>
      </c>
      <c r="G529" s="3">
        <v>1.0</v>
      </c>
      <c r="H529" s="3">
        <v>0.0</v>
      </c>
      <c r="I529" s="1"/>
      <c r="J529" s="3">
        <v>836.0</v>
      </c>
    </row>
    <row r="530">
      <c r="A530" s="3">
        <v>201.0</v>
      </c>
      <c r="B530" s="3">
        <v>201.0</v>
      </c>
      <c r="C530" s="3">
        <v>1008.0</v>
      </c>
      <c r="D530" s="3">
        <v>1.0</v>
      </c>
      <c r="E530" s="2" t="s">
        <v>191</v>
      </c>
      <c r="F530" s="1"/>
      <c r="G530" s="3">
        <v>1.0</v>
      </c>
      <c r="H530" s="3">
        <v>0.0</v>
      </c>
      <c r="I530" s="1"/>
      <c r="J530" s="3">
        <v>836.0</v>
      </c>
    </row>
    <row r="531">
      <c r="A531" s="3">
        <v>202.0</v>
      </c>
      <c r="B531" s="3">
        <v>202.0</v>
      </c>
      <c r="C531" s="3">
        <v>238.0</v>
      </c>
      <c r="D531" s="3">
        <v>1.0</v>
      </c>
      <c r="E531" s="1" t="s">
        <v>10</v>
      </c>
      <c r="F531" s="3">
        <v>1.0</v>
      </c>
      <c r="G531" s="3">
        <v>1.0</v>
      </c>
      <c r="H531" s="3">
        <v>0.0</v>
      </c>
      <c r="I531" s="1"/>
      <c r="J531" s="3">
        <v>836.0</v>
      </c>
    </row>
    <row r="532">
      <c r="A532" s="3">
        <v>204.0</v>
      </c>
      <c r="B532" s="3">
        <v>204.0</v>
      </c>
      <c r="C532" s="3">
        <v>212.0</v>
      </c>
      <c r="D532" s="3">
        <v>1.0</v>
      </c>
      <c r="E532" s="1" t="s">
        <v>192</v>
      </c>
      <c r="F532" s="3">
        <v>1.0</v>
      </c>
      <c r="G532" s="3">
        <v>1.0</v>
      </c>
      <c r="H532" s="3">
        <v>0.0</v>
      </c>
      <c r="I532" s="1"/>
      <c r="J532" s="3">
        <v>836.0</v>
      </c>
    </row>
    <row r="533">
      <c r="A533" s="3">
        <v>205.0</v>
      </c>
      <c r="B533" s="3">
        <v>205.0</v>
      </c>
      <c r="C533" s="3">
        <v>213.0</v>
      </c>
      <c r="D533" s="3">
        <v>1.0</v>
      </c>
      <c r="E533" s="1" t="s">
        <v>192</v>
      </c>
      <c r="F533" s="3">
        <v>2.0</v>
      </c>
      <c r="G533" s="3">
        <v>1.0</v>
      </c>
      <c r="H533" s="3">
        <v>0.0</v>
      </c>
      <c r="I533" s="1"/>
      <c r="J533" s="3">
        <v>836.0</v>
      </c>
    </row>
    <row r="534">
      <c r="A534" s="3">
        <v>206.0</v>
      </c>
      <c r="B534" s="3">
        <v>206.0</v>
      </c>
      <c r="C534" s="3">
        <v>203.0</v>
      </c>
      <c r="D534" s="3">
        <v>1.0</v>
      </c>
      <c r="E534" s="1" t="s">
        <v>193</v>
      </c>
      <c r="F534" s="3">
        <v>1.0</v>
      </c>
      <c r="G534" s="3">
        <v>1.0</v>
      </c>
      <c r="H534" s="3">
        <v>0.0</v>
      </c>
      <c r="I534" s="1"/>
      <c r="J534" s="3">
        <v>836.0</v>
      </c>
    </row>
    <row r="535">
      <c r="A535" s="3">
        <v>207.0</v>
      </c>
      <c r="B535" s="3">
        <v>207.0</v>
      </c>
      <c r="C535" s="3">
        <v>204.0</v>
      </c>
      <c r="D535" s="3">
        <v>1.0</v>
      </c>
      <c r="E535" s="1" t="s">
        <v>193</v>
      </c>
      <c r="F535" s="3">
        <v>2.0</v>
      </c>
      <c r="G535" s="3">
        <v>1.0</v>
      </c>
      <c r="H535" s="3">
        <v>0.0</v>
      </c>
      <c r="I535" s="1"/>
      <c r="J535" s="3">
        <v>836.0</v>
      </c>
    </row>
    <row r="536">
      <c r="A536" s="3">
        <v>208.0</v>
      </c>
      <c r="B536" s="3">
        <v>208.0</v>
      </c>
      <c r="C536" s="3">
        <v>205.0</v>
      </c>
      <c r="D536" s="3">
        <v>1.0</v>
      </c>
      <c r="E536" s="1" t="s">
        <v>193</v>
      </c>
      <c r="F536" s="3">
        <v>3.0</v>
      </c>
      <c r="G536" s="3">
        <v>1.0</v>
      </c>
      <c r="H536" s="3">
        <v>0.0</v>
      </c>
      <c r="I536" s="1"/>
      <c r="J536" s="3">
        <v>836.0</v>
      </c>
    </row>
    <row r="537">
      <c r="A537" s="3">
        <v>209.0</v>
      </c>
      <c r="B537" s="3">
        <v>209.0</v>
      </c>
      <c r="C537" s="3">
        <v>925.0</v>
      </c>
      <c r="D537" s="3">
        <v>1.0</v>
      </c>
      <c r="E537" s="1" t="s">
        <v>194</v>
      </c>
      <c r="F537" s="1" t="s">
        <v>126</v>
      </c>
      <c r="G537" s="3">
        <v>1.0</v>
      </c>
      <c r="H537" s="3">
        <v>0.0</v>
      </c>
      <c r="I537" s="1"/>
      <c r="J537" s="3">
        <v>836.0</v>
      </c>
    </row>
    <row r="538">
      <c r="A538" s="3">
        <v>210.0</v>
      </c>
      <c r="B538" s="3">
        <v>210.0</v>
      </c>
      <c r="C538" s="3">
        <v>926.0</v>
      </c>
      <c r="D538" s="3">
        <v>1.0</v>
      </c>
      <c r="E538" s="1" t="s">
        <v>194</v>
      </c>
      <c r="F538" s="1" t="s">
        <v>37</v>
      </c>
      <c r="G538" s="3">
        <v>1.0</v>
      </c>
      <c r="H538" s="3">
        <v>0.0</v>
      </c>
      <c r="I538" s="1"/>
      <c r="J538" s="3">
        <v>836.0</v>
      </c>
    </row>
    <row r="539">
      <c r="A539" s="3">
        <v>211.0</v>
      </c>
      <c r="B539" s="3">
        <v>211.0</v>
      </c>
      <c r="C539" s="3">
        <v>927.0</v>
      </c>
      <c r="D539" s="3">
        <v>1.0</v>
      </c>
      <c r="E539" s="1" t="s">
        <v>194</v>
      </c>
      <c r="F539" s="1" t="s">
        <v>188</v>
      </c>
      <c r="G539" s="3">
        <v>1.0</v>
      </c>
      <c r="H539" s="3">
        <v>0.0</v>
      </c>
      <c r="I539" s="1"/>
      <c r="J539" s="3">
        <v>836.0</v>
      </c>
    </row>
    <row r="540">
      <c r="A540" s="3">
        <v>212.0</v>
      </c>
      <c r="B540" s="3">
        <v>212.0</v>
      </c>
      <c r="C540" s="3">
        <v>366.0</v>
      </c>
      <c r="D540" s="3">
        <v>1.0</v>
      </c>
      <c r="E540" s="1" t="s">
        <v>194</v>
      </c>
      <c r="F540" s="1" t="s">
        <v>15</v>
      </c>
      <c r="G540" s="3">
        <v>1.0</v>
      </c>
      <c r="H540" s="3">
        <v>0.0</v>
      </c>
      <c r="I540" s="1"/>
      <c r="J540" s="3">
        <v>836.0</v>
      </c>
    </row>
    <row r="541">
      <c r="A541" s="3">
        <v>213.0</v>
      </c>
      <c r="B541" s="3">
        <v>213.0</v>
      </c>
      <c r="C541" s="3">
        <v>924.0</v>
      </c>
      <c r="D541" s="3">
        <v>1.0</v>
      </c>
      <c r="E541" s="1" t="s">
        <v>194</v>
      </c>
      <c r="F541" s="1" t="s">
        <v>35</v>
      </c>
      <c r="G541" s="3">
        <v>1.0</v>
      </c>
      <c r="H541" s="3">
        <v>0.0</v>
      </c>
      <c r="I541" s="1"/>
      <c r="J541" s="3">
        <v>836.0</v>
      </c>
    </row>
    <row r="542">
      <c r="A542" s="3">
        <v>214.0</v>
      </c>
      <c r="B542" s="3">
        <v>214.0</v>
      </c>
      <c r="C542" s="3">
        <v>354.0</v>
      </c>
      <c r="D542" s="3">
        <v>1.0</v>
      </c>
      <c r="E542" s="2" t="s">
        <v>195</v>
      </c>
      <c r="F542" s="1"/>
      <c r="G542" s="3">
        <v>1.0</v>
      </c>
      <c r="H542" s="3">
        <v>0.0</v>
      </c>
      <c r="I542" s="1"/>
      <c r="J542" s="3">
        <v>836.0</v>
      </c>
    </row>
    <row r="543">
      <c r="A543" s="3">
        <v>216.0</v>
      </c>
      <c r="B543" s="3">
        <v>216.0</v>
      </c>
      <c r="C543" s="3">
        <v>986.0</v>
      </c>
      <c r="D543" s="3">
        <v>1.0</v>
      </c>
      <c r="E543" s="1" t="s">
        <v>196</v>
      </c>
      <c r="F543" s="1"/>
      <c r="G543" s="3">
        <v>1.0</v>
      </c>
      <c r="H543" s="3">
        <v>0.0</v>
      </c>
      <c r="I543" s="1"/>
      <c r="J543" s="3">
        <v>836.0</v>
      </c>
    </row>
    <row r="544">
      <c r="A544" s="3">
        <v>374.0</v>
      </c>
      <c r="B544" s="3">
        <v>374.0</v>
      </c>
      <c r="C544" s="3">
        <v>0.0</v>
      </c>
      <c r="D544" s="3">
        <v>1.0</v>
      </c>
      <c r="E544" s="1" t="s">
        <v>187</v>
      </c>
      <c r="F544" s="1" t="s">
        <v>197</v>
      </c>
      <c r="G544" s="3">
        <v>1.0</v>
      </c>
      <c r="H544" s="3">
        <v>0.0</v>
      </c>
      <c r="I544" s="1"/>
      <c r="J544" s="3">
        <v>836.0</v>
      </c>
    </row>
    <row r="545">
      <c r="A545" s="3">
        <v>375.0</v>
      </c>
      <c r="B545" s="3">
        <v>375.0</v>
      </c>
      <c r="C545" s="3">
        <v>32.0</v>
      </c>
      <c r="D545" s="3">
        <v>1.0</v>
      </c>
      <c r="E545" s="1" t="s">
        <v>142</v>
      </c>
      <c r="F545" s="1" t="s">
        <v>147</v>
      </c>
      <c r="G545" s="3">
        <v>1.0</v>
      </c>
      <c r="H545" s="3">
        <v>0.0</v>
      </c>
      <c r="I545" s="1"/>
      <c r="J545" s="3">
        <v>836.0</v>
      </c>
    </row>
    <row r="546">
      <c r="A546" s="3">
        <v>376.0</v>
      </c>
      <c r="B546" s="3">
        <v>376.0</v>
      </c>
      <c r="C546" s="3">
        <v>15.0</v>
      </c>
      <c r="D546" s="3">
        <v>1.0</v>
      </c>
      <c r="E546" s="1" t="s">
        <v>123</v>
      </c>
      <c r="F546" s="3">
        <v>2.2</v>
      </c>
      <c r="G546" s="3">
        <v>1.0</v>
      </c>
      <c r="H546" s="3">
        <v>0.0</v>
      </c>
      <c r="I546" s="1"/>
      <c r="J546" s="3">
        <v>836.0</v>
      </c>
    </row>
    <row r="547">
      <c r="A547" s="3">
        <v>377.0</v>
      </c>
      <c r="B547" s="3">
        <v>377.0</v>
      </c>
      <c r="C547" s="3">
        <v>14.0</v>
      </c>
      <c r="D547" s="3">
        <v>1.0</v>
      </c>
      <c r="E547" s="1" t="s">
        <v>123</v>
      </c>
      <c r="F547" s="3">
        <v>1.4</v>
      </c>
      <c r="G547" s="3">
        <v>1.0</v>
      </c>
      <c r="H547" s="3">
        <v>0.0</v>
      </c>
      <c r="I547" s="1"/>
      <c r="J547" s="3">
        <v>836.0</v>
      </c>
    </row>
    <row r="548">
      <c r="A548" s="3">
        <v>378.0</v>
      </c>
      <c r="B548" s="3">
        <v>378.0</v>
      </c>
      <c r="C548" s="3">
        <v>14.0</v>
      </c>
      <c r="D548" s="3">
        <v>1.0</v>
      </c>
      <c r="E548" s="1" t="s">
        <v>123</v>
      </c>
      <c r="F548" s="3">
        <v>1.3</v>
      </c>
      <c r="G548" s="3">
        <v>1.0</v>
      </c>
      <c r="H548" s="3">
        <v>0.0</v>
      </c>
      <c r="I548" s="1"/>
      <c r="J548" s="3">
        <v>836.0</v>
      </c>
    </row>
    <row r="549">
      <c r="A549" s="3">
        <v>379.0</v>
      </c>
      <c r="B549" s="3">
        <v>379.0</v>
      </c>
      <c r="C549" s="3">
        <v>14.0</v>
      </c>
      <c r="D549" s="3">
        <v>1.0</v>
      </c>
      <c r="E549" s="1" t="s">
        <v>123</v>
      </c>
      <c r="F549" s="3">
        <v>1.2</v>
      </c>
      <c r="G549" s="3">
        <v>1.0</v>
      </c>
      <c r="H549" s="3">
        <v>0.0</v>
      </c>
      <c r="I549" s="1"/>
      <c r="J549" s="3">
        <v>836.0</v>
      </c>
    </row>
    <row r="550">
      <c r="A550" s="3">
        <v>380.0</v>
      </c>
      <c r="B550" s="3">
        <v>380.0</v>
      </c>
      <c r="C550" s="3">
        <v>369.0</v>
      </c>
      <c r="D550" s="3">
        <v>1.0</v>
      </c>
      <c r="E550" s="1" t="s">
        <v>198</v>
      </c>
      <c r="F550" s="3">
        <v>1.0</v>
      </c>
      <c r="G550" s="3">
        <v>1.0</v>
      </c>
      <c r="H550" s="3">
        <v>0.0</v>
      </c>
      <c r="I550" s="1"/>
      <c r="J550" s="3">
        <v>836.0</v>
      </c>
    </row>
    <row r="551">
      <c r="A551" s="3">
        <v>381.0</v>
      </c>
      <c r="B551" s="3">
        <v>381.0</v>
      </c>
      <c r="C551" s="3">
        <v>0.0</v>
      </c>
      <c r="D551" s="3">
        <v>1.0</v>
      </c>
      <c r="E551" s="1" t="s">
        <v>199</v>
      </c>
      <c r="F551" s="1" t="s">
        <v>93</v>
      </c>
      <c r="G551" s="3">
        <v>1.0</v>
      </c>
      <c r="H551" s="3">
        <v>0.0</v>
      </c>
      <c r="I551" s="1"/>
      <c r="J551" s="3">
        <v>836.0</v>
      </c>
    </row>
    <row r="552">
      <c r="A552" s="3">
        <v>382.0</v>
      </c>
      <c r="B552" s="3">
        <v>382.0</v>
      </c>
      <c r="C552" s="3">
        <v>0.0</v>
      </c>
      <c r="D552" s="3">
        <v>1.0</v>
      </c>
      <c r="E552" s="1" t="s">
        <v>157</v>
      </c>
      <c r="F552" s="1" t="s">
        <v>93</v>
      </c>
      <c r="G552" s="3">
        <v>1.0</v>
      </c>
      <c r="H552" s="3">
        <v>0.0</v>
      </c>
      <c r="I552" s="1"/>
      <c r="J552" s="3">
        <v>836.0</v>
      </c>
    </row>
    <row r="553">
      <c r="A553" s="3">
        <v>390.0</v>
      </c>
      <c r="B553" s="3">
        <v>390.0</v>
      </c>
      <c r="C553" s="3">
        <v>367.0</v>
      </c>
      <c r="D553" s="3">
        <v>1.0</v>
      </c>
      <c r="E553" s="1" t="s">
        <v>194</v>
      </c>
      <c r="F553" s="1" t="s">
        <v>19</v>
      </c>
      <c r="G553" s="3">
        <v>1.0</v>
      </c>
      <c r="H553" s="3">
        <v>0.0</v>
      </c>
      <c r="I553" s="1"/>
      <c r="J553" s="3">
        <v>836.0</v>
      </c>
    </row>
    <row r="554">
      <c r="A554" s="3">
        <v>391.0</v>
      </c>
      <c r="B554" s="3">
        <v>391.0</v>
      </c>
      <c r="C554" s="3">
        <v>0.0</v>
      </c>
      <c r="D554" s="3">
        <v>1.0</v>
      </c>
      <c r="E554" s="1" t="s">
        <v>194</v>
      </c>
      <c r="F554" s="1" t="s">
        <v>200</v>
      </c>
      <c r="G554" s="3">
        <v>1.0</v>
      </c>
      <c r="H554" s="3">
        <v>0.0</v>
      </c>
      <c r="I554" s="1"/>
      <c r="J554" s="3">
        <v>836.0</v>
      </c>
    </row>
    <row r="555">
      <c r="A555" s="3">
        <v>392.0</v>
      </c>
      <c r="B555" s="3">
        <v>392.0</v>
      </c>
      <c r="C555" s="3">
        <v>0.0</v>
      </c>
      <c r="D555" s="3">
        <v>1.0</v>
      </c>
      <c r="E555" s="1" t="s">
        <v>61</v>
      </c>
      <c r="F555" s="1" t="s">
        <v>35</v>
      </c>
      <c r="G555" s="3">
        <v>1.0</v>
      </c>
      <c r="H555" s="3">
        <v>0.0</v>
      </c>
      <c r="I555" s="1"/>
      <c r="J555" s="3">
        <v>836.0</v>
      </c>
    </row>
    <row r="556">
      <c r="A556" s="3">
        <v>400.0</v>
      </c>
      <c r="B556" s="3">
        <v>400.0</v>
      </c>
      <c r="C556" s="3">
        <v>443.0</v>
      </c>
      <c r="D556" s="3">
        <v>1.0</v>
      </c>
      <c r="E556" s="1" t="s">
        <v>201</v>
      </c>
      <c r="F556" s="1" t="s">
        <v>24</v>
      </c>
      <c r="G556" s="3">
        <v>1.0</v>
      </c>
      <c r="H556" s="3">
        <v>0.0</v>
      </c>
      <c r="I556" s="1"/>
      <c r="J556" s="3">
        <v>836.0</v>
      </c>
    </row>
    <row r="557">
      <c r="A557" s="3">
        <v>401.0</v>
      </c>
      <c r="B557" s="3">
        <v>401.0</v>
      </c>
      <c r="C557" s="3">
        <v>444.0</v>
      </c>
      <c r="D557" s="3">
        <v>1.0</v>
      </c>
      <c r="E557" s="1" t="s">
        <v>201</v>
      </c>
      <c r="F557" s="1" t="s">
        <v>25</v>
      </c>
      <c r="G557" s="3">
        <v>1.0</v>
      </c>
      <c r="H557" s="3">
        <v>0.0</v>
      </c>
      <c r="I557" s="1"/>
      <c r="J557" s="3">
        <v>836.0</v>
      </c>
    </row>
    <row r="558">
      <c r="A558" s="3">
        <v>402.0</v>
      </c>
      <c r="B558" s="3">
        <v>402.0</v>
      </c>
      <c r="C558" s="3">
        <v>445.0</v>
      </c>
      <c r="D558" s="3">
        <v>1.0</v>
      </c>
      <c r="E558" s="1" t="s">
        <v>201</v>
      </c>
      <c r="F558" s="1" t="s">
        <v>26</v>
      </c>
      <c r="G558" s="3">
        <v>1.0</v>
      </c>
      <c r="H558" s="3">
        <v>0.0</v>
      </c>
      <c r="I558" s="1"/>
      <c r="J558" s="3">
        <v>836.0</v>
      </c>
    </row>
    <row r="559">
      <c r="A559" s="3">
        <v>403.0</v>
      </c>
      <c r="B559" s="3">
        <v>403.0</v>
      </c>
      <c r="C559" s="3">
        <v>446.0</v>
      </c>
      <c r="D559" s="3">
        <v>1.0</v>
      </c>
      <c r="E559" s="1" t="s">
        <v>201</v>
      </c>
      <c r="F559" s="1" t="s">
        <v>27</v>
      </c>
      <c r="G559" s="3">
        <v>1.0</v>
      </c>
      <c r="H559" s="3">
        <v>0.0</v>
      </c>
      <c r="I559" s="1"/>
      <c r="J559" s="3">
        <v>836.0</v>
      </c>
    </row>
    <row r="560">
      <c r="A560" s="3">
        <v>404.0</v>
      </c>
      <c r="B560" s="3">
        <v>404.0</v>
      </c>
      <c r="C560" s="3">
        <v>447.0</v>
      </c>
      <c r="D560" s="3">
        <v>1.0</v>
      </c>
      <c r="E560" s="1" t="s">
        <v>201</v>
      </c>
      <c r="F560" s="1" t="s">
        <v>163</v>
      </c>
      <c r="G560" s="3">
        <v>1.0</v>
      </c>
      <c r="H560" s="3">
        <v>0.0</v>
      </c>
      <c r="I560" s="1"/>
      <c r="J560" s="3">
        <v>836.0</v>
      </c>
    </row>
    <row r="561">
      <c r="A561" s="3">
        <v>405.0</v>
      </c>
      <c r="B561" s="3">
        <v>405.0</v>
      </c>
      <c r="C561" s="3">
        <v>448.0</v>
      </c>
      <c r="D561" s="3">
        <v>1.0</v>
      </c>
      <c r="E561" s="1" t="s">
        <v>201</v>
      </c>
      <c r="F561" s="1" t="s">
        <v>161</v>
      </c>
      <c r="G561" s="3">
        <v>1.0</v>
      </c>
      <c r="H561" s="3">
        <v>0.0</v>
      </c>
      <c r="I561" s="1"/>
      <c r="J561" s="3">
        <v>836.0</v>
      </c>
    </row>
    <row r="562">
      <c r="A562" s="3">
        <v>406.0</v>
      </c>
      <c r="B562" s="3">
        <v>406.0</v>
      </c>
      <c r="C562" s="3">
        <v>449.0</v>
      </c>
      <c r="D562" s="3">
        <v>1.0</v>
      </c>
      <c r="E562" s="1" t="s">
        <v>201</v>
      </c>
      <c r="F562" s="1" t="s">
        <v>153</v>
      </c>
      <c r="G562" s="3">
        <v>1.0</v>
      </c>
      <c r="H562" s="3">
        <v>0.0</v>
      </c>
      <c r="I562" s="1"/>
      <c r="J562" s="3">
        <v>836.0</v>
      </c>
    </row>
    <row r="563">
      <c r="A563" s="3">
        <v>407.0</v>
      </c>
      <c r="B563" s="3">
        <v>407.0</v>
      </c>
      <c r="C563" s="3">
        <v>931.0</v>
      </c>
      <c r="D563" s="3">
        <v>1.0</v>
      </c>
      <c r="E563" s="1" t="s">
        <v>201</v>
      </c>
      <c r="F563" s="1" t="s">
        <v>160</v>
      </c>
      <c r="G563" s="3">
        <v>1.0</v>
      </c>
      <c r="H563" s="3">
        <v>0.0</v>
      </c>
      <c r="I563" s="1"/>
      <c r="J563" s="3">
        <v>836.0</v>
      </c>
    </row>
    <row r="564">
      <c r="A564" s="3">
        <v>408.0</v>
      </c>
      <c r="B564" s="3">
        <v>408.0</v>
      </c>
      <c r="C564" s="3">
        <v>450.0</v>
      </c>
      <c r="D564" s="3">
        <v>1.0</v>
      </c>
      <c r="E564" s="1" t="s">
        <v>201</v>
      </c>
      <c r="F564" s="1" t="s">
        <v>11</v>
      </c>
      <c r="G564" s="3">
        <v>1.0</v>
      </c>
      <c r="H564" s="3">
        <v>0.0</v>
      </c>
      <c r="I564" s="1"/>
      <c r="J564" s="3">
        <v>836.0</v>
      </c>
    </row>
    <row r="565">
      <c r="A565" s="3">
        <v>409.0</v>
      </c>
      <c r="B565" s="3">
        <v>409.0</v>
      </c>
      <c r="C565" s="3">
        <v>932.0</v>
      </c>
      <c r="D565" s="3">
        <v>1.0</v>
      </c>
      <c r="E565" s="1" t="s">
        <v>201</v>
      </c>
      <c r="F565" s="1" t="s">
        <v>127</v>
      </c>
      <c r="G565" s="3">
        <v>1.0</v>
      </c>
      <c r="H565" s="3">
        <v>0.0</v>
      </c>
      <c r="I565" s="1"/>
      <c r="J565" s="3">
        <v>836.0</v>
      </c>
    </row>
    <row r="566">
      <c r="A566" s="3">
        <v>410.0</v>
      </c>
      <c r="B566" s="3">
        <v>410.0</v>
      </c>
      <c r="C566" s="3">
        <v>933.0</v>
      </c>
      <c r="D566" s="3">
        <v>1.0</v>
      </c>
      <c r="E566" s="1" t="s">
        <v>201</v>
      </c>
      <c r="F566" s="1" t="s">
        <v>128</v>
      </c>
      <c r="G566" s="3">
        <v>1.0</v>
      </c>
      <c r="H566" s="3">
        <v>0.0</v>
      </c>
      <c r="I566" s="1"/>
      <c r="J566" s="3">
        <v>836.0</v>
      </c>
    </row>
    <row r="567">
      <c r="A567" s="3">
        <v>411.0</v>
      </c>
      <c r="B567" s="3">
        <v>411.0</v>
      </c>
      <c r="C567" s="3">
        <v>451.0</v>
      </c>
      <c r="D567" s="3">
        <v>1.0</v>
      </c>
      <c r="E567" s="1" t="s">
        <v>201</v>
      </c>
      <c r="F567" s="1" t="s">
        <v>129</v>
      </c>
      <c r="G567" s="3">
        <v>1.0</v>
      </c>
      <c r="H567" s="3">
        <v>0.0</v>
      </c>
      <c r="I567" s="1"/>
      <c r="J567" s="3">
        <v>836.0</v>
      </c>
    </row>
    <row r="568">
      <c r="A568" s="3">
        <v>412.0</v>
      </c>
      <c r="B568" s="3">
        <v>412.0</v>
      </c>
      <c r="C568" s="3">
        <v>452.0</v>
      </c>
      <c r="D568" s="3">
        <v>1.0</v>
      </c>
      <c r="E568" s="1" t="s">
        <v>201</v>
      </c>
      <c r="F568" s="1" t="s">
        <v>202</v>
      </c>
      <c r="G568" s="3">
        <v>1.0</v>
      </c>
      <c r="H568" s="3">
        <v>0.0</v>
      </c>
      <c r="I568" s="1"/>
      <c r="J568" s="3">
        <v>836.0</v>
      </c>
    </row>
    <row r="569">
      <c r="A569" s="3">
        <v>413.0</v>
      </c>
      <c r="B569" s="3">
        <v>413.0</v>
      </c>
      <c r="C569" s="3">
        <v>453.0</v>
      </c>
      <c r="D569" s="3">
        <v>1.0</v>
      </c>
      <c r="E569" s="1" t="s">
        <v>201</v>
      </c>
      <c r="F569" s="1" t="s">
        <v>203</v>
      </c>
      <c r="G569" s="3">
        <v>1.0</v>
      </c>
      <c r="H569" s="3">
        <v>0.0</v>
      </c>
      <c r="I569" s="1"/>
      <c r="J569" s="3">
        <v>836.0</v>
      </c>
    </row>
    <row r="570">
      <c r="A570" s="3">
        <v>414.0</v>
      </c>
      <c r="B570" s="3">
        <v>414.0</v>
      </c>
      <c r="C570" s="3">
        <v>454.0</v>
      </c>
      <c r="D570" s="3">
        <v>1.0</v>
      </c>
      <c r="E570" s="1" t="s">
        <v>201</v>
      </c>
      <c r="F570" s="1" t="s">
        <v>130</v>
      </c>
      <c r="G570" s="3">
        <v>1.0</v>
      </c>
      <c r="H570" s="3">
        <v>0.0</v>
      </c>
      <c r="I570" s="1"/>
      <c r="J570" s="3">
        <v>836.0</v>
      </c>
    </row>
    <row r="571">
      <c r="A571" s="3">
        <v>415.0</v>
      </c>
      <c r="B571" s="3">
        <v>415.0</v>
      </c>
      <c r="C571" s="3">
        <v>457.0</v>
      </c>
      <c r="D571" s="3">
        <v>1.0</v>
      </c>
      <c r="E571" s="1" t="s">
        <v>201</v>
      </c>
      <c r="F571" s="1" t="s">
        <v>204</v>
      </c>
      <c r="G571" s="3">
        <v>1.0</v>
      </c>
      <c r="H571" s="3">
        <v>0.0</v>
      </c>
      <c r="I571" s="1"/>
      <c r="J571" s="3">
        <v>836.0</v>
      </c>
    </row>
    <row r="572">
      <c r="A572" s="3">
        <v>416.0</v>
      </c>
      <c r="B572" s="3">
        <v>416.0</v>
      </c>
      <c r="C572" s="3">
        <v>935.0</v>
      </c>
      <c r="D572" s="3">
        <v>1.0</v>
      </c>
      <c r="E572" s="1" t="s">
        <v>201</v>
      </c>
      <c r="F572" s="1" t="s">
        <v>205</v>
      </c>
      <c r="G572" s="3">
        <v>1.0</v>
      </c>
      <c r="H572" s="3">
        <v>0.0</v>
      </c>
      <c r="I572" s="1"/>
      <c r="J572" s="3">
        <v>836.0</v>
      </c>
    </row>
    <row r="573">
      <c r="A573" s="3">
        <v>417.0</v>
      </c>
      <c r="B573" s="3">
        <v>417.0</v>
      </c>
      <c r="C573" s="3">
        <v>936.0</v>
      </c>
      <c r="D573" s="3">
        <v>1.0</v>
      </c>
      <c r="E573" s="1" t="s">
        <v>201</v>
      </c>
      <c r="F573" s="1" t="s">
        <v>206</v>
      </c>
      <c r="G573" s="3">
        <v>1.0</v>
      </c>
      <c r="H573" s="3">
        <v>0.0</v>
      </c>
      <c r="I573" s="1"/>
      <c r="J573" s="3">
        <v>836.0</v>
      </c>
    </row>
    <row r="574">
      <c r="A574" s="3">
        <v>418.0</v>
      </c>
      <c r="B574" s="3">
        <v>418.0</v>
      </c>
      <c r="C574" s="3">
        <v>937.0</v>
      </c>
      <c r="D574" s="3">
        <v>1.0</v>
      </c>
      <c r="E574" s="1" t="s">
        <v>201</v>
      </c>
      <c r="F574" s="1" t="s">
        <v>207</v>
      </c>
      <c r="G574" s="3">
        <v>1.0</v>
      </c>
      <c r="H574" s="3">
        <v>0.0</v>
      </c>
      <c r="I574" s="1"/>
      <c r="J574" s="3">
        <v>836.0</v>
      </c>
    </row>
    <row r="575">
      <c r="A575" s="3">
        <v>419.0</v>
      </c>
      <c r="B575" s="3">
        <v>419.0</v>
      </c>
      <c r="C575" s="3">
        <v>0.0</v>
      </c>
      <c r="D575" s="3">
        <v>1.0</v>
      </c>
      <c r="E575" s="1" t="s">
        <v>201</v>
      </c>
      <c r="F575" s="1" t="s">
        <v>208</v>
      </c>
      <c r="G575" s="3">
        <v>1.0</v>
      </c>
      <c r="H575" s="3">
        <v>0.0</v>
      </c>
      <c r="I575" s="1"/>
      <c r="J575" s="3">
        <v>836.0</v>
      </c>
    </row>
    <row r="576">
      <c r="A576" s="3">
        <v>420.0</v>
      </c>
      <c r="B576" s="3">
        <v>420.0</v>
      </c>
      <c r="C576" s="3">
        <v>0.0</v>
      </c>
      <c r="D576" s="3">
        <v>1.0</v>
      </c>
      <c r="E576" s="1" t="s">
        <v>201</v>
      </c>
      <c r="F576" s="1" t="s">
        <v>209</v>
      </c>
      <c r="G576" s="3">
        <v>1.0</v>
      </c>
      <c r="H576" s="3">
        <v>0.0</v>
      </c>
      <c r="I576" s="1"/>
      <c r="J576" s="3">
        <v>836.0</v>
      </c>
    </row>
    <row r="577">
      <c r="A577" s="3">
        <v>421.0</v>
      </c>
      <c r="B577" s="3">
        <v>421.0</v>
      </c>
      <c r="C577" s="3">
        <v>940.0</v>
      </c>
      <c r="D577" s="3">
        <v>1.0</v>
      </c>
      <c r="E577" s="1" t="s">
        <v>201</v>
      </c>
      <c r="F577" s="1" t="s">
        <v>210</v>
      </c>
      <c r="G577" s="3">
        <v>1.0</v>
      </c>
      <c r="H577" s="3">
        <v>0.0</v>
      </c>
      <c r="I577" s="1"/>
      <c r="J577" s="3">
        <v>836.0</v>
      </c>
    </row>
    <row r="578">
      <c r="A578" s="3">
        <v>422.0</v>
      </c>
      <c r="B578" s="3">
        <v>422.0</v>
      </c>
      <c r="C578" s="3">
        <v>486.0</v>
      </c>
      <c r="D578" s="3">
        <v>1.0</v>
      </c>
      <c r="E578" s="1" t="s">
        <v>201</v>
      </c>
      <c r="F578" s="1" t="s">
        <v>211</v>
      </c>
      <c r="G578" s="3">
        <v>1.0</v>
      </c>
      <c r="H578" s="3">
        <v>0.0</v>
      </c>
      <c r="I578" s="1"/>
      <c r="J578" s="3">
        <v>836.0</v>
      </c>
    </row>
    <row r="579">
      <c r="A579" s="3">
        <v>423.0</v>
      </c>
      <c r="B579" s="3">
        <v>423.0</v>
      </c>
      <c r="C579" s="3">
        <v>487.0</v>
      </c>
      <c r="D579" s="3">
        <v>1.0</v>
      </c>
      <c r="E579" s="1" t="s">
        <v>201</v>
      </c>
      <c r="F579" s="1" t="s">
        <v>212</v>
      </c>
      <c r="G579" s="3">
        <v>1.0</v>
      </c>
      <c r="H579" s="3">
        <v>0.0</v>
      </c>
      <c r="I579" s="1"/>
      <c r="J579" s="3">
        <v>836.0</v>
      </c>
    </row>
    <row r="580">
      <c r="A580" s="3">
        <v>424.0</v>
      </c>
      <c r="B580" s="3">
        <v>424.0</v>
      </c>
      <c r="C580" s="3">
        <v>941.0</v>
      </c>
      <c r="D580" s="3">
        <v>1.0</v>
      </c>
      <c r="E580" s="1" t="s">
        <v>201</v>
      </c>
      <c r="F580" s="1" t="s">
        <v>213</v>
      </c>
      <c r="G580" s="3">
        <v>1.0</v>
      </c>
      <c r="H580" s="3">
        <v>0.0</v>
      </c>
      <c r="I580" s="1"/>
      <c r="J580" s="3">
        <v>836.0</v>
      </c>
    </row>
    <row r="581">
      <c r="A581" s="3">
        <v>425.0</v>
      </c>
      <c r="B581" s="3">
        <v>425.0</v>
      </c>
      <c r="C581" s="3">
        <v>0.0</v>
      </c>
      <c r="D581" s="3">
        <v>1.0</v>
      </c>
      <c r="E581" s="1" t="s">
        <v>201</v>
      </c>
      <c r="F581" s="1" t="s">
        <v>214</v>
      </c>
      <c r="G581" s="3">
        <v>1.0</v>
      </c>
      <c r="H581" s="3">
        <v>0.0</v>
      </c>
      <c r="I581" s="1"/>
      <c r="J581" s="3">
        <v>836.0</v>
      </c>
    </row>
    <row r="582">
      <c r="A582" s="3">
        <v>426.0</v>
      </c>
      <c r="B582" s="3">
        <v>426.0</v>
      </c>
      <c r="C582" s="3">
        <v>458.0</v>
      </c>
      <c r="D582" s="3">
        <v>1.0</v>
      </c>
      <c r="E582" s="1" t="s">
        <v>201</v>
      </c>
      <c r="F582" s="1" t="s">
        <v>132</v>
      </c>
      <c r="G582" s="3">
        <v>1.0</v>
      </c>
      <c r="H582" s="3">
        <v>0.0</v>
      </c>
      <c r="I582" s="1"/>
      <c r="J582" s="3">
        <v>836.0</v>
      </c>
    </row>
    <row r="583">
      <c r="A583" s="3">
        <v>427.0</v>
      </c>
      <c r="B583" s="3">
        <v>427.0</v>
      </c>
      <c r="C583" s="3">
        <v>461.0</v>
      </c>
      <c r="D583" s="3">
        <v>1.0</v>
      </c>
      <c r="E583" s="1" t="s">
        <v>201</v>
      </c>
      <c r="F583" s="1" t="s">
        <v>215</v>
      </c>
      <c r="G583" s="3">
        <v>1.0</v>
      </c>
      <c r="H583" s="3">
        <v>0.0</v>
      </c>
      <c r="I583" s="1"/>
      <c r="J583" s="3">
        <v>836.0</v>
      </c>
    </row>
    <row r="584">
      <c r="A584" s="3">
        <v>428.0</v>
      </c>
      <c r="B584" s="3">
        <v>428.0</v>
      </c>
      <c r="C584" s="3">
        <v>465.0</v>
      </c>
      <c r="D584" s="3">
        <v>1.0</v>
      </c>
      <c r="E584" s="1" t="s">
        <v>201</v>
      </c>
      <c r="F584" s="1" t="s">
        <v>136</v>
      </c>
      <c r="G584" s="3">
        <v>1.0</v>
      </c>
      <c r="H584" s="3">
        <v>0.0</v>
      </c>
      <c r="I584" s="1"/>
      <c r="J584" s="3">
        <v>836.0</v>
      </c>
    </row>
    <row r="585">
      <c r="A585" s="3">
        <v>429.0</v>
      </c>
      <c r="B585" s="3">
        <v>429.0</v>
      </c>
      <c r="C585" s="3">
        <v>469.0</v>
      </c>
      <c r="D585" s="3">
        <v>1.0</v>
      </c>
      <c r="E585" s="1" t="s">
        <v>201</v>
      </c>
      <c r="F585" s="1" t="s">
        <v>216</v>
      </c>
      <c r="G585" s="3">
        <v>1.0</v>
      </c>
      <c r="H585" s="3">
        <v>0.0</v>
      </c>
      <c r="I585" s="1"/>
      <c r="J585" s="3">
        <v>836.0</v>
      </c>
    </row>
    <row r="586">
      <c r="A586" s="3">
        <v>430.0</v>
      </c>
      <c r="B586" s="3">
        <v>430.0</v>
      </c>
      <c r="C586" s="3">
        <v>470.0</v>
      </c>
      <c r="D586" s="3">
        <v>1.0</v>
      </c>
      <c r="E586" s="1" t="s">
        <v>201</v>
      </c>
      <c r="F586" s="1" t="s">
        <v>217</v>
      </c>
      <c r="G586" s="3">
        <v>1.0</v>
      </c>
      <c r="H586" s="3">
        <v>0.0</v>
      </c>
      <c r="I586" s="1"/>
      <c r="J586" s="3">
        <v>836.0</v>
      </c>
    </row>
    <row r="587">
      <c r="A587" s="3">
        <v>431.0</v>
      </c>
      <c r="B587" s="3">
        <v>431.0</v>
      </c>
      <c r="C587" s="3">
        <v>471.0</v>
      </c>
      <c r="D587" s="3">
        <v>1.0</v>
      </c>
      <c r="E587" s="1" t="s">
        <v>201</v>
      </c>
      <c r="F587" s="1" t="s">
        <v>218</v>
      </c>
      <c r="G587" s="3">
        <v>1.0</v>
      </c>
      <c r="H587" s="3">
        <v>0.0</v>
      </c>
      <c r="I587" s="1"/>
      <c r="J587" s="3">
        <v>836.0</v>
      </c>
    </row>
    <row r="588">
      <c r="A588" s="3">
        <v>432.0</v>
      </c>
      <c r="B588" s="3">
        <v>432.0</v>
      </c>
      <c r="C588" s="3">
        <v>472.0</v>
      </c>
      <c r="D588" s="3">
        <v>1.0</v>
      </c>
      <c r="E588" s="1" t="s">
        <v>201</v>
      </c>
      <c r="F588" s="1" t="s">
        <v>219</v>
      </c>
      <c r="G588" s="3">
        <v>1.0</v>
      </c>
      <c r="H588" s="3">
        <v>0.0</v>
      </c>
      <c r="I588" s="1"/>
      <c r="J588" s="3">
        <v>836.0</v>
      </c>
    </row>
    <row r="589">
      <c r="A589" s="3">
        <v>433.0</v>
      </c>
      <c r="B589" s="3">
        <v>433.0</v>
      </c>
      <c r="C589" s="3">
        <v>467.0</v>
      </c>
      <c r="D589" s="3">
        <v>1.0</v>
      </c>
      <c r="E589" s="1" t="s">
        <v>201</v>
      </c>
      <c r="F589" s="1" t="s">
        <v>134</v>
      </c>
      <c r="G589" s="3">
        <v>1.0</v>
      </c>
      <c r="H589" s="3">
        <v>0.0</v>
      </c>
      <c r="I589" s="1"/>
      <c r="J589" s="3">
        <v>836.0</v>
      </c>
    </row>
    <row r="590">
      <c r="A590" s="3">
        <v>434.0</v>
      </c>
      <c r="B590" s="3">
        <v>434.0</v>
      </c>
      <c r="C590" s="3">
        <v>468.0</v>
      </c>
      <c r="D590" s="3">
        <v>1.0</v>
      </c>
      <c r="E590" s="1" t="s">
        <v>201</v>
      </c>
      <c r="F590" s="1" t="s">
        <v>133</v>
      </c>
      <c r="G590" s="3">
        <v>1.0</v>
      </c>
      <c r="H590" s="3">
        <v>0.0</v>
      </c>
      <c r="I590" s="1"/>
      <c r="J590" s="3">
        <v>836.0</v>
      </c>
    </row>
    <row r="591">
      <c r="A591" s="3">
        <v>435.0</v>
      </c>
      <c r="B591" s="3">
        <v>435.0</v>
      </c>
      <c r="C591" s="3">
        <v>478.0</v>
      </c>
      <c r="D591" s="3">
        <v>1.0</v>
      </c>
      <c r="E591" s="1" t="s">
        <v>201</v>
      </c>
      <c r="F591" s="1" t="s">
        <v>220</v>
      </c>
      <c r="G591" s="3">
        <v>1.0</v>
      </c>
      <c r="H591" s="3">
        <v>0.0</v>
      </c>
      <c r="I591" s="1"/>
      <c r="J591" s="3">
        <v>836.0</v>
      </c>
    </row>
    <row r="592">
      <c r="A592" s="3">
        <v>436.0</v>
      </c>
      <c r="B592" s="3">
        <v>436.0</v>
      </c>
      <c r="C592" s="3">
        <v>466.0</v>
      </c>
      <c r="D592" s="3">
        <v>1.0</v>
      </c>
      <c r="E592" s="1" t="s">
        <v>201</v>
      </c>
      <c r="F592" s="1" t="s">
        <v>45</v>
      </c>
      <c r="G592" s="3">
        <v>1.0</v>
      </c>
      <c r="H592" s="3">
        <v>0.0</v>
      </c>
      <c r="I592" s="1"/>
      <c r="J592" s="3">
        <v>836.0</v>
      </c>
    </row>
    <row r="593">
      <c r="A593" s="3">
        <v>437.0</v>
      </c>
      <c r="B593" s="3">
        <v>437.0</v>
      </c>
      <c r="C593" s="3">
        <v>475.0</v>
      </c>
      <c r="D593" s="3">
        <v>1.0</v>
      </c>
      <c r="E593" s="1" t="s">
        <v>201</v>
      </c>
      <c r="F593" s="1" t="s">
        <v>221</v>
      </c>
      <c r="G593" s="3">
        <v>1.0</v>
      </c>
      <c r="H593" s="3">
        <v>0.0</v>
      </c>
      <c r="I593" s="1"/>
      <c r="J593" s="3">
        <v>836.0</v>
      </c>
    </row>
    <row r="594">
      <c r="A594" s="3">
        <v>438.0</v>
      </c>
      <c r="B594" s="3">
        <v>438.0</v>
      </c>
      <c r="C594" s="3">
        <v>934.0</v>
      </c>
      <c r="D594" s="3">
        <v>1.0</v>
      </c>
      <c r="E594" s="1" t="s">
        <v>201</v>
      </c>
      <c r="F594" s="1" t="s">
        <v>222</v>
      </c>
      <c r="G594" s="3">
        <v>1.0</v>
      </c>
      <c r="H594" s="3">
        <v>0.0</v>
      </c>
      <c r="I594" s="1"/>
      <c r="J594" s="3">
        <v>836.0</v>
      </c>
    </row>
    <row r="595">
      <c r="A595" s="3">
        <v>439.0</v>
      </c>
      <c r="B595" s="3">
        <v>439.0</v>
      </c>
      <c r="C595" s="3">
        <v>479.0</v>
      </c>
      <c r="D595" s="3">
        <v>1.0</v>
      </c>
      <c r="E595" s="1" t="s">
        <v>201</v>
      </c>
      <c r="F595" s="1" t="s">
        <v>223</v>
      </c>
      <c r="G595" s="3">
        <v>1.0</v>
      </c>
      <c r="H595" s="3">
        <v>0.0</v>
      </c>
      <c r="I595" s="1"/>
      <c r="J595" s="3">
        <v>836.0</v>
      </c>
    </row>
    <row r="596">
      <c r="A596" s="3">
        <v>440.0</v>
      </c>
      <c r="B596" s="3">
        <v>440.0</v>
      </c>
      <c r="C596" s="3">
        <v>473.0</v>
      </c>
      <c r="D596" s="3">
        <v>1.0</v>
      </c>
      <c r="E596" s="1" t="s">
        <v>201</v>
      </c>
      <c r="F596" s="1" t="s">
        <v>224</v>
      </c>
      <c r="G596" s="3">
        <v>1.0</v>
      </c>
      <c r="H596" s="3">
        <v>0.0</v>
      </c>
      <c r="I596" s="1"/>
      <c r="J596" s="3">
        <v>836.0</v>
      </c>
    </row>
    <row r="597">
      <c r="A597" s="3">
        <v>441.0</v>
      </c>
      <c r="B597" s="3">
        <v>441.0</v>
      </c>
      <c r="C597" s="3">
        <v>474.0</v>
      </c>
      <c r="D597" s="3">
        <v>1.0</v>
      </c>
      <c r="E597" s="1" t="s">
        <v>201</v>
      </c>
      <c r="F597" s="1" t="s">
        <v>225</v>
      </c>
      <c r="G597" s="3">
        <v>1.0</v>
      </c>
      <c r="H597" s="3">
        <v>0.0</v>
      </c>
      <c r="I597" s="1"/>
      <c r="J597" s="3">
        <v>836.0</v>
      </c>
    </row>
    <row r="598">
      <c r="A598" s="3">
        <v>442.0</v>
      </c>
      <c r="B598" s="3">
        <v>442.0</v>
      </c>
      <c r="C598" s="3">
        <v>477.0</v>
      </c>
      <c r="D598" s="3">
        <v>1.0</v>
      </c>
      <c r="E598" s="1" t="s">
        <v>201</v>
      </c>
      <c r="F598" s="1" t="s">
        <v>226</v>
      </c>
      <c r="G598" s="3">
        <v>1.0</v>
      </c>
      <c r="H598" s="3">
        <v>0.0</v>
      </c>
      <c r="I598" s="1"/>
      <c r="J598" s="3">
        <v>836.0</v>
      </c>
    </row>
    <row r="599">
      <c r="A599" s="3">
        <v>443.0</v>
      </c>
      <c r="B599" s="3">
        <v>443.0</v>
      </c>
      <c r="C599" s="3">
        <v>464.0</v>
      </c>
      <c r="D599" s="3">
        <v>1.0</v>
      </c>
      <c r="E599" s="1" t="s">
        <v>201</v>
      </c>
      <c r="F599" s="1" t="s">
        <v>135</v>
      </c>
      <c r="G599" s="3">
        <v>1.0</v>
      </c>
      <c r="H599" s="3">
        <v>0.0</v>
      </c>
      <c r="I599" s="1"/>
      <c r="J599" s="3">
        <v>836.0</v>
      </c>
    </row>
    <row r="600">
      <c r="A600" s="3">
        <v>444.0</v>
      </c>
      <c r="B600" s="3">
        <v>444.0</v>
      </c>
      <c r="C600" s="3">
        <v>480.0</v>
      </c>
      <c r="D600" s="3">
        <v>1.0</v>
      </c>
      <c r="E600" s="1" t="s">
        <v>201</v>
      </c>
      <c r="F600" s="1" t="s">
        <v>227</v>
      </c>
      <c r="G600" s="3">
        <v>1.0</v>
      </c>
      <c r="H600" s="3">
        <v>0.0</v>
      </c>
      <c r="I600" s="1"/>
      <c r="J600" s="3">
        <v>836.0</v>
      </c>
    </row>
    <row r="601">
      <c r="A601" s="3">
        <v>445.0</v>
      </c>
      <c r="B601" s="3">
        <v>445.0</v>
      </c>
      <c r="C601" s="3">
        <v>485.0</v>
      </c>
      <c r="D601" s="3">
        <v>1.0</v>
      </c>
      <c r="E601" s="1" t="s">
        <v>201</v>
      </c>
      <c r="F601" s="1" t="s">
        <v>228</v>
      </c>
      <c r="G601" s="3">
        <v>1.0</v>
      </c>
      <c r="H601" s="3">
        <v>0.0</v>
      </c>
      <c r="I601" s="1"/>
      <c r="J601" s="3">
        <v>836.0</v>
      </c>
    </row>
    <row r="602">
      <c r="A602" s="3">
        <v>446.0</v>
      </c>
      <c r="B602" s="3">
        <v>446.0</v>
      </c>
      <c r="C602" s="3">
        <v>482.0</v>
      </c>
      <c r="D602" s="3">
        <v>1.0</v>
      </c>
      <c r="E602" s="1" t="s">
        <v>201</v>
      </c>
      <c r="F602" s="1" t="s">
        <v>229</v>
      </c>
      <c r="G602" s="3">
        <v>1.0</v>
      </c>
      <c r="H602" s="3">
        <v>0.0</v>
      </c>
      <c r="I602" s="1"/>
      <c r="J602" s="3">
        <v>836.0</v>
      </c>
    </row>
    <row r="603">
      <c r="A603" s="3">
        <v>447.0</v>
      </c>
      <c r="B603" s="3">
        <v>447.0</v>
      </c>
      <c r="C603" s="3">
        <v>481.0</v>
      </c>
      <c r="D603" s="3">
        <v>1.0</v>
      </c>
      <c r="E603" s="1" t="s">
        <v>201</v>
      </c>
      <c r="F603" s="1" t="s">
        <v>230</v>
      </c>
      <c r="G603" s="3">
        <v>1.0</v>
      </c>
      <c r="H603" s="3">
        <v>0.0</v>
      </c>
      <c r="I603" s="1"/>
      <c r="J603" s="3">
        <v>836.0</v>
      </c>
    </row>
    <row r="604">
      <c r="A604" s="3">
        <v>448.0</v>
      </c>
      <c r="B604" s="3">
        <v>448.0</v>
      </c>
      <c r="C604" s="3">
        <v>938.0</v>
      </c>
      <c r="D604" s="3">
        <v>1.0</v>
      </c>
      <c r="E604" s="1" t="s">
        <v>201</v>
      </c>
      <c r="F604" s="1" t="s">
        <v>231</v>
      </c>
      <c r="G604" s="3">
        <v>1.0</v>
      </c>
      <c r="H604" s="3">
        <v>0.0</v>
      </c>
      <c r="I604" s="1"/>
      <c r="J604" s="3">
        <v>836.0</v>
      </c>
    </row>
    <row r="605">
      <c r="A605" s="3">
        <v>449.0</v>
      </c>
      <c r="B605" s="3">
        <v>449.0</v>
      </c>
      <c r="C605" s="3">
        <v>483.0</v>
      </c>
      <c r="D605" s="3">
        <v>1.0</v>
      </c>
      <c r="E605" s="1" t="s">
        <v>201</v>
      </c>
      <c r="F605" s="1" t="s">
        <v>232</v>
      </c>
      <c r="G605" s="3">
        <v>1.0</v>
      </c>
      <c r="H605" s="3">
        <v>0.0</v>
      </c>
      <c r="I605" s="1"/>
      <c r="J605" s="3">
        <v>836.0</v>
      </c>
    </row>
    <row r="606">
      <c r="A606" s="3">
        <v>450.0</v>
      </c>
      <c r="B606" s="3">
        <v>450.0</v>
      </c>
      <c r="C606" s="3">
        <v>484.0</v>
      </c>
      <c r="D606" s="3">
        <v>1.0</v>
      </c>
      <c r="E606" s="1" t="s">
        <v>201</v>
      </c>
      <c r="F606" s="1" t="s">
        <v>233</v>
      </c>
      <c r="G606" s="3">
        <v>1.0</v>
      </c>
      <c r="H606" s="3">
        <v>0.0</v>
      </c>
      <c r="I606" s="1"/>
      <c r="J606" s="3">
        <v>836.0</v>
      </c>
    </row>
    <row r="607">
      <c r="A607" s="3">
        <v>451.0</v>
      </c>
      <c r="B607" s="3">
        <v>451.0</v>
      </c>
      <c r="C607" s="3">
        <v>0.0</v>
      </c>
      <c r="D607" s="3">
        <v>1.0</v>
      </c>
      <c r="E607" s="1" t="s">
        <v>201</v>
      </c>
      <c r="F607" s="1" t="s">
        <v>234</v>
      </c>
      <c r="G607" s="3">
        <v>1.0</v>
      </c>
      <c r="H607" s="3">
        <v>0.0</v>
      </c>
      <c r="I607" s="1"/>
      <c r="J607" s="3">
        <v>836.0</v>
      </c>
    </row>
    <row r="608">
      <c r="A608" s="3">
        <v>452.0</v>
      </c>
      <c r="B608" s="3">
        <v>452.0</v>
      </c>
      <c r="C608" s="3">
        <v>0.0</v>
      </c>
      <c r="D608" s="3">
        <v>1.0</v>
      </c>
      <c r="E608" s="1" t="s">
        <v>201</v>
      </c>
      <c r="F608" s="1" t="s">
        <v>235</v>
      </c>
      <c r="G608" s="3">
        <v>1.0</v>
      </c>
      <c r="H608" s="3">
        <v>0.0</v>
      </c>
      <c r="I608" s="1"/>
      <c r="J608" s="3">
        <v>836.0</v>
      </c>
    </row>
    <row r="609">
      <c r="A609" s="3">
        <v>453.0</v>
      </c>
      <c r="B609" s="3">
        <v>453.0</v>
      </c>
      <c r="C609" s="3">
        <v>0.0</v>
      </c>
      <c r="D609" s="3">
        <v>1.0</v>
      </c>
      <c r="E609" s="1" t="s">
        <v>201</v>
      </c>
      <c r="F609" s="1" t="s">
        <v>106</v>
      </c>
      <c r="G609" s="3">
        <v>1.0</v>
      </c>
      <c r="H609" s="3">
        <v>0.0</v>
      </c>
      <c r="I609" s="1"/>
      <c r="J609" s="3">
        <v>836.0</v>
      </c>
    </row>
    <row r="610">
      <c r="A610" s="3">
        <v>454.0</v>
      </c>
      <c r="B610" s="3">
        <v>454.0</v>
      </c>
      <c r="C610" s="3">
        <v>0.0</v>
      </c>
      <c r="D610" s="3">
        <v>1.0</v>
      </c>
      <c r="E610" s="1" t="s">
        <v>201</v>
      </c>
      <c r="F610" s="1" t="s">
        <v>236</v>
      </c>
      <c r="G610" s="3">
        <v>1.0</v>
      </c>
      <c r="H610" s="3">
        <v>0.0</v>
      </c>
      <c r="I610" s="1"/>
      <c r="J610" s="3">
        <v>836.0</v>
      </c>
    </row>
    <row r="611">
      <c r="A611" s="3">
        <v>455.0</v>
      </c>
      <c r="B611" s="3">
        <v>455.0</v>
      </c>
      <c r="C611" s="3">
        <v>0.0</v>
      </c>
      <c r="D611" s="3">
        <v>1.0</v>
      </c>
      <c r="E611" s="1" t="s">
        <v>201</v>
      </c>
      <c r="F611" s="1" t="s">
        <v>237</v>
      </c>
      <c r="G611" s="3">
        <v>1.0</v>
      </c>
      <c r="H611" s="3">
        <v>0.0</v>
      </c>
      <c r="I611" s="1"/>
      <c r="J611" s="3">
        <v>836.0</v>
      </c>
    </row>
    <row r="612">
      <c r="A612" s="3">
        <v>456.0</v>
      </c>
      <c r="B612" s="3">
        <v>456.0</v>
      </c>
      <c r="C612" s="3">
        <v>459.0</v>
      </c>
      <c r="D612" s="3">
        <v>1.0</v>
      </c>
      <c r="E612" s="1" t="s">
        <v>201</v>
      </c>
      <c r="F612" s="1" t="s">
        <v>149</v>
      </c>
      <c r="G612" s="3">
        <v>1.0</v>
      </c>
      <c r="H612" s="3">
        <v>0.0</v>
      </c>
      <c r="I612" s="1"/>
      <c r="J612" s="3">
        <v>836.0</v>
      </c>
    </row>
    <row r="613">
      <c r="A613" s="3">
        <v>457.0</v>
      </c>
      <c r="B613" s="3">
        <v>457.0</v>
      </c>
      <c r="C613" s="3">
        <v>462.0</v>
      </c>
      <c r="D613" s="3">
        <v>1.0</v>
      </c>
      <c r="E613" s="1" t="s">
        <v>201</v>
      </c>
      <c r="F613" s="1" t="s">
        <v>238</v>
      </c>
      <c r="G613" s="3">
        <v>1.0</v>
      </c>
      <c r="H613" s="3">
        <v>0.0</v>
      </c>
      <c r="I613" s="1"/>
      <c r="J613" s="3">
        <v>836.0</v>
      </c>
    </row>
    <row r="614">
      <c r="A614" s="3">
        <v>458.0</v>
      </c>
      <c r="B614" s="3">
        <v>458.0</v>
      </c>
      <c r="C614" s="3">
        <v>0.0</v>
      </c>
      <c r="D614" s="3">
        <v>1.0</v>
      </c>
      <c r="E614" s="1" t="s">
        <v>201</v>
      </c>
      <c r="F614" s="1" t="s">
        <v>93</v>
      </c>
      <c r="G614" s="3">
        <v>1.0</v>
      </c>
      <c r="H614" s="3">
        <v>0.0</v>
      </c>
      <c r="I614" s="1"/>
      <c r="J614" s="3">
        <v>836.0</v>
      </c>
    </row>
    <row r="615">
      <c r="A615" s="3">
        <v>459.0</v>
      </c>
      <c r="B615" s="3">
        <v>459.0</v>
      </c>
      <c r="C615" s="3">
        <v>0.0</v>
      </c>
      <c r="D615" s="3">
        <v>1.0</v>
      </c>
      <c r="E615" s="1" t="s">
        <v>201</v>
      </c>
      <c r="F615" s="1" t="s">
        <v>239</v>
      </c>
      <c r="G615" s="3">
        <v>1.0</v>
      </c>
      <c r="H615" s="3">
        <v>0.0</v>
      </c>
      <c r="I615" s="1"/>
      <c r="J615" s="3">
        <v>836.0</v>
      </c>
    </row>
    <row r="616">
      <c r="A616" s="3">
        <v>460.0</v>
      </c>
      <c r="B616" s="3">
        <v>460.0</v>
      </c>
      <c r="C616" s="3">
        <v>456.0</v>
      </c>
      <c r="D616" s="3">
        <v>1.0</v>
      </c>
      <c r="E616" s="1" t="s">
        <v>201</v>
      </c>
      <c r="F616" s="1" t="s">
        <v>240</v>
      </c>
      <c r="G616" s="3">
        <v>1.0</v>
      </c>
      <c r="H616" s="3">
        <v>0.0</v>
      </c>
      <c r="I616" s="1"/>
      <c r="J616" s="3">
        <v>836.0</v>
      </c>
    </row>
    <row r="617">
      <c r="A617" s="3">
        <v>461.0</v>
      </c>
      <c r="B617" s="3">
        <v>461.0</v>
      </c>
      <c r="C617" s="3">
        <v>476.0</v>
      </c>
      <c r="D617" s="3">
        <v>1.0</v>
      </c>
      <c r="E617" s="1" t="s">
        <v>201</v>
      </c>
      <c r="F617" s="1" t="s">
        <v>241</v>
      </c>
      <c r="G617" s="3">
        <v>1.0</v>
      </c>
      <c r="H617" s="3">
        <v>0.0</v>
      </c>
      <c r="I617" s="1"/>
      <c r="J617" s="3">
        <v>836.0</v>
      </c>
    </row>
    <row r="618">
      <c r="A618" s="3">
        <v>462.0</v>
      </c>
      <c r="B618" s="3">
        <v>462.0</v>
      </c>
      <c r="C618" s="3">
        <v>0.0</v>
      </c>
      <c r="D618" s="3">
        <v>1.0</v>
      </c>
      <c r="E618" s="1" t="s">
        <v>201</v>
      </c>
      <c r="F618" s="1" t="s">
        <v>242</v>
      </c>
      <c r="G618" s="3">
        <v>1.0</v>
      </c>
      <c r="H618" s="3">
        <v>0.0</v>
      </c>
      <c r="I618" s="1"/>
      <c r="J618" s="3">
        <v>836.0</v>
      </c>
    </row>
    <row r="619">
      <c r="A619" s="3">
        <v>463.0</v>
      </c>
      <c r="B619" s="3">
        <v>463.0</v>
      </c>
      <c r="C619" s="3">
        <v>942.0</v>
      </c>
      <c r="D619" s="3">
        <v>1.0</v>
      </c>
      <c r="E619" s="1" t="s">
        <v>201</v>
      </c>
      <c r="F619" s="1" t="s">
        <v>58</v>
      </c>
      <c r="G619" s="3">
        <v>1.0</v>
      </c>
      <c r="H619" s="3">
        <v>0.0</v>
      </c>
      <c r="I619" s="1"/>
      <c r="J619" s="3">
        <v>836.0</v>
      </c>
    </row>
    <row r="620">
      <c r="A620" s="3">
        <v>464.0</v>
      </c>
      <c r="B620" s="3">
        <v>464.0</v>
      </c>
      <c r="C620" s="3">
        <v>944.0</v>
      </c>
      <c r="D620" s="3">
        <v>1.0</v>
      </c>
      <c r="E620" s="1" t="s">
        <v>201</v>
      </c>
      <c r="F620" s="1" t="s">
        <v>59</v>
      </c>
      <c r="G620" s="3">
        <v>1.0</v>
      </c>
      <c r="H620" s="3">
        <v>0.0</v>
      </c>
      <c r="I620" s="1"/>
      <c r="J620" s="3">
        <v>836.0</v>
      </c>
    </row>
    <row r="621">
      <c r="A621" s="3">
        <v>465.0</v>
      </c>
      <c r="B621" s="3">
        <v>465.0</v>
      </c>
      <c r="C621" s="3">
        <v>463.0</v>
      </c>
      <c r="D621" s="3">
        <v>1.0</v>
      </c>
      <c r="E621" s="1" t="s">
        <v>201</v>
      </c>
      <c r="F621" s="1" t="s">
        <v>243</v>
      </c>
      <c r="G621" s="3">
        <v>1.0</v>
      </c>
      <c r="H621" s="3">
        <v>0.0</v>
      </c>
      <c r="I621" s="1"/>
      <c r="J621" s="3">
        <v>836.0</v>
      </c>
    </row>
    <row r="622">
      <c r="A622" s="3">
        <v>466.0</v>
      </c>
      <c r="B622" s="3">
        <v>466.0</v>
      </c>
      <c r="C622" s="3">
        <v>0.0</v>
      </c>
      <c r="D622" s="3">
        <v>1.0</v>
      </c>
      <c r="E622" s="1" t="s">
        <v>201</v>
      </c>
      <c r="F622" s="1" t="s">
        <v>244</v>
      </c>
      <c r="G622" s="3">
        <v>1.0</v>
      </c>
      <c r="H622" s="3">
        <v>0.0</v>
      </c>
      <c r="I622" s="1"/>
      <c r="J622" s="3">
        <v>836.0</v>
      </c>
    </row>
    <row r="623">
      <c r="A623" s="3">
        <v>467.0</v>
      </c>
      <c r="B623" s="3">
        <v>467.0</v>
      </c>
      <c r="C623" s="3">
        <v>0.0</v>
      </c>
      <c r="D623" s="3">
        <v>1.0</v>
      </c>
      <c r="E623" s="1" t="s">
        <v>201</v>
      </c>
      <c r="F623" s="1" t="s">
        <v>245</v>
      </c>
      <c r="G623" s="3">
        <v>1.0</v>
      </c>
      <c r="H623" s="3">
        <v>0.0</v>
      </c>
      <c r="I623" s="1"/>
      <c r="J623" s="3">
        <v>836.0</v>
      </c>
    </row>
    <row r="624">
      <c r="A624" s="3">
        <v>468.0</v>
      </c>
      <c r="B624" s="3">
        <v>468.0</v>
      </c>
      <c r="C624" s="3">
        <v>0.0</v>
      </c>
      <c r="D624" s="3">
        <v>1.0</v>
      </c>
      <c r="E624" s="1" t="s">
        <v>201</v>
      </c>
      <c r="F624" s="1" t="s">
        <v>246</v>
      </c>
      <c r="G624" s="3">
        <v>1.0</v>
      </c>
      <c r="H624" s="3">
        <v>0.0</v>
      </c>
      <c r="I624" s="1"/>
      <c r="J624" s="3">
        <v>836.0</v>
      </c>
    </row>
    <row r="625">
      <c r="A625" s="3">
        <v>469.0</v>
      </c>
      <c r="B625" s="3">
        <v>469.0</v>
      </c>
      <c r="C625" s="3">
        <v>0.0</v>
      </c>
      <c r="D625" s="3">
        <v>1.0</v>
      </c>
      <c r="E625" s="1" t="s">
        <v>201</v>
      </c>
      <c r="F625" s="1" t="s">
        <v>247</v>
      </c>
      <c r="G625" s="3">
        <v>1.0</v>
      </c>
      <c r="H625" s="3">
        <v>0.0</v>
      </c>
      <c r="I625" s="1"/>
      <c r="J625" s="3">
        <v>836.0</v>
      </c>
    </row>
    <row r="626">
      <c r="A626" s="3">
        <v>470.0</v>
      </c>
      <c r="B626" s="3">
        <v>470.0</v>
      </c>
      <c r="C626" s="3">
        <v>0.0</v>
      </c>
      <c r="D626" s="3">
        <v>1.0</v>
      </c>
      <c r="E626" s="1" t="s">
        <v>201</v>
      </c>
      <c r="F626" s="1" t="s">
        <v>248</v>
      </c>
      <c r="G626" s="3">
        <v>1.0</v>
      </c>
      <c r="H626" s="3">
        <v>0.0</v>
      </c>
      <c r="I626" s="1"/>
      <c r="J626" s="3">
        <v>836.0</v>
      </c>
    </row>
    <row r="627">
      <c r="A627" s="3">
        <v>471.0</v>
      </c>
      <c r="B627" s="3">
        <v>471.0</v>
      </c>
      <c r="C627" s="3">
        <v>0.0</v>
      </c>
      <c r="D627" s="3">
        <v>1.0</v>
      </c>
      <c r="E627" s="1" t="s">
        <v>201</v>
      </c>
      <c r="F627" s="1" t="s">
        <v>249</v>
      </c>
      <c r="G627" s="3">
        <v>1.0</v>
      </c>
      <c r="H627" s="3">
        <v>0.0</v>
      </c>
      <c r="I627" s="1"/>
      <c r="J627" s="3">
        <v>836.0</v>
      </c>
    </row>
    <row r="628">
      <c r="A628" s="3">
        <v>472.0</v>
      </c>
      <c r="B628" s="3">
        <v>472.0</v>
      </c>
      <c r="C628" s="3">
        <v>0.0</v>
      </c>
      <c r="D628" s="3">
        <v>1.0</v>
      </c>
      <c r="E628" s="1" t="s">
        <v>201</v>
      </c>
      <c r="F628" s="1" t="s">
        <v>250</v>
      </c>
      <c r="G628" s="3">
        <v>1.0</v>
      </c>
      <c r="H628" s="3">
        <v>0.0</v>
      </c>
      <c r="I628" s="1"/>
      <c r="J628" s="3">
        <v>836.0</v>
      </c>
    </row>
    <row r="629">
      <c r="A629" s="3">
        <v>473.0</v>
      </c>
      <c r="B629" s="3">
        <v>473.0</v>
      </c>
      <c r="C629" s="3">
        <v>337.0</v>
      </c>
      <c r="D629" s="3">
        <v>1.0</v>
      </c>
      <c r="E629" s="1" t="s">
        <v>251</v>
      </c>
      <c r="F629" s="3">
        <v>1.0</v>
      </c>
      <c r="G629" s="3">
        <v>1.0</v>
      </c>
      <c r="H629" s="3">
        <v>0.0</v>
      </c>
      <c r="I629" s="1"/>
      <c r="J629" s="3">
        <v>836.0</v>
      </c>
    </row>
    <row r="630">
      <c r="A630" s="3">
        <v>474.0</v>
      </c>
      <c r="B630" s="3">
        <v>474.0</v>
      </c>
      <c r="C630" s="3">
        <v>341.0</v>
      </c>
      <c r="D630" s="3">
        <v>1.0</v>
      </c>
      <c r="E630" s="1" t="s">
        <v>251</v>
      </c>
      <c r="F630" s="3">
        <v>2.0</v>
      </c>
      <c r="G630" s="3">
        <v>1.0</v>
      </c>
      <c r="H630" s="3">
        <v>0.0</v>
      </c>
      <c r="I630" s="1"/>
      <c r="J630" s="3">
        <v>836.0</v>
      </c>
    </row>
    <row r="631">
      <c r="A631" s="3">
        <v>475.0</v>
      </c>
      <c r="B631" s="3">
        <v>475.0</v>
      </c>
      <c r="C631" s="3">
        <v>342.0</v>
      </c>
      <c r="D631" s="3">
        <v>1.0</v>
      </c>
      <c r="E631" s="1" t="s">
        <v>251</v>
      </c>
      <c r="F631" s="3">
        <v>3.0</v>
      </c>
      <c r="G631" s="3">
        <v>1.0</v>
      </c>
      <c r="H631" s="3">
        <v>0.0</v>
      </c>
      <c r="I631" s="1"/>
      <c r="J631" s="3">
        <v>836.0</v>
      </c>
    </row>
    <row r="632">
      <c r="A632" s="3">
        <v>476.0</v>
      </c>
      <c r="B632" s="3">
        <v>476.0</v>
      </c>
      <c r="C632" s="3">
        <v>343.0</v>
      </c>
      <c r="D632" s="3">
        <v>1.0</v>
      </c>
      <c r="E632" s="1" t="s">
        <v>251</v>
      </c>
      <c r="F632" s="3">
        <v>4.0</v>
      </c>
      <c r="G632" s="3">
        <v>1.0</v>
      </c>
      <c r="H632" s="3">
        <v>0.0</v>
      </c>
      <c r="I632" s="1"/>
      <c r="J632" s="3">
        <v>836.0</v>
      </c>
    </row>
    <row r="633">
      <c r="A633" s="3">
        <v>477.0</v>
      </c>
      <c r="B633" s="3">
        <v>477.0</v>
      </c>
      <c r="C633" s="3">
        <v>344.0</v>
      </c>
      <c r="D633" s="3">
        <v>1.0</v>
      </c>
      <c r="E633" s="1" t="s">
        <v>251</v>
      </c>
      <c r="F633" s="3">
        <v>5.0</v>
      </c>
      <c r="G633" s="3">
        <v>1.0</v>
      </c>
      <c r="H633" s="3">
        <v>0.0</v>
      </c>
      <c r="I633" s="1"/>
      <c r="J633" s="3">
        <v>836.0</v>
      </c>
    </row>
    <row r="634">
      <c r="A634" s="3">
        <v>478.0</v>
      </c>
      <c r="B634" s="3">
        <v>478.0</v>
      </c>
      <c r="C634" s="3">
        <v>345.0</v>
      </c>
      <c r="D634" s="3">
        <v>1.0</v>
      </c>
      <c r="E634" s="1" t="s">
        <v>251</v>
      </c>
      <c r="F634" s="3">
        <v>6.0</v>
      </c>
      <c r="G634" s="3">
        <v>1.0</v>
      </c>
      <c r="H634" s="3">
        <v>0.0</v>
      </c>
      <c r="I634" s="1"/>
      <c r="J634" s="3">
        <v>836.0</v>
      </c>
    </row>
    <row r="635">
      <c r="A635" s="3">
        <v>479.0</v>
      </c>
      <c r="B635" s="3">
        <v>479.0</v>
      </c>
      <c r="C635" s="3">
        <v>0.0</v>
      </c>
      <c r="D635" s="3">
        <v>1.0</v>
      </c>
      <c r="E635" s="1" t="s">
        <v>251</v>
      </c>
      <c r="F635" s="1" t="s">
        <v>136</v>
      </c>
      <c r="G635" s="3">
        <v>1.0</v>
      </c>
      <c r="H635" s="3">
        <v>0.0</v>
      </c>
      <c r="I635" s="1"/>
      <c r="J635" s="3">
        <v>836.0</v>
      </c>
    </row>
    <row r="636">
      <c r="A636" s="3">
        <v>480.0</v>
      </c>
      <c r="B636" s="3">
        <v>480.0</v>
      </c>
      <c r="C636" s="3">
        <v>836.0</v>
      </c>
      <c r="D636" s="3">
        <v>1.0</v>
      </c>
      <c r="E636" s="1" t="s">
        <v>251</v>
      </c>
      <c r="F636" s="3">
        <v>7.0</v>
      </c>
      <c r="G636" s="3">
        <v>1.0</v>
      </c>
      <c r="H636" s="3">
        <v>0.0</v>
      </c>
      <c r="I636" s="1"/>
      <c r="J636" s="3">
        <v>836.0</v>
      </c>
    </row>
    <row r="637">
      <c r="A637" s="3">
        <v>481.0</v>
      </c>
      <c r="B637" s="3">
        <v>481.0</v>
      </c>
      <c r="C637" s="3">
        <v>875.0</v>
      </c>
      <c r="D637" s="3">
        <v>1.0</v>
      </c>
      <c r="E637" s="1" t="s">
        <v>251</v>
      </c>
      <c r="F637" s="1" t="s">
        <v>58</v>
      </c>
      <c r="G637" s="3">
        <v>1.0</v>
      </c>
      <c r="H637" s="3">
        <v>0.0</v>
      </c>
      <c r="I637" s="1"/>
      <c r="J637" s="3">
        <v>836.0</v>
      </c>
    </row>
    <row r="638">
      <c r="A638" s="3">
        <v>482.0</v>
      </c>
      <c r="B638" s="3">
        <v>482.0</v>
      </c>
      <c r="C638" s="3">
        <v>876.0</v>
      </c>
      <c r="D638" s="3">
        <v>1.0</v>
      </c>
      <c r="E638" s="1" t="s">
        <v>251</v>
      </c>
      <c r="F638" s="1" t="s">
        <v>166</v>
      </c>
      <c r="G638" s="3">
        <v>1.0</v>
      </c>
      <c r="H638" s="3">
        <v>0.0</v>
      </c>
      <c r="I638" s="1"/>
      <c r="J638" s="3">
        <v>836.0</v>
      </c>
    </row>
    <row r="639">
      <c r="A639" s="3">
        <v>483.0</v>
      </c>
      <c r="B639" s="3">
        <v>483.0</v>
      </c>
      <c r="C639" s="3">
        <v>877.0</v>
      </c>
      <c r="D639" s="3">
        <v>1.0</v>
      </c>
      <c r="E639" s="1" t="s">
        <v>251</v>
      </c>
      <c r="F639" s="1" t="s">
        <v>59</v>
      </c>
      <c r="G639" s="3">
        <v>1.0</v>
      </c>
      <c r="H639" s="3">
        <v>0.0</v>
      </c>
      <c r="I639" s="1"/>
      <c r="J639" s="3">
        <v>836.0</v>
      </c>
    </row>
    <row r="640">
      <c r="A640" s="3">
        <v>484.0</v>
      </c>
      <c r="B640" s="3">
        <v>484.0</v>
      </c>
      <c r="C640" s="3">
        <v>460.0</v>
      </c>
      <c r="D640" s="3">
        <v>1.0</v>
      </c>
      <c r="E640" s="1" t="s">
        <v>201</v>
      </c>
      <c r="F640" s="1" t="s">
        <v>150</v>
      </c>
      <c r="G640" s="3">
        <v>1.0</v>
      </c>
      <c r="H640" s="3">
        <v>0.0</v>
      </c>
      <c r="I640" s="1"/>
      <c r="J640" s="3">
        <v>836.0</v>
      </c>
    </row>
    <row r="641">
      <c r="A641" s="3">
        <v>485.0</v>
      </c>
      <c r="B641" s="3">
        <v>485.0</v>
      </c>
      <c r="C641" s="3">
        <v>878.0</v>
      </c>
      <c r="D641" s="3">
        <v>1.0</v>
      </c>
      <c r="E641" s="1" t="s">
        <v>251</v>
      </c>
      <c r="F641" s="1" t="s">
        <v>60</v>
      </c>
      <c r="G641" s="3">
        <v>1.0</v>
      </c>
      <c r="H641" s="3">
        <v>0.0</v>
      </c>
      <c r="I641" s="1"/>
      <c r="J641" s="3">
        <v>836.0</v>
      </c>
    </row>
    <row r="642">
      <c r="A642" s="3">
        <v>486.0</v>
      </c>
      <c r="B642" s="3">
        <v>486.0</v>
      </c>
      <c r="C642" s="3">
        <v>879.0</v>
      </c>
      <c r="D642" s="3">
        <v>1.0</v>
      </c>
      <c r="E642" s="1" t="s">
        <v>251</v>
      </c>
      <c r="F642" s="1" t="s">
        <v>71</v>
      </c>
      <c r="G642" s="3">
        <v>1.0</v>
      </c>
      <c r="H642" s="3">
        <v>0.0</v>
      </c>
      <c r="I642" s="1"/>
      <c r="J642" s="3">
        <v>836.0</v>
      </c>
    </row>
    <row r="643">
      <c r="A643" s="3">
        <v>487.0</v>
      </c>
      <c r="B643" s="3">
        <v>487.0</v>
      </c>
      <c r="C643" s="3">
        <v>0.0</v>
      </c>
      <c r="D643" s="3">
        <v>1.0</v>
      </c>
      <c r="E643" s="1" t="s">
        <v>251</v>
      </c>
      <c r="F643" s="1" t="s">
        <v>72</v>
      </c>
      <c r="G643" s="3">
        <v>1.0</v>
      </c>
      <c r="H643" s="3">
        <v>0.0</v>
      </c>
      <c r="I643" s="1"/>
      <c r="J643" s="3">
        <v>836.0</v>
      </c>
    </row>
    <row r="644">
      <c r="A644" s="3">
        <v>488.0</v>
      </c>
      <c r="B644" s="3">
        <v>488.0</v>
      </c>
      <c r="C644" s="3">
        <v>0.0</v>
      </c>
      <c r="D644" s="3">
        <v>1.0</v>
      </c>
      <c r="E644" s="1" t="s">
        <v>251</v>
      </c>
      <c r="F644" s="1" t="s">
        <v>252</v>
      </c>
      <c r="G644" s="3">
        <v>1.0</v>
      </c>
      <c r="H644" s="3">
        <v>0.0</v>
      </c>
      <c r="I644" s="1"/>
      <c r="J644" s="3">
        <v>836.0</v>
      </c>
    </row>
    <row r="645">
      <c r="A645" s="3">
        <v>489.0</v>
      </c>
      <c r="B645" s="3">
        <v>489.0</v>
      </c>
      <c r="C645" s="3">
        <v>0.0</v>
      </c>
      <c r="D645" s="3">
        <v>1.0</v>
      </c>
      <c r="E645" s="1" t="s">
        <v>251</v>
      </c>
      <c r="F645" s="1" t="s">
        <v>253</v>
      </c>
      <c r="G645" s="3">
        <v>1.0</v>
      </c>
      <c r="H645" s="3">
        <v>0.0</v>
      </c>
      <c r="I645" s="1"/>
      <c r="J645" s="3">
        <v>836.0</v>
      </c>
    </row>
    <row r="646">
      <c r="A646" s="3">
        <v>490.0</v>
      </c>
      <c r="B646" s="3">
        <v>490.0</v>
      </c>
      <c r="C646" s="3">
        <v>880.0</v>
      </c>
      <c r="D646" s="3">
        <v>1.0</v>
      </c>
      <c r="E646" s="1" t="s">
        <v>251</v>
      </c>
      <c r="F646" s="3">
        <v>9.0</v>
      </c>
      <c r="G646" s="3">
        <v>1.0</v>
      </c>
      <c r="H646" s="3">
        <v>0.0</v>
      </c>
      <c r="I646" s="1"/>
      <c r="J646" s="3">
        <v>836.0</v>
      </c>
    </row>
    <row r="647">
      <c r="A647" s="3">
        <v>491.0</v>
      </c>
      <c r="B647" s="3">
        <v>491.0</v>
      </c>
      <c r="C647" s="3">
        <v>0.0</v>
      </c>
      <c r="D647" s="3">
        <v>1.0</v>
      </c>
      <c r="E647" s="1" t="s">
        <v>251</v>
      </c>
      <c r="F647" s="3">
        <v>10.0</v>
      </c>
      <c r="G647" s="3">
        <v>1.0</v>
      </c>
      <c r="H647" s="3">
        <v>0.0</v>
      </c>
      <c r="I647" s="1"/>
      <c r="J647" s="3">
        <v>836.0</v>
      </c>
    </row>
    <row r="648">
      <c r="A648" s="3">
        <v>492.0</v>
      </c>
      <c r="B648" s="3">
        <v>492.0</v>
      </c>
      <c r="C648" s="3">
        <v>0.0</v>
      </c>
      <c r="D648" s="3">
        <v>1.0</v>
      </c>
      <c r="E648" s="1" t="s">
        <v>251</v>
      </c>
      <c r="F648" s="3">
        <v>11.0</v>
      </c>
      <c r="G648" s="3">
        <v>1.0</v>
      </c>
      <c r="H648" s="3">
        <v>0.0</v>
      </c>
      <c r="I648" s="1"/>
      <c r="J648" s="3">
        <v>836.0</v>
      </c>
    </row>
    <row r="649">
      <c r="A649" s="3">
        <v>493.0</v>
      </c>
      <c r="B649" s="3">
        <v>493.0</v>
      </c>
      <c r="C649" s="3">
        <v>0.0</v>
      </c>
      <c r="D649" s="3">
        <v>1.0</v>
      </c>
      <c r="E649" s="1" t="s">
        <v>251</v>
      </c>
      <c r="F649" s="3">
        <v>12.0</v>
      </c>
      <c r="G649" s="3">
        <v>1.0</v>
      </c>
      <c r="H649" s="3">
        <v>0.0</v>
      </c>
      <c r="I649" s="1"/>
      <c r="J649" s="3">
        <v>836.0</v>
      </c>
    </row>
    <row r="650">
      <c r="A650" s="3">
        <v>494.0</v>
      </c>
      <c r="B650" s="3">
        <v>494.0</v>
      </c>
      <c r="C650" s="3">
        <v>0.0</v>
      </c>
      <c r="D650" s="3">
        <v>1.0</v>
      </c>
      <c r="E650" s="1" t="s">
        <v>251</v>
      </c>
      <c r="F650" s="3">
        <v>13.0</v>
      </c>
      <c r="G650" s="3">
        <v>1.0</v>
      </c>
      <c r="H650" s="3">
        <v>0.0</v>
      </c>
      <c r="I650" s="1"/>
      <c r="J650" s="3">
        <v>836.0</v>
      </c>
    </row>
    <row r="651">
      <c r="A651" s="3">
        <v>495.0</v>
      </c>
      <c r="B651" s="3">
        <v>495.0</v>
      </c>
      <c r="C651" s="3">
        <v>0.0</v>
      </c>
      <c r="D651" s="3">
        <v>1.0</v>
      </c>
      <c r="E651" s="1" t="s">
        <v>251</v>
      </c>
      <c r="F651" s="3">
        <v>14.0</v>
      </c>
      <c r="G651" s="3">
        <v>1.0</v>
      </c>
      <c r="H651" s="3">
        <v>0.0</v>
      </c>
      <c r="I651" s="1"/>
      <c r="J651" s="3">
        <v>836.0</v>
      </c>
    </row>
    <row r="652">
      <c r="A652" s="3">
        <v>496.0</v>
      </c>
      <c r="B652" s="3">
        <v>496.0</v>
      </c>
      <c r="C652" s="3">
        <v>0.0</v>
      </c>
      <c r="D652" s="3">
        <v>1.0</v>
      </c>
      <c r="E652" s="1" t="s">
        <v>254</v>
      </c>
      <c r="F652" s="1" t="s">
        <v>93</v>
      </c>
      <c r="G652" s="3">
        <v>1.0</v>
      </c>
      <c r="H652" s="3">
        <v>0.0</v>
      </c>
      <c r="I652" s="1"/>
      <c r="J652" s="3">
        <v>836.0</v>
      </c>
    </row>
    <row r="653">
      <c r="A653" s="3">
        <v>497.0</v>
      </c>
      <c r="B653" s="3">
        <v>497.0</v>
      </c>
      <c r="C653" s="3">
        <v>0.0</v>
      </c>
      <c r="D653" s="3">
        <v>1.0</v>
      </c>
      <c r="E653" s="1" t="s">
        <v>254</v>
      </c>
      <c r="F653" s="1" t="s">
        <v>106</v>
      </c>
      <c r="G653" s="3">
        <v>1.0</v>
      </c>
      <c r="H653" s="3">
        <v>0.0</v>
      </c>
      <c r="I653" s="1"/>
      <c r="J653" s="3">
        <v>836.0</v>
      </c>
    </row>
    <row r="654">
      <c r="A654" s="3">
        <v>498.0</v>
      </c>
      <c r="B654" s="3">
        <v>498.0</v>
      </c>
      <c r="C654" s="3">
        <v>939.0</v>
      </c>
      <c r="D654" s="3">
        <v>1.0</v>
      </c>
      <c r="E654" s="1" t="s">
        <v>201</v>
      </c>
      <c r="F654" s="1" t="s">
        <v>255</v>
      </c>
      <c r="G654" s="3">
        <v>1.0</v>
      </c>
      <c r="H654" s="3">
        <v>0.0</v>
      </c>
      <c r="I654" s="1"/>
      <c r="J654" s="3">
        <v>836.0</v>
      </c>
    </row>
    <row r="655">
      <c r="A655" s="3">
        <v>499.0</v>
      </c>
      <c r="B655" s="3">
        <v>499.0</v>
      </c>
      <c r="C655" s="3">
        <v>0.0</v>
      </c>
      <c r="D655" s="3">
        <v>1.0</v>
      </c>
      <c r="E655" s="1" t="s">
        <v>256</v>
      </c>
      <c r="F655" s="1" t="s">
        <v>93</v>
      </c>
      <c r="G655" s="3">
        <v>1.0</v>
      </c>
      <c r="H655" s="3">
        <v>0.0</v>
      </c>
      <c r="I655" s="1"/>
      <c r="J655" s="3">
        <v>836.0</v>
      </c>
    </row>
    <row r="656">
      <c r="A656" s="3">
        <v>500.0</v>
      </c>
      <c r="B656" s="3">
        <v>500.0</v>
      </c>
      <c r="C656" s="3">
        <v>0.0</v>
      </c>
      <c r="D656" s="3">
        <v>1.0</v>
      </c>
      <c r="E656" s="1" t="s">
        <v>256</v>
      </c>
      <c r="F656" s="1" t="s">
        <v>106</v>
      </c>
      <c r="G656" s="3">
        <v>1.0</v>
      </c>
      <c r="H656" s="3">
        <v>0.0</v>
      </c>
      <c r="I656" s="1"/>
      <c r="J656" s="3">
        <v>836.0</v>
      </c>
    </row>
    <row r="657">
      <c r="A657" s="3">
        <v>501.0</v>
      </c>
      <c r="B657" s="3">
        <v>501.0</v>
      </c>
      <c r="C657" s="3">
        <v>0.0</v>
      </c>
      <c r="D657" s="3">
        <v>1.0</v>
      </c>
      <c r="E657" s="1" t="s">
        <v>256</v>
      </c>
      <c r="F657" s="1" t="s">
        <v>257</v>
      </c>
      <c r="G657" s="3">
        <v>1.0</v>
      </c>
      <c r="H657" s="3">
        <v>0.0</v>
      </c>
      <c r="I657" s="1"/>
      <c r="J657" s="3">
        <v>836.0</v>
      </c>
    </row>
    <row r="658">
      <c r="A658" s="3">
        <v>502.0</v>
      </c>
      <c r="B658" s="3">
        <v>502.0</v>
      </c>
      <c r="C658" s="3">
        <v>0.0</v>
      </c>
      <c r="D658" s="3">
        <v>1.0</v>
      </c>
      <c r="E658" s="1" t="s">
        <v>256</v>
      </c>
      <c r="F658" s="1" t="s">
        <v>258</v>
      </c>
      <c r="G658" s="3">
        <v>1.0</v>
      </c>
      <c r="H658" s="3">
        <v>0.0</v>
      </c>
      <c r="I658" s="1"/>
      <c r="J658" s="3">
        <v>836.0</v>
      </c>
    </row>
    <row r="659">
      <c r="A659" s="3">
        <v>503.0</v>
      </c>
      <c r="B659" s="3">
        <v>503.0</v>
      </c>
      <c r="C659" s="3">
        <v>426.0</v>
      </c>
      <c r="D659" s="3">
        <v>1.0</v>
      </c>
      <c r="E659" s="1" t="s">
        <v>256</v>
      </c>
      <c r="F659" s="1" t="s">
        <v>136</v>
      </c>
      <c r="G659" s="3">
        <v>1.0</v>
      </c>
      <c r="H659" s="3">
        <v>0.0</v>
      </c>
      <c r="I659" s="1"/>
      <c r="J659" s="3">
        <v>836.0</v>
      </c>
    </row>
    <row r="660">
      <c r="A660" s="3">
        <v>504.0</v>
      </c>
      <c r="B660" s="3">
        <v>504.0</v>
      </c>
      <c r="C660" s="3">
        <v>424.0</v>
      </c>
      <c r="D660" s="3">
        <v>1.0</v>
      </c>
      <c r="E660" s="1" t="s">
        <v>256</v>
      </c>
      <c r="F660" s="1" t="s">
        <v>259</v>
      </c>
      <c r="G660" s="3">
        <v>1.0</v>
      </c>
      <c r="H660" s="3">
        <v>0.0</v>
      </c>
      <c r="I660" s="1"/>
      <c r="J660" s="3">
        <v>836.0</v>
      </c>
    </row>
    <row r="661">
      <c r="A661" s="3">
        <v>505.0</v>
      </c>
      <c r="B661" s="3">
        <v>505.0</v>
      </c>
      <c r="C661" s="3">
        <v>425.0</v>
      </c>
      <c r="D661" s="3">
        <v>1.0</v>
      </c>
      <c r="E661" s="1" t="s">
        <v>256</v>
      </c>
      <c r="F661" s="1" t="s">
        <v>260</v>
      </c>
      <c r="G661" s="3">
        <v>1.0</v>
      </c>
      <c r="H661" s="3">
        <v>0.0</v>
      </c>
      <c r="I661" s="1"/>
      <c r="J661" s="3">
        <v>836.0</v>
      </c>
    </row>
    <row r="662">
      <c r="A662" s="3">
        <v>506.0</v>
      </c>
      <c r="B662" s="3">
        <v>506.0</v>
      </c>
      <c r="C662" s="3">
        <v>427.0</v>
      </c>
      <c r="D662" s="3">
        <v>1.0</v>
      </c>
      <c r="E662" s="1" t="s">
        <v>256</v>
      </c>
      <c r="F662" s="1" t="s">
        <v>261</v>
      </c>
      <c r="G662" s="3">
        <v>1.0</v>
      </c>
      <c r="H662" s="3">
        <v>0.0</v>
      </c>
      <c r="I662" s="1"/>
      <c r="J662" s="3">
        <v>836.0</v>
      </c>
    </row>
    <row r="663">
      <c r="A663" s="3">
        <v>507.0</v>
      </c>
      <c r="B663" s="3">
        <v>507.0</v>
      </c>
      <c r="C663" s="3">
        <v>428.0</v>
      </c>
      <c r="D663" s="3">
        <v>1.0</v>
      </c>
      <c r="E663" s="1" t="s">
        <v>256</v>
      </c>
      <c r="F663" s="1" t="s">
        <v>262</v>
      </c>
      <c r="G663" s="3">
        <v>1.0</v>
      </c>
      <c r="H663" s="3">
        <v>0.0</v>
      </c>
      <c r="I663" s="1"/>
      <c r="J663" s="3">
        <v>836.0</v>
      </c>
    </row>
    <row r="664">
      <c r="A664" s="3">
        <v>508.0</v>
      </c>
      <c r="B664" s="3">
        <v>508.0</v>
      </c>
      <c r="C664" s="3">
        <v>429.0</v>
      </c>
      <c r="D664" s="3">
        <v>1.0</v>
      </c>
      <c r="E664" s="1" t="s">
        <v>256</v>
      </c>
      <c r="F664" s="1" t="s">
        <v>263</v>
      </c>
      <c r="G664" s="3">
        <v>1.0</v>
      </c>
      <c r="H664" s="3">
        <v>0.0</v>
      </c>
      <c r="I664" s="1"/>
      <c r="J664" s="3">
        <v>836.0</v>
      </c>
    </row>
    <row r="665">
      <c r="A665" s="3">
        <v>509.0</v>
      </c>
      <c r="B665" s="3">
        <v>509.0</v>
      </c>
      <c r="C665" s="3">
        <v>430.0</v>
      </c>
      <c r="D665" s="3">
        <v>1.0</v>
      </c>
      <c r="E665" s="1" t="s">
        <v>256</v>
      </c>
      <c r="F665" s="1" t="s">
        <v>134</v>
      </c>
      <c r="G665" s="3">
        <v>1.0</v>
      </c>
      <c r="H665" s="3">
        <v>0.0</v>
      </c>
      <c r="I665" s="1"/>
      <c r="J665" s="3">
        <v>836.0</v>
      </c>
    </row>
    <row r="666">
      <c r="A666" s="3">
        <v>510.0</v>
      </c>
      <c r="B666" s="3">
        <v>510.0</v>
      </c>
      <c r="C666" s="3">
        <v>431.0</v>
      </c>
      <c r="D666" s="3">
        <v>1.0</v>
      </c>
      <c r="E666" s="1" t="s">
        <v>256</v>
      </c>
      <c r="F666" s="1" t="s">
        <v>133</v>
      </c>
      <c r="G666" s="3">
        <v>1.0</v>
      </c>
      <c r="H666" s="3">
        <v>0.0</v>
      </c>
      <c r="I666" s="1"/>
      <c r="J666" s="3">
        <v>836.0</v>
      </c>
    </row>
    <row r="667">
      <c r="A667" s="3">
        <v>511.0</v>
      </c>
      <c r="B667" s="3">
        <v>511.0</v>
      </c>
      <c r="C667" s="3">
        <v>415.0</v>
      </c>
      <c r="D667" s="3">
        <v>1.0</v>
      </c>
      <c r="E667" s="1" t="s">
        <v>256</v>
      </c>
      <c r="F667" s="1" t="s">
        <v>132</v>
      </c>
      <c r="G667" s="3">
        <v>1.0</v>
      </c>
      <c r="H667" s="3">
        <v>0.0</v>
      </c>
      <c r="I667" s="1"/>
      <c r="J667" s="3">
        <v>836.0</v>
      </c>
    </row>
    <row r="668">
      <c r="A668" s="3">
        <v>512.0</v>
      </c>
      <c r="B668" s="3">
        <v>512.0</v>
      </c>
      <c r="C668" s="3">
        <v>416.0</v>
      </c>
      <c r="D668" s="3">
        <v>1.0</v>
      </c>
      <c r="E668" s="1" t="s">
        <v>256</v>
      </c>
      <c r="F668" s="1" t="s">
        <v>149</v>
      </c>
      <c r="G668" s="3">
        <v>1.0</v>
      </c>
      <c r="H668" s="3">
        <v>0.0</v>
      </c>
      <c r="I668" s="1"/>
      <c r="J668" s="3">
        <v>836.0</v>
      </c>
    </row>
    <row r="669">
      <c r="A669" s="3">
        <v>513.0</v>
      </c>
      <c r="B669" s="3">
        <v>513.0</v>
      </c>
      <c r="C669" s="3">
        <v>417.0</v>
      </c>
      <c r="D669" s="3">
        <v>1.0</v>
      </c>
      <c r="E669" s="1" t="s">
        <v>256</v>
      </c>
      <c r="F669" s="1" t="s">
        <v>150</v>
      </c>
      <c r="G669" s="3">
        <v>1.0</v>
      </c>
      <c r="H669" s="3">
        <v>0.0</v>
      </c>
      <c r="I669" s="1"/>
      <c r="J669" s="3">
        <v>836.0</v>
      </c>
    </row>
    <row r="670">
      <c r="A670" s="3">
        <v>514.0</v>
      </c>
      <c r="B670" s="3">
        <v>514.0</v>
      </c>
      <c r="C670" s="3">
        <v>418.0</v>
      </c>
      <c r="D670" s="3">
        <v>1.0</v>
      </c>
      <c r="E670" s="1" t="s">
        <v>256</v>
      </c>
      <c r="F670" s="1" t="s">
        <v>215</v>
      </c>
      <c r="G670" s="3">
        <v>1.0</v>
      </c>
      <c r="H670" s="3">
        <v>0.0</v>
      </c>
      <c r="I670" s="1"/>
      <c r="J670" s="3">
        <v>836.0</v>
      </c>
    </row>
    <row r="671">
      <c r="A671" s="3">
        <v>515.0</v>
      </c>
      <c r="B671" s="3">
        <v>515.0</v>
      </c>
      <c r="C671" s="3">
        <v>419.0</v>
      </c>
      <c r="D671" s="3">
        <v>1.0</v>
      </c>
      <c r="E671" s="1" t="s">
        <v>256</v>
      </c>
      <c r="F671" s="1" t="s">
        <v>264</v>
      </c>
      <c r="G671" s="3">
        <v>1.0</v>
      </c>
      <c r="H671" s="3">
        <v>0.0</v>
      </c>
      <c r="I671" s="1"/>
      <c r="J671" s="3">
        <v>836.0</v>
      </c>
    </row>
    <row r="672">
      <c r="A672" s="3">
        <v>516.0</v>
      </c>
      <c r="B672" s="3">
        <v>516.0</v>
      </c>
      <c r="C672" s="3">
        <v>420.0</v>
      </c>
      <c r="D672" s="3">
        <v>1.0</v>
      </c>
      <c r="E672" s="1" t="s">
        <v>256</v>
      </c>
      <c r="F672" s="1" t="s">
        <v>265</v>
      </c>
      <c r="G672" s="3">
        <v>1.0</v>
      </c>
      <c r="H672" s="3">
        <v>0.0</v>
      </c>
      <c r="I672" s="1"/>
      <c r="J672" s="3">
        <v>836.0</v>
      </c>
    </row>
    <row r="673">
      <c r="A673" s="3">
        <v>517.0</v>
      </c>
      <c r="B673" s="3">
        <v>517.0</v>
      </c>
      <c r="C673" s="3">
        <v>421.0</v>
      </c>
      <c r="D673" s="3">
        <v>1.0</v>
      </c>
      <c r="E673" s="1" t="s">
        <v>256</v>
      </c>
      <c r="F673" s="1" t="s">
        <v>266</v>
      </c>
      <c r="G673" s="3">
        <v>1.0</v>
      </c>
      <c r="H673" s="3">
        <v>0.0</v>
      </c>
      <c r="I673" s="1"/>
      <c r="J673" s="3">
        <v>836.0</v>
      </c>
    </row>
    <row r="674">
      <c r="A674" s="3">
        <v>518.0</v>
      </c>
      <c r="B674" s="3">
        <v>518.0</v>
      </c>
      <c r="C674" s="3">
        <v>414.0</v>
      </c>
      <c r="D674" s="3">
        <v>1.0</v>
      </c>
      <c r="E674" s="1" t="s">
        <v>256</v>
      </c>
      <c r="F674" s="1" t="s">
        <v>205</v>
      </c>
      <c r="G674" s="3">
        <v>1.0</v>
      </c>
      <c r="H674" s="3">
        <v>0.0</v>
      </c>
      <c r="I674" s="1"/>
      <c r="J674" s="3">
        <v>836.0</v>
      </c>
    </row>
    <row r="675">
      <c r="A675" s="3">
        <v>519.0</v>
      </c>
      <c r="B675" s="3">
        <v>519.0</v>
      </c>
      <c r="C675" s="3">
        <v>413.0</v>
      </c>
      <c r="D675" s="3">
        <v>1.0</v>
      </c>
      <c r="E675" s="1" t="s">
        <v>256</v>
      </c>
      <c r="F675" s="1" t="s">
        <v>175</v>
      </c>
      <c r="G675" s="3">
        <v>1.0</v>
      </c>
      <c r="H675" s="3">
        <v>0.0</v>
      </c>
      <c r="I675" s="1"/>
      <c r="J675" s="3">
        <v>836.0</v>
      </c>
    </row>
    <row r="676">
      <c r="A676" s="3">
        <v>520.0</v>
      </c>
      <c r="B676" s="3">
        <v>520.0</v>
      </c>
      <c r="C676" s="3">
        <v>412.0</v>
      </c>
      <c r="D676" s="3">
        <v>1.0</v>
      </c>
      <c r="E676" s="1" t="s">
        <v>256</v>
      </c>
      <c r="F676" s="1" t="s">
        <v>130</v>
      </c>
      <c r="G676" s="3">
        <v>1.0</v>
      </c>
      <c r="H676" s="3">
        <v>0.0</v>
      </c>
      <c r="I676" s="1"/>
      <c r="J676" s="3">
        <v>836.0</v>
      </c>
    </row>
    <row r="677">
      <c r="A677" s="3">
        <v>521.0</v>
      </c>
      <c r="B677" s="3">
        <v>521.0</v>
      </c>
      <c r="C677" s="3">
        <v>411.0</v>
      </c>
      <c r="D677" s="3">
        <v>1.0</v>
      </c>
      <c r="E677" s="1" t="s">
        <v>256</v>
      </c>
      <c r="F677" s="1" t="s">
        <v>131</v>
      </c>
      <c r="G677" s="3">
        <v>1.0</v>
      </c>
      <c r="H677" s="3">
        <v>0.0</v>
      </c>
      <c r="I677" s="1"/>
      <c r="J677" s="3">
        <v>836.0</v>
      </c>
    </row>
    <row r="678">
      <c r="A678" s="3">
        <v>522.0</v>
      </c>
      <c r="B678" s="3">
        <v>522.0</v>
      </c>
      <c r="C678" s="3">
        <v>410.0</v>
      </c>
      <c r="D678" s="3">
        <v>1.0</v>
      </c>
      <c r="E678" s="1" t="s">
        <v>256</v>
      </c>
      <c r="F678" s="1" t="s">
        <v>129</v>
      </c>
      <c r="G678" s="3">
        <v>1.0</v>
      </c>
      <c r="H678" s="3">
        <v>0.0</v>
      </c>
      <c r="I678" s="1"/>
      <c r="J678" s="3">
        <v>836.0</v>
      </c>
    </row>
    <row r="679">
      <c r="A679" s="3">
        <v>523.0</v>
      </c>
      <c r="B679" s="3">
        <v>523.0</v>
      </c>
      <c r="C679" s="3">
        <v>399.0</v>
      </c>
      <c r="D679" s="3">
        <v>1.0</v>
      </c>
      <c r="E679" s="1" t="s">
        <v>256</v>
      </c>
      <c r="F679" s="1" t="s">
        <v>11</v>
      </c>
      <c r="G679" s="3">
        <v>1.0</v>
      </c>
      <c r="H679" s="3">
        <v>0.0</v>
      </c>
      <c r="I679" s="1"/>
      <c r="J679" s="3">
        <v>836.0</v>
      </c>
    </row>
    <row r="680">
      <c r="A680" s="3">
        <v>524.0</v>
      </c>
      <c r="B680" s="3">
        <v>524.0</v>
      </c>
      <c r="C680" s="3">
        <v>401.0</v>
      </c>
      <c r="D680" s="3">
        <v>1.0</v>
      </c>
      <c r="E680" s="1" t="s">
        <v>256</v>
      </c>
      <c r="F680" s="1" t="s">
        <v>267</v>
      </c>
      <c r="G680" s="3">
        <v>1.0</v>
      </c>
      <c r="H680" s="3">
        <v>0.0</v>
      </c>
      <c r="I680" s="1"/>
      <c r="J680" s="3">
        <v>836.0</v>
      </c>
    </row>
    <row r="681">
      <c r="A681" s="3">
        <v>525.0</v>
      </c>
      <c r="B681" s="3">
        <v>525.0</v>
      </c>
      <c r="C681" s="3">
        <v>400.0</v>
      </c>
      <c r="D681" s="3">
        <v>1.0</v>
      </c>
      <c r="E681" s="1" t="s">
        <v>256</v>
      </c>
      <c r="F681" s="1" t="s">
        <v>268</v>
      </c>
      <c r="G681" s="3">
        <v>1.0</v>
      </c>
      <c r="H681" s="3">
        <v>0.0</v>
      </c>
      <c r="I681" s="1"/>
      <c r="J681" s="3">
        <v>836.0</v>
      </c>
    </row>
    <row r="682">
      <c r="A682" s="3">
        <v>526.0</v>
      </c>
      <c r="B682" s="3">
        <v>526.0</v>
      </c>
      <c r="C682" s="3">
        <v>403.0</v>
      </c>
      <c r="D682" s="3">
        <v>1.0</v>
      </c>
      <c r="E682" s="1" t="s">
        <v>256</v>
      </c>
      <c r="F682" s="1" t="s">
        <v>269</v>
      </c>
      <c r="G682" s="3">
        <v>1.0</v>
      </c>
      <c r="H682" s="3">
        <v>0.0</v>
      </c>
      <c r="I682" s="1"/>
      <c r="J682" s="3">
        <v>836.0</v>
      </c>
    </row>
    <row r="683">
      <c r="A683" s="3">
        <v>527.0</v>
      </c>
      <c r="B683" s="3">
        <v>527.0</v>
      </c>
      <c r="C683" s="3">
        <v>404.0</v>
      </c>
      <c r="D683" s="3">
        <v>1.0</v>
      </c>
      <c r="E683" s="1" t="s">
        <v>256</v>
      </c>
      <c r="F683" s="1" t="s">
        <v>270</v>
      </c>
      <c r="G683" s="3">
        <v>1.0</v>
      </c>
      <c r="H683" s="3">
        <v>0.0</v>
      </c>
      <c r="I683" s="1"/>
      <c r="J683" s="3">
        <v>836.0</v>
      </c>
    </row>
    <row r="684">
      <c r="A684" s="3">
        <v>528.0</v>
      </c>
      <c r="B684" s="3">
        <v>528.0</v>
      </c>
      <c r="C684" s="3">
        <v>405.0</v>
      </c>
      <c r="D684" s="3">
        <v>1.0</v>
      </c>
      <c r="E684" s="1" t="s">
        <v>256</v>
      </c>
      <c r="F684" s="1" t="s">
        <v>271</v>
      </c>
      <c r="G684" s="3">
        <v>1.0</v>
      </c>
      <c r="H684" s="3">
        <v>0.0</v>
      </c>
      <c r="I684" s="1"/>
      <c r="J684" s="3">
        <v>836.0</v>
      </c>
    </row>
    <row r="685">
      <c r="A685" s="3">
        <v>529.0</v>
      </c>
      <c r="B685" s="3">
        <v>529.0</v>
      </c>
      <c r="C685" s="3">
        <v>406.0</v>
      </c>
      <c r="D685" s="3">
        <v>1.0</v>
      </c>
      <c r="E685" s="1" t="s">
        <v>256</v>
      </c>
      <c r="F685" s="1" t="s">
        <v>272</v>
      </c>
      <c r="G685" s="3">
        <v>1.0</v>
      </c>
      <c r="H685" s="3">
        <v>0.0</v>
      </c>
      <c r="I685" s="1"/>
      <c r="J685" s="3">
        <v>836.0</v>
      </c>
    </row>
    <row r="686">
      <c r="A686" s="3">
        <v>530.0</v>
      </c>
      <c r="B686" s="3">
        <v>530.0</v>
      </c>
      <c r="C686" s="3">
        <v>0.0</v>
      </c>
      <c r="D686" s="3">
        <v>1.0</v>
      </c>
      <c r="E686" s="1" t="s">
        <v>256</v>
      </c>
      <c r="F686" s="1" t="s">
        <v>273</v>
      </c>
      <c r="G686" s="3">
        <v>1.0</v>
      </c>
      <c r="H686" s="3">
        <v>0.0</v>
      </c>
      <c r="I686" s="1"/>
      <c r="J686" s="3">
        <v>836.0</v>
      </c>
    </row>
    <row r="687">
      <c r="A687" s="3">
        <v>531.0</v>
      </c>
      <c r="B687" s="3">
        <v>531.0</v>
      </c>
      <c r="C687" s="3">
        <v>408.0</v>
      </c>
      <c r="D687" s="3">
        <v>1.0</v>
      </c>
      <c r="E687" s="1" t="s">
        <v>256</v>
      </c>
      <c r="F687" s="1" t="s">
        <v>274</v>
      </c>
      <c r="G687" s="3">
        <v>1.0</v>
      </c>
      <c r="H687" s="3">
        <v>0.0</v>
      </c>
      <c r="I687" s="1"/>
      <c r="J687" s="3">
        <v>836.0</v>
      </c>
    </row>
    <row r="688">
      <c r="A688" s="3">
        <v>532.0</v>
      </c>
      <c r="B688" s="3">
        <v>532.0</v>
      </c>
      <c r="C688" s="3">
        <v>407.0</v>
      </c>
      <c r="D688" s="3">
        <v>1.0</v>
      </c>
      <c r="E688" s="1" t="s">
        <v>256</v>
      </c>
      <c r="F688" s="1" t="s">
        <v>275</v>
      </c>
      <c r="G688" s="3">
        <v>1.0</v>
      </c>
      <c r="H688" s="3">
        <v>0.0</v>
      </c>
      <c r="I688" s="1"/>
      <c r="J688" s="3">
        <v>836.0</v>
      </c>
    </row>
    <row r="689">
      <c r="A689" s="3">
        <v>533.0</v>
      </c>
      <c r="B689" s="3">
        <v>533.0</v>
      </c>
      <c r="C689" s="3">
        <v>402.0</v>
      </c>
      <c r="D689" s="3">
        <v>1.0</v>
      </c>
      <c r="E689" s="1" t="s">
        <v>256</v>
      </c>
      <c r="F689" s="1" t="s">
        <v>276</v>
      </c>
      <c r="G689" s="3">
        <v>1.0</v>
      </c>
      <c r="H689" s="3">
        <v>0.0</v>
      </c>
      <c r="I689" s="1"/>
      <c r="J689" s="3">
        <v>836.0</v>
      </c>
    </row>
    <row r="690">
      <c r="A690" s="3">
        <v>534.0</v>
      </c>
      <c r="B690" s="3">
        <v>534.0</v>
      </c>
      <c r="C690" s="3">
        <v>397.0</v>
      </c>
      <c r="D690" s="3">
        <v>1.0</v>
      </c>
      <c r="E690" s="1" t="s">
        <v>256</v>
      </c>
      <c r="F690" s="1" t="s">
        <v>176</v>
      </c>
      <c r="G690" s="3">
        <v>1.0</v>
      </c>
      <c r="H690" s="3">
        <v>0.0</v>
      </c>
      <c r="I690" s="1"/>
      <c r="J690" s="3">
        <v>836.0</v>
      </c>
    </row>
    <row r="691">
      <c r="A691" s="3">
        <v>535.0</v>
      </c>
      <c r="B691" s="3">
        <v>535.0</v>
      </c>
      <c r="C691" s="3">
        <v>398.0</v>
      </c>
      <c r="D691" s="3">
        <v>1.0</v>
      </c>
      <c r="E691" s="1" t="s">
        <v>256</v>
      </c>
      <c r="F691" s="1" t="s">
        <v>178</v>
      </c>
      <c r="G691" s="3">
        <v>1.0</v>
      </c>
      <c r="H691" s="3">
        <v>0.0</v>
      </c>
      <c r="I691" s="1"/>
      <c r="J691" s="3">
        <v>836.0</v>
      </c>
    </row>
    <row r="692">
      <c r="A692" s="3">
        <v>536.0</v>
      </c>
      <c r="B692" s="3">
        <v>536.0</v>
      </c>
      <c r="C692" s="3">
        <v>394.0</v>
      </c>
      <c r="D692" s="3">
        <v>1.0</v>
      </c>
      <c r="E692" s="1" t="s">
        <v>256</v>
      </c>
      <c r="F692" s="1" t="s">
        <v>162</v>
      </c>
      <c r="G692" s="3">
        <v>1.0</v>
      </c>
      <c r="H692" s="3">
        <v>0.0</v>
      </c>
      <c r="I692" s="1"/>
      <c r="J692" s="3">
        <v>836.0</v>
      </c>
    </row>
    <row r="693">
      <c r="A693" s="3">
        <v>537.0</v>
      </c>
      <c r="B693" s="3">
        <v>537.0</v>
      </c>
      <c r="C693" s="3">
        <v>395.0</v>
      </c>
      <c r="D693" s="3">
        <v>1.0</v>
      </c>
      <c r="E693" s="1" t="s">
        <v>256</v>
      </c>
      <c r="F693" s="1" t="s">
        <v>159</v>
      </c>
      <c r="G693" s="3">
        <v>1.0</v>
      </c>
      <c r="H693" s="3">
        <v>0.0</v>
      </c>
      <c r="I693" s="1"/>
      <c r="J693" s="3">
        <v>836.0</v>
      </c>
    </row>
    <row r="694">
      <c r="A694" s="3">
        <v>538.0</v>
      </c>
      <c r="B694" s="3">
        <v>538.0</v>
      </c>
      <c r="C694" s="3">
        <v>392.0</v>
      </c>
      <c r="D694" s="3">
        <v>1.0</v>
      </c>
      <c r="E694" s="1" t="s">
        <v>256</v>
      </c>
      <c r="F694" s="1" t="s">
        <v>160</v>
      </c>
      <c r="G694" s="3">
        <v>1.0</v>
      </c>
      <c r="H694" s="3">
        <v>0.0</v>
      </c>
      <c r="I694" s="1"/>
      <c r="J694" s="3">
        <v>836.0</v>
      </c>
    </row>
    <row r="695">
      <c r="A695" s="3">
        <v>539.0</v>
      </c>
      <c r="B695" s="3">
        <v>539.0</v>
      </c>
      <c r="C695" s="3">
        <v>393.0</v>
      </c>
      <c r="D695" s="3">
        <v>1.0</v>
      </c>
      <c r="E695" s="1" t="s">
        <v>256</v>
      </c>
      <c r="F695" s="1" t="s">
        <v>277</v>
      </c>
      <c r="G695" s="3">
        <v>1.0</v>
      </c>
      <c r="H695" s="3">
        <v>0.0</v>
      </c>
      <c r="I695" s="1"/>
      <c r="J695" s="3">
        <v>836.0</v>
      </c>
    </row>
    <row r="696">
      <c r="A696" s="3">
        <v>540.0</v>
      </c>
      <c r="B696" s="3">
        <v>540.0</v>
      </c>
      <c r="C696" s="3">
        <v>391.0</v>
      </c>
      <c r="D696" s="3">
        <v>1.0</v>
      </c>
      <c r="E696" s="1" t="s">
        <v>256</v>
      </c>
      <c r="F696" s="1" t="s">
        <v>153</v>
      </c>
      <c r="G696" s="3">
        <v>1.0</v>
      </c>
      <c r="H696" s="3">
        <v>0.0</v>
      </c>
      <c r="I696" s="1"/>
      <c r="J696" s="3">
        <v>836.0</v>
      </c>
    </row>
    <row r="697">
      <c r="A697" s="3">
        <v>541.0</v>
      </c>
      <c r="B697" s="3">
        <v>541.0</v>
      </c>
      <c r="C697" s="3">
        <v>390.0</v>
      </c>
      <c r="D697" s="3">
        <v>1.0</v>
      </c>
      <c r="E697" s="1" t="s">
        <v>256</v>
      </c>
      <c r="F697" s="1" t="s">
        <v>278</v>
      </c>
      <c r="G697" s="3">
        <v>1.0</v>
      </c>
      <c r="H697" s="3">
        <v>0.0</v>
      </c>
      <c r="I697" s="1"/>
      <c r="J697" s="3">
        <v>836.0</v>
      </c>
    </row>
    <row r="698">
      <c r="A698" s="3">
        <v>542.0</v>
      </c>
      <c r="B698" s="3">
        <v>542.0</v>
      </c>
      <c r="C698" s="3">
        <v>389.0</v>
      </c>
      <c r="D698" s="3">
        <v>1.0</v>
      </c>
      <c r="E698" s="1" t="s">
        <v>256</v>
      </c>
      <c r="F698" s="1" t="s">
        <v>161</v>
      </c>
      <c r="G698" s="3">
        <v>1.0</v>
      </c>
      <c r="H698" s="3">
        <v>0.0</v>
      </c>
      <c r="I698" s="1"/>
      <c r="J698" s="3">
        <v>836.0</v>
      </c>
    </row>
    <row r="699">
      <c r="A699" s="3">
        <v>543.0</v>
      </c>
      <c r="B699" s="3">
        <v>543.0</v>
      </c>
      <c r="C699" s="3">
        <v>388.0</v>
      </c>
      <c r="D699" s="3">
        <v>1.0</v>
      </c>
      <c r="E699" s="1" t="s">
        <v>256</v>
      </c>
      <c r="F699" s="1" t="s">
        <v>163</v>
      </c>
      <c r="G699" s="3">
        <v>1.0</v>
      </c>
      <c r="H699" s="3">
        <v>0.0</v>
      </c>
      <c r="I699" s="1"/>
      <c r="J699" s="3">
        <v>836.0</v>
      </c>
    </row>
    <row r="700">
      <c r="A700" s="3">
        <v>544.0</v>
      </c>
      <c r="B700" s="3">
        <v>544.0</v>
      </c>
      <c r="C700" s="3">
        <v>396.0</v>
      </c>
      <c r="D700" s="3">
        <v>1.0</v>
      </c>
      <c r="E700" s="1" t="s">
        <v>256</v>
      </c>
      <c r="F700" s="1" t="s">
        <v>177</v>
      </c>
      <c r="G700" s="3">
        <v>1.0</v>
      </c>
      <c r="H700" s="3">
        <v>0.0</v>
      </c>
      <c r="I700" s="1"/>
      <c r="J700" s="3">
        <v>836.0</v>
      </c>
    </row>
    <row r="701">
      <c r="A701" s="3">
        <v>545.0</v>
      </c>
      <c r="B701" s="3">
        <v>545.0</v>
      </c>
      <c r="C701" s="3">
        <v>376.0</v>
      </c>
      <c r="D701" s="3">
        <v>1.0</v>
      </c>
      <c r="E701" s="1" t="s">
        <v>256</v>
      </c>
      <c r="F701" s="1" t="s">
        <v>24</v>
      </c>
      <c r="G701" s="3">
        <v>1.0</v>
      </c>
      <c r="H701" s="3">
        <v>0.0</v>
      </c>
      <c r="I701" s="1"/>
      <c r="J701" s="3">
        <v>836.0</v>
      </c>
    </row>
    <row r="702">
      <c r="A702" s="3">
        <v>546.0</v>
      </c>
      <c r="B702" s="3">
        <v>546.0</v>
      </c>
      <c r="C702" s="3">
        <v>382.0</v>
      </c>
      <c r="D702" s="3">
        <v>1.0</v>
      </c>
      <c r="E702" s="1" t="s">
        <v>256</v>
      </c>
      <c r="F702" s="1" t="s">
        <v>115</v>
      </c>
      <c r="G702" s="3">
        <v>1.0</v>
      </c>
      <c r="H702" s="3">
        <v>0.0</v>
      </c>
      <c r="I702" s="1"/>
      <c r="J702" s="3">
        <v>836.0</v>
      </c>
    </row>
    <row r="703">
      <c r="A703" s="3">
        <v>547.0</v>
      </c>
      <c r="B703" s="3">
        <v>547.0</v>
      </c>
      <c r="C703" s="3">
        <v>377.0</v>
      </c>
      <c r="D703" s="3">
        <v>1.0</v>
      </c>
      <c r="E703" s="1" t="s">
        <v>256</v>
      </c>
      <c r="F703" s="1" t="s">
        <v>25</v>
      </c>
      <c r="G703" s="3">
        <v>1.0</v>
      </c>
      <c r="H703" s="3">
        <v>0.0</v>
      </c>
      <c r="I703" s="1"/>
      <c r="J703" s="3">
        <v>836.0</v>
      </c>
    </row>
    <row r="704">
      <c r="A704" s="3">
        <v>548.0</v>
      </c>
      <c r="B704" s="3">
        <v>548.0</v>
      </c>
      <c r="C704" s="3">
        <v>386.0</v>
      </c>
      <c r="D704" s="3">
        <v>1.0</v>
      </c>
      <c r="E704" s="1" t="s">
        <v>256</v>
      </c>
      <c r="F704" s="1" t="s">
        <v>279</v>
      </c>
      <c r="G704" s="3">
        <v>1.0</v>
      </c>
      <c r="H704" s="3">
        <v>0.0</v>
      </c>
      <c r="I704" s="1"/>
      <c r="J704" s="3">
        <v>836.0</v>
      </c>
    </row>
    <row r="705">
      <c r="A705" s="3">
        <v>549.0</v>
      </c>
      <c r="B705" s="3">
        <v>549.0</v>
      </c>
      <c r="C705" s="3">
        <v>381.0</v>
      </c>
      <c r="D705" s="3">
        <v>1.0</v>
      </c>
      <c r="E705" s="1" t="s">
        <v>256</v>
      </c>
      <c r="F705" s="1" t="s">
        <v>155</v>
      </c>
      <c r="G705" s="3">
        <v>1.0</v>
      </c>
      <c r="H705" s="3">
        <v>0.0</v>
      </c>
      <c r="I705" s="1"/>
      <c r="J705" s="3">
        <v>836.0</v>
      </c>
    </row>
    <row r="706">
      <c r="A706" s="3">
        <v>550.0</v>
      </c>
      <c r="B706" s="3">
        <v>550.0</v>
      </c>
      <c r="C706" s="3">
        <v>383.0</v>
      </c>
      <c r="D706" s="3">
        <v>1.0</v>
      </c>
      <c r="E706" s="1" t="s">
        <v>256</v>
      </c>
      <c r="F706" s="1" t="s">
        <v>114</v>
      </c>
      <c r="G706" s="3">
        <v>1.0</v>
      </c>
      <c r="H706" s="3">
        <v>0.0</v>
      </c>
      <c r="I706" s="1"/>
      <c r="J706" s="3">
        <v>836.0</v>
      </c>
    </row>
    <row r="707">
      <c r="A707" s="3">
        <v>551.0</v>
      </c>
      <c r="B707" s="3">
        <v>551.0</v>
      </c>
      <c r="C707" s="3">
        <v>378.0</v>
      </c>
      <c r="D707" s="3">
        <v>1.0</v>
      </c>
      <c r="E707" s="1" t="s">
        <v>256</v>
      </c>
      <c r="F707" s="1" t="s">
        <v>26</v>
      </c>
      <c r="G707" s="3">
        <v>1.0</v>
      </c>
      <c r="H707" s="3">
        <v>0.0</v>
      </c>
      <c r="I707" s="1"/>
      <c r="J707" s="3">
        <v>836.0</v>
      </c>
    </row>
    <row r="708">
      <c r="A708" s="3">
        <v>552.0</v>
      </c>
      <c r="B708" s="3">
        <v>552.0</v>
      </c>
      <c r="C708" s="3">
        <v>379.0</v>
      </c>
      <c r="D708" s="3">
        <v>1.0</v>
      </c>
      <c r="E708" s="1" t="s">
        <v>256</v>
      </c>
      <c r="F708" s="1" t="s">
        <v>27</v>
      </c>
      <c r="G708" s="3">
        <v>1.0</v>
      </c>
      <c r="H708" s="3">
        <v>0.0</v>
      </c>
      <c r="I708" s="1"/>
      <c r="J708" s="3">
        <v>836.0</v>
      </c>
    </row>
    <row r="709">
      <c r="A709" s="3">
        <v>553.0</v>
      </c>
      <c r="B709" s="3">
        <v>553.0</v>
      </c>
      <c r="C709" s="3">
        <v>0.0</v>
      </c>
      <c r="D709" s="3">
        <v>1.0</v>
      </c>
      <c r="E709" s="1" t="s">
        <v>256</v>
      </c>
      <c r="F709" s="1" t="s">
        <v>208</v>
      </c>
      <c r="G709" s="3">
        <v>1.0</v>
      </c>
      <c r="H709" s="3">
        <v>0.0</v>
      </c>
      <c r="I709" s="1"/>
      <c r="J709" s="3">
        <v>836.0</v>
      </c>
    </row>
    <row r="710">
      <c r="A710" s="3">
        <v>554.0</v>
      </c>
      <c r="B710" s="3">
        <v>554.0</v>
      </c>
      <c r="C710" s="3">
        <v>385.0</v>
      </c>
      <c r="D710" s="3">
        <v>1.0</v>
      </c>
      <c r="E710" s="1" t="s">
        <v>256</v>
      </c>
      <c r="F710" s="1" t="s">
        <v>280</v>
      </c>
      <c r="G710" s="3">
        <v>1.0</v>
      </c>
      <c r="H710" s="3">
        <v>0.0</v>
      </c>
      <c r="I710" s="1"/>
      <c r="J710" s="3">
        <v>836.0</v>
      </c>
    </row>
    <row r="711">
      <c r="A711" s="3">
        <v>555.0</v>
      </c>
      <c r="B711" s="3">
        <v>555.0</v>
      </c>
      <c r="C711" s="3">
        <v>380.0</v>
      </c>
      <c r="D711" s="3">
        <v>1.0</v>
      </c>
      <c r="E711" s="1" t="s">
        <v>256</v>
      </c>
      <c r="F711" s="1" t="s">
        <v>28</v>
      </c>
      <c r="G711" s="3">
        <v>1.0</v>
      </c>
      <c r="H711" s="3">
        <v>0.0</v>
      </c>
      <c r="I711" s="1"/>
      <c r="J711" s="3">
        <v>836.0</v>
      </c>
    </row>
    <row r="712">
      <c r="A712" s="3">
        <v>556.0</v>
      </c>
      <c r="B712" s="3">
        <v>556.0</v>
      </c>
      <c r="C712" s="3">
        <v>436.0</v>
      </c>
      <c r="D712" s="3">
        <v>1.0</v>
      </c>
      <c r="E712" s="1" t="s">
        <v>256</v>
      </c>
      <c r="F712" s="1" t="s">
        <v>281</v>
      </c>
      <c r="G712" s="3">
        <v>1.0</v>
      </c>
      <c r="H712" s="3">
        <v>0.0</v>
      </c>
      <c r="I712" s="1"/>
      <c r="J712" s="3">
        <v>836.0</v>
      </c>
    </row>
    <row r="713">
      <c r="A713" s="3">
        <v>557.0</v>
      </c>
      <c r="B713" s="3">
        <v>557.0</v>
      </c>
      <c r="C713" s="3">
        <v>435.0</v>
      </c>
      <c r="D713" s="3">
        <v>1.0</v>
      </c>
      <c r="E713" s="1" t="s">
        <v>256</v>
      </c>
      <c r="F713" s="1" t="s">
        <v>211</v>
      </c>
      <c r="G713" s="3">
        <v>1.0</v>
      </c>
      <c r="H713" s="3">
        <v>0.0</v>
      </c>
      <c r="I713" s="1"/>
      <c r="J713" s="3">
        <v>836.0</v>
      </c>
    </row>
    <row r="714">
      <c r="A714" s="3">
        <v>558.0</v>
      </c>
      <c r="B714" s="3">
        <v>558.0</v>
      </c>
      <c r="C714" s="3">
        <v>0.0</v>
      </c>
      <c r="D714" s="3">
        <v>1.0</v>
      </c>
      <c r="E714" s="2" t="s">
        <v>282</v>
      </c>
      <c r="F714" s="1"/>
      <c r="G714" s="3">
        <v>1.0</v>
      </c>
      <c r="H714" s="3">
        <v>0.0</v>
      </c>
      <c r="I714" s="1"/>
      <c r="J714" s="3">
        <v>836.0</v>
      </c>
    </row>
    <row r="715">
      <c r="A715" s="3">
        <v>559.0</v>
      </c>
      <c r="B715" s="3">
        <v>559.0</v>
      </c>
      <c r="C715" s="3">
        <v>387.0</v>
      </c>
      <c r="D715" s="3">
        <v>1.0</v>
      </c>
      <c r="E715" s="1" t="s">
        <v>256</v>
      </c>
      <c r="F715" s="1" t="s">
        <v>283</v>
      </c>
      <c r="G715" s="3">
        <v>1.0</v>
      </c>
      <c r="H715" s="3">
        <v>0.0</v>
      </c>
      <c r="I715" s="1"/>
      <c r="J715" s="3">
        <v>836.0</v>
      </c>
    </row>
    <row r="716">
      <c r="A716" s="3">
        <v>560.0</v>
      </c>
      <c r="B716" s="3">
        <v>560.0</v>
      </c>
      <c r="C716" s="3">
        <v>384.0</v>
      </c>
      <c r="D716" s="3">
        <v>1.0</v>
      </c>
      <c r="E716" s="1" t="s">
        <v>256</v>
      </c>
      <c r="F716" s="1" t="s">
        <v>111</v>
      </c>
      <c r="G716" s="3">
        <v>1.0</v>
      </c>
      <c r="H716" s="3">
        <v>0.0</v>
      </c>
      <c r="I716" s="1"/>
      <c r="J716" s="3">
        <v>836.0</v>
      </c>
    </row>
    <row r="717">
      <c r="A717" s="3">
        <v>561.0</v>
      </c>
      <c r="B717" s="3">
        <v>561.0</v>
      </c>
      <c r="C717" s="3">
        <v>0.0</v>
      </c>
      <c r="D717" s="3">
        <v>1.0</v>
      </c>
      <c r="E717" s="1" t="s">
        <v>256</v>
      </c>
      <c r="F717" s="1" t="s">
        <v>107</v>
      </c>
      <c r="G717" s="3">
        <v>1.0</v>
      </c>
      <c r="H717" s="3">
        <v>0.0</v>
      </c>
      <c r="I717" s="1"/>
      <c r="J717" s="3">
        <v>836.0</v>
      </c>
    </row>
    <row r="718">
      <c r="A718" s="3">
        <v>562.0</v>
      </c>
      <c r="B718" s="3">
        <v>562.0</v>
      </c>
      <c r="C718" s="3">
        <v>0.0</v>
      </c>
      <c r="D718" s="3">
        <v>1.0</v>
      </c>
      <c r="E718" s="1" t="s">
        <v>256</v>
      </c>
      <c r="F718" s="1" t="s">
        <v>242</v>
      </c>
      <c r="G718" s="3">
        <v>1.0</v>
      </c>
      <c r="H718" s="3">
        <v>0.0</v>
      </c>
      <c r="I718" s="1"/>
      <c r="J718" s="3">
        <v>836.0</v>
      </c>
    </row>
    <row r="719">
      <c r="A719" s="3">
        <v>563.0</v>
      </c>
      <c r="B719" s="3">
        <v>563.0</v>
      </c>
      <c r="C719" s="3">
        <v>433.0</v>
      </c>
      <c r="D719" s="3">
        <v>1.0</v>
      </c>
      <c r="E719" s="1" t="s">
        <v>256</v>
      </c>
      <c r="F719" s="1" t="s">
        <v>224</v>
      </c>
      <c r="G719" s="3">
        <v>1.0</v>
      </c>
      <c r="H719" s="3">
        <v>0.0</v>
      </c>
      <c r="I719" s="1"/>
      <c r="J719" s="3">
        <v>836.0</v>
      </c>
    </row>
    <row r="720">
      <c r="A720" s="3">
        <v>564.0</v>
      </c>
      <c r="B720" s="3">
        <v>564.0</v>
      </c>
      <c r="C720" s="3">
        <v>432.0</v>
      </c>
      <c r="D720" s="3">
        <v>1.0</v>
      </c>
      <c r="E720" s="1" t="s">
        <v>256</v>
      </c>
      <c r="F720" s="1" t="s">
        <v>137</v>
      </c>
      <c r="G720" s="3">
        <v>1.0</v>
      </c>
      <c r="H720" s="3">
        <v>0.0</v>
      </c>
      <c r="I720" s="1"/>
      <c r="J720" s="3">
        <v>836.0</v>
      </c>
    </row>
    <row r="721">
      <c r="A721" s="3">
        <v>565.0</v>
      </c>
      <c r="B721" s="3">
        <v>565.0</v>
      </c>
      <c r="C721" s="3">
        <v>409.0</v>
      </c>
      <c r="D721" s="3">
        <v>1.0</v>
      </c>
      <c r="E721" s="1" t="s">
        <v>256</v>
      </c>
      <c r="F721" s="1" t="s">
        <v>284</v>
      </c>
      <c r="G721" s="3">
        <v>1.0</v>
      </c>
      <c r="H721" s="3">
        <v>0.0</v>
      </c>
      <c r="I721" s="1"/>
      <c r="J721" s="3">
        <v>836.0</v>
      </c>
    </row>
    <row r="722">
      <c r="A722" s="3">
        <v>566.0</v>
      </c>
      <c r="B722" s="3">
        <v>566.0</v>
      </c>
      <c r="C722" s="3">
        <v>434.0</v>
      </c>
      <c r="D722" s="3">
        <v>1.0</v>
      </c>
      <c r="E722" s="1" t="s">
        <v>256</v>
      </c>
      <c r="F722" s="1" t="s">
        <v>225</v>
      </c>
      <c r="G722" s="3">
        <v>1.0</v>
      </c>
      <c r="H722" s="3">
        <v>0.0</v>
      </c>
      <c r="I722" s="1"/>
      <c r="J722" s="3">
        <v>836.0</v>
      </c>
    </row>
    <row r="723">
      <c r="A723" s="3">
        <v>567.0</v>
      </c>
      <c r="B723" s="3">
        <v>567.0</v>
      </c>
      <c r="C723" s="3">
        <v>423.0</v>
      </c>
      <c r="D723" s="3">
        <v>1.0</v>
      </c>
      <c r="E723" s="1" t="s">
        <v>256</v>
      </c>
      <c r="F723" s="1" t="s">
        <v>285</v>
      </c>
      <c r="G723" s="3">
        <v>1.0</v>
      </c>
      <c r="H723" s="3">
        <v>0.0</v>
      </c>
      <c r="I723" s="1"/>
      <c r="J723" s="3">
        <v>836.0</v>
      </c>
    </row>
    <row r="724">
      <c r="A724" s="3">
        <v>568.0</v>
      </c>
      <c r="B724" s="3">
        <v>568.0</v>
      </c>
      <c r="C724" s="3">
        <v>489.0</v>
      </c>
      <c r="D724" s="3">
        <v>1.0</v>
      </c>
      <c r="E724" s="1" t="s">
        <v>201</v>
      </c>
      <c r="F724" s="3">
        <v>9.0</v>
      </c>
      <c r="G724" s="3">
        <v>1.0</v>
      </c>
      <c r="H724" s="3">
        <v>0.0</v>
      </c>
      <c r="I724" s="1"/>
      <c r="J724" s="3">
        <v>836.0</v>
      </c>
    </row>
    <row r="725">
      <c r="A725" s="3">
        <v>569.0</v>
      </c>
      <c r="B725" s="3">
        <v>569.0</v>
      </c>
      <c r="C725" s="3">
        <v>930.0</v>
      </c>
      <c r="D725" s="3">
        <v>1.0</v>
      </c>
      <c r="E725" s="1" t="s">
        <v>256</v>
      </c>
      <c r="F725" s="1" t="s">
        <v>286</v>
      </c>
      <c r="G725" s="3">
        <v>1.0</v>
      </c>
      <c r="H725" s="3">
        <v>0.0</v>
      </c>
      <c r="I725" s="1"/>
      <c r="J725" s="3">
        <v>836.0</v>
      </c>
    </row>
    <row r="726">
      <c r="A726" s="3">
        <v>570.0</v>
      </c>
      <c r="B726" s="3">
        <v>570.0</v>
      </c>
      <c r="C726" s="3">
        <v>0.0</v>
      </c>
      <c r="D726" s="3">
        <v>1.0</v>
      </c>
      <c r="E726" s="1" t="s">
        <v>256</v>
      </c>
      <c r="F726" s="1" t="s">
        <v>236</v>
      </c>
      <c r="G726" s="3">
        <v>1.0</v>
      </c>
      <c r="H726" s="3">
        <v>0.0</v>
      </c>
      <c r="I726" s="1"/>
      <c r="J726" s="3">
        <v>836.0</v>
      </c>
    </row>
    <row r="727">
      <c r="A727" s="3">
        <v>571.0</v>
      </c>
      <c r="B727" s="3">
        <v>571.0</v>
      </c>
      <c r="C727" s="3">
        <v>0.0</v>
      </c>
      <c r="D727" s="3">
        <v>1.0</v>
      </c>
      <c r="E727" s="1" t="s">
        <v>256</v>
      </c>
      <c r="F727" s="1" t="s">
        <v>235</v>
      </c>
      <c r="G727" s="3">
        <v>1.0</v>
      </c>
      <c r="H727" s="3">
        <v>0.0</v>
      </c>
      <c r="I727" s="1"/>
      <c r="J727" s="3">
        <v>836.0</v>
      </c>
    </row>
    <row r="728">
      <c r="A728" s="3">
        <v>572.0</v>
      </c>
      <c r="B728" s="3">
        <v>572.0</v>
      </c>
      <c r="C728" s="3">
        <v>422.0</v>
      </c>
      <c r="D728" s="3">
        <v>1.0</v>
      </c>
      <c r="E728" s="1" t="s">
        <v>256</v>
      </c>
      <c r="F728" s="1" t="s">
        <v>243</v>
      </c>
      <c r="G728" s="3">
        <v>1.0</v>
      </c>
      <c r="H728" s="3">
        <v>0.0</v>
      </c>
      <c r="I728" s="1"/>
      <c r="J728" s="3">
        <v>836.0</v>
      </c>
    </row>
    <row r="729">
      <c r="A729" s="3">
        <v>573.0</v>
      </c>
      <c r="B729" s="3">
        <v>573.0</v>
      </c>
      <c r="C729" s="3">
        <v>929.0</v>
      </c>
      <c r="D729" s="3">
        <v>1.0</v>
      </c>
      <c r="E729" s="1" t="s">
        <v>256</v>
      </c>
      <c r="F729" s="1" t="s">
        <v>287</v>
      </c>
      <c r="G729" s="3">
        <v>1.0</v>
      </c>
      <c r="H729" s="3">
        <v>0.0</v>
      </c>
      <c r="I729" s="1"/>
      <c r="J729" s="3">
        <v>836.0</v>
      </c>
    </row>
    <row r="730">
      <c r="A730" s="3">
        <v>574.0</v>
      </c>
      <c r="B730" s="3">
        <v>574.0</v>
      </c>
      <c r="C730" s="3">
        <v>455.0</v>
      </c>
      <c r="D730" s="3">
        <v>1.0</v>
      </c>
      <c r="E730" s="1" t="s">
        <v>201</v>
      </c>
      <c r="F730" s="1" t="s">
        <v>288</v>
      </c>
      <c r="G730" s="3">
        <v>1.0</v>
      </c>
      <c r="H730" s="3">
        <v>0.0</v>
      </c>
      <c r="I730" s="1"/>
      <c r="J730" s="3">
        <v>836.0</v>
      </c>
    </row>
    <row r="731">
      <c r="A731" s="3">
        <v>575.0</v>
      </c>
      <c r="B731" s="3">
        <v>575.0</v>
      </c>
      <c r="C731" s="3">
        <v>943.0</v>
      </c>
      <c r="D731" s="3">
        <v>1.0</v>
      </c>
      <c r="E731" s="1" t="s">
        <v>201</v>
      </c>
      <c r="F731" s="1" t="s">
        <v>166</v>
      </c>
      <c r="G731" s="3">
        <v>1.0</v>
      </c>
      <c r="H731" s="3">
        <v>0.0</v>
      </c>
      <c r="I731" s="1"/>
      <c r="J731" s="3">
        <v>836.0</v>
      </c>
    </row>
    <row r="732">
      <c r="A732" s="3">
        <v>576.0</v>
      </c>
      <c r="B732" s="3">
        <v>576.0</v>
      </c>
      <c r="C732" s="3">
        <v>490.0</v>
      </c>
      <c r="D732" s="3">
        <v>1.0</v>
      </c>
      <c r="E732" s="1" t="s">
        <v>289</v>
      </c>
      <c r="F732" s="3">
        <v>1.0</v>
      </c>
      <c r="G732" s="3">
        <v>1.0</v>
      </c>
      <c r="H732" s="3">
        <v>0.0</v>
      </c>
      <c r="I732" s="1"/>
      <c r="J732" s="3">
        <v>836.0</v>
      </c>
    </row>
    <row r="733">
      <c r="A733" s="3">
        <v>577.0</v>
      </c>
      <c r="B733" s="3">
        <v>577.0</v>
      </c>
      <c r="C733" s="3">
        <v>0.0</v>
      </c>
      <c r="D733" s="3">
        <v>1.0</v>
      </c>
      <c r="E733" s="1" t="s">
        <v>290</v>
      </c>
      <c r="F733" s="3">
        <v>1.0</v>
      </c>
      <c r="G733" s="3">
        <v>1.0</v>
      </c>
      <c r="H733" s="3">
        <v>0.0</v>
      </c>
      <c r="I733" s="1"/>
      <c r="J733" s="3">
        <v>836.0</v>
      </c>
    </row>
    <row r="734">
      <c r="A734" s="3">
        <v>578.0</v>
      </c>
      <c r="B734" s="3">
        <v>578.0</v>
      </c>
      <c r="C734" s="3">
        <v>0.0</v>
      </c>
      <c r="D734" s="3">
        <v>1.0</v>
      </c>
      <c r="E734" s="1" t="s">
        <v>291</v>
      </c>
      <c r="F734" s="3">
        <v>1.0</v>
      </c>
      <c r="G734" s="3">
        <v>1.0</v>
      </c>
      <c r="H734" s="3">
        <v>0.0</v>
      </c>
      <c r="I734" s="1"/>
      <c r="J734" s="3">
        <v>836.0</v>
      </c>
    </row>
    <row r="735">
      <c r="A735" s="3">
        <v>579.0</v>
      </c>
      <c r="B735" s="3">
        <v>579.0</v>
      </c>
      <c r="C735" s="3">
        <v>374.0</v>
      </c>
      <c r="D735" s="3">
        <v>1.0</v>
      </c>
      <c r="E735" s="2" t="s">
        <v>292</v>
      </c>
      <c r="F735" s="1"/>
      <c r="G735" s="3">
        <v>1.0</v>
      </c>
      <c r="H735" s="3">
        <v>0.0</v>
      </c>
      <c r="I735" s="1"/>
      <c r="J735" s="3">
        <v>836.0</v>
      </c>
    </row>
    <row r="736">
      <c r="A736" s="3">
        <v>580.0</v>
      </c>
      <c r="B736" s="3">
        <v>580.0</v>
      </c>
      <c r="C736" s="3">
        <v>928.0</v>
      </c>
      <c r="D736" s="3">
        <v>1.0</v>
      </c>
      <c r="E736" s="2" t="s">
        <v>293</v>
      </c>
      <c r="F736" s="1"/>
      <c r="G736" s="3">
        <v>1.0</v>
      </c>
      <c r="H736" s="3">
        <v>0.0</v>
      </c>
      <c r="I736" s="1"/>
      <c r="J736" s="3">
        <v>836.0</v>
      </c>
    </row>
    <row r="737">
      <c r="A737" s="3">
        <v>581.0</v>
      </c>
      <c r="B737" s="3">
        <v>581.0</v>
      </c>
      <c r="C737" s="3">
        <v>375.0</v>
      </c>
      <c r="D737" s="3">
        <v>1.0</v>
      </c>
      <c r="E737" s="1" t="s">
        <v>294</v>
      </c>
      <c r="F737" s="3">
        <v>2.0</v>
      </c>
      <c r="G737" s="3">
        <v>1.0</v>
      </c>
      <c r="H737" s="3">
        <v>0.0</v>
      </c>
      <c r="I737" s="1"/>
      <c r="J737" s="3">
        <v>836.0</v>
      </c>
    </row>
    <row r="738">
      <c r="A738" s="3">
        <v>582.0</v>
      </c>
      <c r="B738" s="3">
        <v>582.0</v>
      </c>
      <c r="C738" s="3">
        <v>0.0</v>
      </c>
      <c r="D738" s="3">
        <v>1.0</v>
      </c>
      <c r="E738" s="1" t="s">
        <v>294</v>
      </c>
      <c r="F738" s="3">
        <v>3.0</v>
      </c>
      <c r="G738" s="3">
        <v>1.0</v>
      </c>
      <c r="H738" s="3">
        <v>0.0</v>
      </c>
      <c r="I738" s="1"/>
      <c r="J738" s="3">
        <v>836.0</v>
      </c>
    </row>
    <row r="739">
      <c r="A739" s="3">
        <v>583.0</v>
      </c>
      <c r="B739" s="3">
        <v>583.0</v>
      </c>
      <c r="C739" s="3">
        <v>437.0</v>
      </c>
      <c r="D739" s="3">
        <v>1.0</v>
      </c>
      <c r="E739" s="1" t="s">
        <v>295</v>
      </c>
      <c r="F739" s="1" t="s">
        <v>15</v>
      </c>
      <c r="G739" s="3">
        <v>1.0</v>
      </c>
      <c r="H739" s="3">
        <v>0.0</v>
      </c>
      <c r="I739" s="1"/>
      <c r="J739" s="3">
        <v>836.0</v>
      </c>
    </row>
    <row r="740">
      <c r="A740" s="3">
        <v>584.0</v>
      </c>
      <c r="B740" s="3">
        <v>584.0</v>
      </c>
      <c r="C740" s="3">
        <v>438.0</v>
      </c>
      <c r="D740" s="3">
        <v>1.0</v>
      </c>
      <c r="E740" s="1" t="s">
        <v>295</v>
      </c>
      <c r="F740" s="1" t="s">
        <v>19</v>
      </c>
      <c r="G740" s="3">
        <v>1.0</v>
      </c>
      <c r="H740" s="3">
        <v>0.0</v>
      </c>
      <c r="I740" s="1"/>
      <c r="J740" s="3">
        <v>836.0</v>
      </c>
    </row>
    <row r="741">
      <c r="A741" s="3">
        <v>585.0</v>
      </c>
      <c r="B741" s="3">
        <v>585.0</v>
      </c>
      <c r="C741" s="3">
        <v>439.0</v>
      </c>
      <c r="D741" s="3">
        <v>1.0</v>
      </c>
      <c r="E741" s="1" t="s">
        <v>295</v>
      </c>
      <c r="F741" s="1" t="s">
        <v>35</v>
      </c>
      <c r="G741" s="3">
        <v>1.0</v>
      </c>
      <c r="H741" s="3">
        <v>0.0</v>
      </c>
      <c r="I741" s="1"/>
      <c r="J741" s="3">
        <v>836.0</v>
      </c>
    </row>
    <row r="742">
      <c r="A742" s="3">
        <v>586.0</v>
      </c>
      <c r="B742" s="3">
        <v>586.0</v>
      </c>
      <c r="C742" s="3">
        <v>440.0</v>
      </c>
      <c r="D742" s="3">
        <v>1.0</v>
      </c>
      <c r="E742" s="1" t="s">
        <v>295</v>
      </c>
      <c r="F742" s="1" t="s">
        <v>126</v>
      </c>
      <c r="G742" s="3">
        <v>1.0</v>
      </c>
      <c r="H742" s="3">
        <v>0.0</v>
      </c>
      <c r="I742" s="1"/>
      <c r="J742" s="3">
        <v>836.0</v>
      </c>
    </row>
    <row r="743">
      <c r="A743" s="3">
        <v>587.0</v>
      </c>
      <c r="B743" s="3">
        <v>587.0</v>
      </c>
      <c r="C743" s="3">
        <v>441.0</v>
      </c>
      <c r="D743" s="3">
        <v>1.0</v>
      </c>
      <c r="E743" s="1" t="s">
        <v>295</v>
      </c>
      <c r="F743" s="1" t="s">
        <v>37</v>
      </c>
      <c r="G743" s="3">
        <v>1.0</v>
      </c>
      <c r="H743" s="3">
        <v>0.0</v>
      </c>
      <c r="I743" s="1"/>
      <c r="J743" s="3">
        <v>836.0</v>
      </c>
    </row>
    <row r="744">
      <c r="A744" s="3">
        <v>588.0</v>
      </c>
      <c r="B744" s="3">
        <v>588.0</v>
      </c>
      <c r="C744" s="3">
        <v>442.0</v>
      </c>
      <c r="D744" s="3">
        <v>1.0</v>
      </c>
      <c r="E744" s="1" t="s">
        <v>295</v>
      </c>
      <c r="F744" s="1" t="s">
        <v>188</v>
      </c>
      <c r="G744" s="3">
        <v>1.0</v>
      </c>
      <c r="H744" s="3">
        <v>0.0</v>
      </c>
      <c r="I744" s="1"/>
      <c r="J744" s="3">
        <v>836.0</v>
      </c>
    </row>
    <row r="745">
      <c r="A745" s="3">
        <v>589.0</v>
      </c>
      <c r="B745" s="3">
        <v>589.0</v>
      </c>
      <c r="C745" s="3">
        <v>1118.0</v>
      </c>
      <c r="D745" s="3">
        <v>1.0</v>
      </c>
      <c r="E745" s="1" t="s">
        <v>296</v>
      </c>
      <c r="F745" s="3">
        <v>1.0</v>
      </c>
      <c r="G745" s="3">
        <v>1.0</v>
      </c>
      <c r="H745" s="3">
        <v>0.0</v>
      </c>
      <c r="I745" s="1"/>
      <c r="J745" s="3">
        <v>836.0</v>
      </c>
    </row>
    <row r="746">
      <c r="A746" s="3">
        <v>590.0</v>
      </c>
      <c r="B746" s="3">
        <v>590.0</v>
      </c>
      <c r="C746" s="3">
        <v>371.0</v>
      </c>
      <c r="D746" s="3">
        <v>1.0</v>
      </c>
      <c r="E746" s="1" t="s">
        <v>297</v>
      </c>
      <c r="F746" s="1" t="s">
        <v>15</v>
      </c>
      <c r="G746" s="3">
        <v>1.0</v>
      </c>
      <c r="H746" s="3">
        <v>0.0</v>
      </c>
      <c r="I746" s="1"/>
      <c r="J746" s="3">
        <v>836.0</v>
      </c>
    </row>
    <row r="747">
      <c r="A747" s="3">
        <v>591.0</v>
      </c>
      <c r="B747" s="3">
        <v>591.0</v>
      </c>
      <c r="C747" s="3">
        <v>372.0</v>
      </c>
      <c r="D747" s="3">
        <v>1.0</v>
      </c>
      <c r="E747" s="1" t="s">
        <v>297</v>
      </c>
      <c r="F747" s="1" t="s">
        <v>19</v>
      </c>
      <c r="G747" s="3">
        <v>1.0</v>
      </c>
      <c r="H747" s="3">
        <v>0.0</v>
      </c>
      <c r="I747" s="1"/>
      <c r="J747" s="3">
        <v>836.0</v>
      </c>
    </row>
    <row r="748">
      <c r="A748" s="3">
        <v>592.0</v>
      </c>
      <c r="B748" s="3">
        <v>592.0</v>
      </c>
      <c r="C748" s="3">
        <v>373.0</v>
      </c>
      <c r="D748" s="3">
        <v>1.0</v>
      </c>
      <c r="E748" s="1" t="s">
        <v>297</v>
      </c>
      <c r="F748" s="1" t="s">
        <v>35</v>
      </c>
      <c r="G748" s="3">
        <v>1.0</v>
      </c>
      <c r="H748" s="3">
        <v>0.0</v>
      </c>
      <c r="I748" s="1"/>
      <c r="J748" s="3">
        <v>836.0</v>
      </c>
    </row>
    <row r="749">
      <c r="A749" s="3">
        <v>593.0</v>
      </c>
      <c r="B749" s="3">
        <v>593.0</v>
      </c>
      <c r="C749" s="3">
        <v>492.0</v>
      </c>
      <c r="D749" s="3">
        <v>1.0</v>
      </c>
      <c r="E749" s="1" t="s">
        <v>298</v>
      </c>
      <c r="F749" s="3">
        <v>1.0</v>
      </c>
      <c r="G749" s="3">
        <v>1.0</v>
      </c>
      <c r="H749" s="3">
        <v>0.0</v>
      </c>
      <c r="I749" s="1"/>
      <c r="J749" s="3">
        <v>836.0</v>
      </c>
    </row>
    <row r="750">
      <c r="A750" s="3">
        <v>594.0</v>
      </c>
      <c r="B750" s="3">
        <v>594.0</v>
      </c>
      <c r="C750" s="3">
        <v>920.0</v>
      </c>
      <c r="D750" s="3">
        <v>1.0</v>
      </c>
      <c r="E750" s="1" t="s">
        <v>298</v>
      </c>
      <c r="F750" s="3">
        <v>2.0</v>
      </c>
      <c r="G750" s="3">
        <v>1.0</v>
      </c>
      <c r="H750" s="3">
        <v>0.0</v>
      </c>
      <c r="I750" s="1"/>
      <c r="J750" s="3">
        <v>836.0</v>
      </c>
    </row>
    <row r="751">
      <c r="A751" s="3">
        <v>595.0</v>
      </c>
      <c r="B751" s="3">
        <v>595.0</v>
      </c>
      <c r="C751" s="3">
        <v>921.0</v>
      </c>
      <c r="D751" s="3">
        <v>1.0</v>
      </c>
      <c r="E751" s="1" t="s">
        <v>298</v>
      </c>
      <c r="F751" s="3">
        <v>3.0</v>
      </c>
      <c r="G751" s="3">
        <v>1.0</v>
      </c>
      <c r="H751" s="3">
        <v>0.0</v>
      </c>
      <c r="I751" s="1"/>
      <c r="J751" s="3">
        <v>836.0</v>
      </c>
    </row>
    <row r="752">
      <c r="A752" s="3">
        <v>596.0</v>
      </c>
      <c r="B752" s="3">
        <v>596.0</v>
      </c>
      <c r="C752" s="3">
        <v>922.0</v>
      </c>
      <c r="D752" s="3">
        <v>1.0</v>
      </c>
      <c r="E752" s="1" t="s">
        <v>298</v>
      </c>
      <c r="F752" s="3">
        <v>4.0</v>
      </c>
      <c r="G752" s="3">
        <v>1.0</v>
      </c>
      <c r="H752" s="3">
        <v>0.0</v>
      </c>
      <c r="I752" s="1"/>
      <c r="J752" s="3">
        <v>836.0</v>
      </c>
    </row>
    <row r="753">
      <c r="A753" s="3">
        <v>597.0</v>
      </c>
      <c r="B753" s="3">
        <v>597.0</v>
      </c>
      <c r="C753" s="3">
        <v>923.0</v>
      </c>
      <c r="D753" s="3">
        <v>1.0</v>
      </c>
      <c r="E753" s="1" t="s">
        <v>298</v>
      </c>
      <c r="F753" s="3">
        <v>5.0</v>
      </c>
      <c r="G753" s="3">
        <v>1.0</v>
      </c>
      <c r="H753" s="3">
        <v>0.0</v>
      </c>
      <c r="I753" s="1"/>
      <c r="J753" s="3">
        <v>836.0</v>
      </c>
    </row>
    <row r="754">
      <c r="A754" s="3">
        <v>598.0</v>
      </c>
      <c r="B754" s="3">
        <v>598.0</v>
      </c>
      <c r="C754" s="3">
        <v>370.0</v>
      </c>
      <c r="D754" s="3">
        <v>1.0</v>
      </c>
      <c r="E754" s="1" t="s">
        <v>299</v>
      </c>
      <c r="F754" s="3">
        <v>1.0</v>
      </c>
      <c r="G754" s="3">
        <v>1.0</v>
      </c>
      <c r="H754" s="3">
        <v>0.0</v>
      </c>
      <c r="I754" s="1"/>
      <c r="J754" s="3">
        <v>836.0</v>
      </c>
    </row>
    <row r="755">
      <c r="A755" s="3">
        <v>599.0</v>
      </c>
      <c r="B755" s="3">
        <v>599.0</v>
      </c>
      <c r="C755" s="3">
        <v>1044.0</v>
      </c>
      <c r="D755" s="3">
        <v>1.0</v>
      </c>
      <c r="E755" s="1" t="s">
        <v>299</v>
      </c>
      <c r="F755" s="3">
        <v>2.0</v>
      </c>
      <c r="G755" s="3">
        <v>1.0</v>
      </c>
      <c r="H755" s="3">
        <v>0.0</v>
      </c>
      <c r="I755" s="1"/>
      <c r="J755" s="3">
        <v>836.0</v>
      </c>
    </row>
    <row r="756">
      <c r="A756" s="3">
        <v>600.0</v>
      </c>
      <c r="B756" s="3">
        <v>600.0</v>
      </c>
      <c r="C756" s="3">
        <v>1045.0</v>
      </c>
      <c r="D756" s="3">
        <v>1.0</v>
      </c>
      <c r="E756" s="1" t="s">
        <v>299</v>
      </c>
      <c r="F756" s="3">
        <v>3.0</v>
      </c>
      <c r="G756" s="3">
        <v>1.0</v>
      </c>
      <c r="H756" s="3">
        <v>0.0</v>
      </c>
      <c r="I756" s="1"/>
      <c r="J756" s="3">
        <v>836.0</v>
      </c>
    </row>
    <row r="757">
      <c r="A757" s="3">
        <v>601.0</v>
      </c>
      <c r="B757" s="3">
        <v>601.0</v>
      </c>
      <c r="C757" s="3">
        <v>1048.0</v>
      </c>
      <c r="D757" s="3">
        <v>1.0</v>
      </c>
      <c r="E757" s="1" t="s">
        <v>299</v>
      </c>
      <c r="F757" s="3">
        <v>4.0</v>
      </c>
      <c r="G757" s="3">
        <v>1.0</v>
      </c>
      <c r="H757" s="3">
        <v>0.0</v>
      </c>
      <c r="I757" s="1"/>
      <c r="J757" s="3">
        <v>836.0</v>
      </c>
    </row>
    <row r="758">
      <c r="A758" s="3">
        <v>602.0</v>
      </c>
      <c r="B758" s="3">
        <v>602.0</v>
      </c>
      <c r="C758" s="3">
        <v>1047.0</v>
      </c>
      <c r="D758" s="3">
        <v>1.0</v>
      </c>
      <c r="E758" s="1" t="s">
        <v>299</v>
      </c>
      <c r="F758" s="3">
        <v>5.0</v>
      </c>
      <c r="G758" s="3">
        <v>1.0</v>
      </c>
      <c r="H758" s="3">
        <v>0.0</v>
      </c>
      <c r="I758" s="1"/>
      <c r="J758" s="3">
        <v>836.0</v>
      </c>
    </row>
    <row r="759">
      <c r="A759" s="3">
        <v>603.0</v>
      </c>
      <c r="B759" s="3">
        <v>603.0</v>
      </c>
      <c r="C759" s="3">
        <v>323.0</v>
      </c>
      <c r="D759" s="3">
        <v>1.0</v>
      </c>
      <c r="E759" s="1" t="s">
        <v>300</v>
      </c>
      <c r="F759" s="3">
        <v>1.0</v>
      </c>
      <c r="G759" s="3">
        <v>1.0</v>
      </c>
      <c r="H759" s="3">
        <v>0.0</v>
      </c>
      <c r="I759" s="1"/>
      <c r="J759" s="3">
        <v>836.0</v>
      </c>
    </row>
    <row r="760">
      <c r="A760" s="3">
        <v>604.0</v>
      </c>
      <c r="B760" s="3">
        <v>604.0</v>
      </c>
      <c r="C760" s="3">
        <v>764.0</v>
      </c>
      <c r="D760" s="3">
        <v>1.0</v>
      </c>
      <c r="E760" s="1" t="s">
        <v>301</v>
      </c>
      <c r="F760" s="1" t="s">
        <v>24</v>
      </c>
      <c r="G760" s="3">
        <v>1.0</v>
      </c>
      <c r="H760" s="3">
        <v>0.0</v>
      </c>
      <c r="I760" s="1"/>
      <c r="J760" s="3">
        <v>836.0</v>
      </c>
    </row>
    <row r="761">
      <c r="A761" s="3">
        <v>605.0</v>
      </c>
      <c r="B761" s="3">
        <v>605.0</v>
      </c>
      <c r="C761" s="3">
        <v>765.0</v>
      </c>
      <c r="D761" s="3">
        <v>1.0</v>
      </c>
      <c r="E761" s="1" t="s">
        <v>301</v>
      </c>
      <c r="F761" s="1" t="s">
        <v>25</v>
      </c>
      <c r="G761" s="3">
        <v>1.0</v>
      </c>
      <c r="H761" s="3">
        <v>0.0</v>
      </c>
      <c r="I761" s="1"/>
      <c r="J761" s="3">
        <v>836.0</v>
      </c>
    </row>
    <row r="762">
      <c r="A762" s="3">
        <v>606.0</v>
      </c>
      <c r="B762" s="3">
        <v>606.0</v>
      </c>
      <c r="C762" s="3">
        <v>766.0</v>
      </c>
      <c r="D762" s="3">
        <v>1.0</v>
      </c>
      <c r="E762" s="1" t="s">
        <v>301</v>
      </c>
      <c r="F762" s="1" t="s">
        <v>26</v>
      </c>
      <c r="G762" s="3">
        <v>1.0</v>
      </c>
      <c r="H762" s="3">
        <v>0.0</v>
      </c>
      <c r="I762" s="1"/>
      <c r="J762" s="3">
        <v>836.0</v>
      </c>
    </row>
    <row r="763">
      <c r="A763" s="3">
        <v>607.0</v>
      </c>
      <c r="B763" s="3">
        <v>607.0</v>
      </c>
      <c r="C763" s="3">
        <v>767.0</v>
      </c>
      <c r="D763" s="3">
        <v>1.0</v>
      </c>
      <c r="E763" s="1" t="s">
        <v>301</v>
      </c>
      <c r="F763" s="1" t="s">
        <v>27</v>
      </c>
      <c r="G763" s="3">
        <v>1.0</v>
      </c>
      <c r="H763" s="3">
        <v>0.0</v>
      </c>
      <c r="I763" s="1"/>
      <c r="J763" s="3">
        <v>836.0</v>
      </c>
    </row>
    <row r="764">
      <c r="A764" s="3">
        <v>608.0</v>
      </c>
      <c r="B764" s="3">
        <v>608.0</v>
      </c>
      <c r="C764" s="3">
        <v>768.0</v>
      </c>
      <c r="D764" s="3">
        <v>1.0</v>
      </c>
      <c r="E764" s="1" t="s">
        <v>301</v>
      </c>
      <c r="F764" s="1" t="s">
        <v>28</v>
      </c>
      <c r="G764" s="3">
        <v>1.0</v>
      </c>
      <c r="H764" s="3">
        <v>0.0</v>
      </c>
      <c r="I764" s="1"/>
      <c r="J764" s="3">
        <v>836.0</v>
      </c>
    </row>
    <row r="765">
      <c r="A765" s="3">
        <v>609.0</v>
      </c>
      <c r="B765" s="3">
        <v>609.0</v>
      </c>
      <c r="C765" s="3">
        <v>769.0</v>
      </c>
      <c r="D765" s="3">
        <v>1.0</v>
      </c>
      <c r="E765" s="1" t="s">
        <v>301</v>
      </c>
      <c r="F765" s="1" t="s">
        <v>155</v>
      </c>
      <c r="G765" s="3">
        <v>1.0</v>
      </c>
      <c r="H765" s="3">
        <v>0.0</v>
      </c>
      <c r="I765" s="1"/>
      <c r="J765" s="3">
        <v>836.0</v>
      </c>
    </row>
    <row r="766">
      <c r="A766" s="3">
        <v>610.0</v>
      </c>
      <c r="B766" s="3">
        <v>610.0</v>
      </c>
      <c r="C766" s="3">
        <v>770.0</v>
      </c>
      <c r="D766" s="3">
        <v>1.0</v>
      </c>
      <c r="E766" s="1" t="s">
        <v>301</v>
      </c>
      <c r="F766" s="1" t="s">
        <v>115</v>
      </c>
      <c r="G766" s="3">
        <v>1.0</v>
      </c>
      <c r="H766" s="3">
        <v>0.0</v>
      </c>
      <c r="I766" s="1"/>
      <c r="J766" s="3">
        <v>836.0</v>
      </c>
    </row>
    <row r="767">
      <c r="A767" s="3">
        <v>611.0</v>
      </c>
      <c r="B767" s="3">
        <v>611.0</v>
      </c>
      <c r="C767" s="3">
        <v>771.0</v>
      </c>
      <c r="D767" s="3">
        <v>1.0</v>
      </c>
      <c r="E767" s="1" t="s">
        <v>301</v>
      </c>
      <c r="F767" s="1" t="s">
        <v>163</v>
      </c>
      <c r="G767" s="3">
        <v>1.0</v>
      </c>
      <c r="H767" s="3">
        <v>0.0</v>
      </c>
      <c r="I767" s="1"/>
      <c r="J767" s="3">
        <v>836.0</v>
      </c>
    </row>
    <row r="768">
      <c r="A768" s="3">
        <v>612.0</v>
      </c>
      <c r="B768" s="3">
        <v>612.0</v>
      </c>
      <c r="C768" s="3">
        <v>772.0</v>
      </c>
      <c r="D768" s="3">
        <v>1.0</v>
      </c>
      <c r="E768" s="1" t="s">
        <v>301</v>
      </c>
      <c r="F768" s="1" t="s">
        <v>161</v>
      </c>
      <c r="G768" s="3">
        <v>1.0</v>
      </c>
      <c r="H768" s="3">
        <v>0.0</v>
      </c>
      <c r="I768" s="1"/>
      <c r="J768" s="3">
        <v>836.0</v>
      </c>
    </row>
    <row r="769">
      <c r="A769" s="3">
        <v>613.0</v>
      </c>
      <c r="B769" s="3">
        <v>613.0</v>
      </c>
      <c r="C769" s="3">
        <v>773.0</v>
      </c>
      <c r="D769" s="3">
        <v>1.0</v>
      </c>
      <c r="E769" s="1" t="s">
        <v>301</v>
      </c>
      <c r="F769" s="1" t="s">
        <v>153</v>
      </c>
      <c r="G769" s="3">
        <v>1.0</v>
      </c>
      <c r="H769" s="3">
        <v>0.0</v>
      </c>
      <c r="I769" s="1"/>
      <c r="J769" s="3">
        <v>836.0</v>
      </c>
    </row>
    <row r="770">
      <c r="A770" s="3">
        <v>614.0</v>
      </c>
      <c r="B770" s="3">
        <v>614.0</v>
      </c>
      <c r="C770" s="3">
        <v>774.0</v>
      </c>
      <c r="D770" s="3">
        <v>1.0</v>
      </c>
      <c r="E770" s="1" t="s">
        <v>301</v>
      </c>
      <c r="F770" s="1" t="s">
        <v>160</v>
      </c>
      <c r="G770" s="3">
        <v>1.0</v>
      </c>
      <c r="H770" s="3">
        <v>0.0</v>
      </c>
      <c r="I770" s="1"/>
      <c r="J770" s="3">
        <v>836.0</v>
      </c>
    </row>
    <row r="771">
      <c r="A771" s="3">
        <v>615.0</v>
      </c>
      <c r="B771" s="3">
        <v>615.0</v>
      </c>
      <c r="C771" s="3">
        <v>775.0</v>
      </c>
      <c r="D771" s="3">
        <v>1.0</v>
      </c>
      <c r="E771" s="1" t="s">
        <v>301</v>
      </c>
      <c r="F771" s="1" t="s">
        <v>162</v>
      </c>
      <c r="G771" s="3">
        <v>1.0</v>
      </c>
      <c r="H771" s="3">
        <v>0.0</v>
      </c>
      <c r="I771" s="1"/>
      <c r="J771" s="3">
        <v>836.0</v>
      </c>
    </row>
    <row r="772">
      <c r="A772" s="3">
        <v>616.0</v>
      </c>
      <c r="B772" s="3">
        <v>616.0</v>
      </c>
      <c r="C772" s="3">
        <v>776.0</v>
      </c>
      <c r="D772" s="3">
        <v>1.0</v>
      </c>
      <c r="E772" s="1" t="s">
        <v>301</v>
      </c>
      <c r="F772" s="1" t="s">
        <v>159</v>
      </c>
      <c r="G772" s="3">
        <v>1.0</v>
      </c>
      <c r="H772" s="3">
        <v>0.0</v>
      </c>
      <c r="I772" s="1"/>
      <c r="J772" s="3">
        <v>836.0</v>
      </c>
    </row>
    <row r="773">
      <c r="A773" s="3">
        <v>617.0</v>
      </c>
      <c r="B773" s="3">
        <v>617.0</v>
      </c>
      <c r="C773" s="3">
        <v>777.0</v>
      </c>
      <c r="D773" s="3">
        <v>1.0</v>
      </c>
      <c r="E773" s="1" t="s">
        <v>301</v>
      </c>
      <c r="F773" s="1" t="s">
        <v>177</v>
      </c>
      <c r="G773" s="3">
        <v>1.0</v>
      </c>
      <c r="H773" s="3">
        <v>0.0</v>
      </c>
      <c r="I773" s="1"/>
      <c r="J773" s="3">
        <v>836.0</v>
      </c>
    </row>
    <row r="774">
      <c r="A774" s="3">
        <v>618.0</v>
      </c>
      <c r="B774" s="3">
        <v>618.0</v>
      </c>
      <c r="C774" s="3">
        <v>0.0</v>
      </c>
      <c r="D774" s="3">
        <v>1.0</v>
      </c>
      <c r="E774" s="1" t="s">
        <v>301</v>
      </c>
      <c r="F774" s="1" t="s">
        <v>93</v>
      </c>
      <c r="G774" s="3">
        <v>1.0</v>
      </c>
      <c r="H774" s="3">
        <v>0.0</v>
      </c>
      <c r="I774" s="1"/>
      <c r="J774" s="3">
        <v>836.0</v>
      </c>
    </row>
    <row r="775">
      <c r="A775" s="3">
        <v>619.0</v>
      </c>
      <c r="B775" s="3">
        <v>619.0</v>
      </c>
      <c r="C775" s="3">
        <v>527.0</v>
      </c>
      <c r="D775" s="3">
        <v>1.0</v>
      </c>
      <c r="E775" s="1" t="s">
        <v>302</v>
      </c>
      <c r="F775" s="1" t="s">
        <v>15</v>
      </c>
      <c r="G775" s="3">
        <v>1.0</v>
      </c>
      <c r="H775" s="3">
        <v>0.0</v>
      </c>
      <c r="I775" s="1"/>
      <c r="J775" s="3">
        <v>836.0</v>
      </c>
    </row>
    <row r="776">
      <c r="A776" s="3">
        <v>620.0</v>
      </c>
      <c r="B776" s="3">
        <v>620.0</v>
      </c>
      <c r="C776" s="3">
        <v>1113.0</v>
      </c>
      <c r="D776" s="3">
        <v>1.0</v>
      </c>
      <c r="E776" s="1" t="s">
        <v>302</v>
      </c>
      <c r="F776" s="1" t="s">
        <v>19</v>
      </c>
      <c r="G776" s="3">
        <v>1.0</v>
      </c>
      <c r="H776" s="3">
        <v>0.0</v>
      </c>
      <c r="I776" s="1"/>
      <c r="J776" s="3">
        <v>836.0</v>
      </c>
    </row>
    <row r="777">
      <c r="A777" s="3">
        <v>650.0</v>
      </c>
      <c r="B777" s="3">
        <v>650.0</v>
      </c>
      <c r="C777" s="3">
        <v>7.0</v>
      </c>
      <c r="D777" s="3">
        <v>1.0</v>
      </c>
      <c r="E777" s="2" t="s">
        <v>303</v>
      </c>
      <c r="F777" s="1"/>
      <c r="G777" s="3">
        <v>1.0</v>
      </c>
      <c r="H777" s="3">
        <v>0.0</v>
      </c>
      <c r="I777" s="1"/>
      <c r="J777" s="3">
        <v>836.0</v>
      </c>
    </row>
    <row r="778">
      <c r="A778" s="3">
        <v>651.0</v>
      </c>
      <c r="B778" s="3">
        <v>651.0</v>
      </c>
      <c r="C778" s="3">
        <v>29.0</v>
      </c>
      <c r="D778" s="3">
        <v>1.0</v>
      </c>
      <c r="E778" s="2" t="s">
        <v>304</v>
      </c>
      <c r="F778" s="1"/>
      <c r="G778" s="3">
        <v>1.0</v>
      </c>
      <c r="H778" s="3">
        <v>0.0</v>
      </c>
      <c r="I778" s="1"/>
      <c r="J778" s="3">
        <v>836.0</v>
      </c>
    </row>
    <row r="779">
      <c r="A779" s="3">
        <v>652.0</v>
      </c>
      <c r="B779" s="3">
        <v>652.0</v>
      </c>
      <c r="C779" s="3">
        <v>33.0</v>
      </c>
      <c r="D779" s="3">
        <v>1.0</v>
      </c>
      <c r="E779" s="1" t="s">
        <v>142</v>
      </c>
      <c r="F779" s="1" t="s">
        <v>305</v>
      </c>
      <c r="G779" s="3">
        <v>1.0</v>
      </c>
      <c r="H779" s="3">
        <v>0.0</v>
      </c>
      <c r="I779" s="1"/>
      <c r="J779" s="3">
        <v>836.0</v>
      </c>
    </row>
    <row r="780">
      <c r="A780" s="3">
        <v>653.0</v>
      </c>
      <c r="B780" s="3">
        <v>653.0</v>
      </c>
      <c r="C780" s="3">
        <v>38.0</v>
      </c>
      <c r="D780" s="3">
        <v>1.0</v>
      </c>
      <c r="E780" s="2" t="s">
        <v>306</v>
      </c>
      <c r="F780" s="1"/>
      <c r="G780" s="3">
        <v>1.0</v>
      </c>
      <c r="H780" s="3">
        <v>0.0</v>
      </c>
      <c r="I780" s="1"/>
      <c r="J780" s="3">
        <v>836.0</v>
      </c>
    </row>
    <row r="781">
      <c r="A781" s="3">
        <v>654.0</v>
      </c>
      <c r="B781" s="3">
        <v>654.0</v>
      </c>
      <c r="C781" s="3">
        <v>42.0</v>
      </c>
      <c r="D781" s="3">
        <v>1.0</v>
      </c>
      <c r="E781" s="1" t="s">
        <v>142</v>
      </c>
      <c r="F781" s="3">
        <v>13.0</v>
      </c>
      <c r="G781" s="3">
        <v>1.0</v>
      </c>
      <c r="H781" s="3">
        <v>0.0</v>
      </c>
      <c r="I781" s="1"/>
      <c r="J781" s="3">
        <v>836.0</v>
      </c>
    </row>
    <row r="782">
      <c r="A782" s="3">
        <v>656.0</v>
      </c>
      <c r="B782" s="3">
        <v>656.0</v>
      </c>
      <c r="C782" s="3">
        <v>57.0</v>
      </c>
      <c r="D782" s="3">
        <v>1.0</v>
      </c>
      <c r="E782" s="1" t="s">
        <v>157</v>
      </c>
      <c r="F782" s="3">
        <v>6.0</v>
      </c>
      <c r="G782" s="3">
        <v>1.0</v>
      </c>
      <c r="H782" s="3">
        <v>0.0</v>
      </c>
      <c r="I782" s="1"/>
      <c r="J782" s="3">
        <v>836.0</v>
      </c>
    </row>
    <row r="783">
      <c r="A783" s="3">
        <v>657.0</v>
      </c>
      <c r="B783" s="3">
        <v>657.0</v>
      </c>
      <c r="C783" s="3">
        <v>66.0</v>
      </c>
      <c r="D783" s="3">
        <v>1.0</v>
      </c>
      <c r="E783" s="1" t="s">
        <v>47</v>
      </c>
      <c r="F783" s="3">
        <v>6.0</v>
      </c>
      <c r="G783" s="3">
        <v>1.0</v>
      </c>
      <c r="H783" s="3">
        <v>0.0</v>
      </c>
      <c r="I783" s="1"/>
      <c r="J783" s="3">
        <v>836.0</v>
      </c>
    </row>
    <row r="784">
      <c r="A784" s="3">
        <v>658.0</v>
      </c>
      <c r="B784" s="3">
        <v>658.0</v>
      </c>
      <c r="C784" s="3">
        <v>96.0</v>
      </c>
      <c r="D784" s="3">
        <v>1.0</v>
      </c>
      <c r="E784" s="1" t="s">
        <v>148</v>
      </c>
      <c r="F784" s="3">
        <v>10.0</v>
      </c>
      <c r="G784" s="3">
        <v>1.0</v>
      </c>
      <c r="H784" s="3">
        <v>0.0</v>
      </c>
      <c r="I784" s="1"/>
      <c r="J784" s="3">
        <v>836.0</v>
      </c>
    </row>
    <row r="785">
      <c r="A785" s="3">
        <v>659.0</v>
      </c>
      <c r="B785" s="3">
        <v>659.0</v>
      </c>
      <c r="C785" s="3">
        <v>100.0</v>
      </c>
      <c r="D785" s="3">
        <v>1.0</v>
      </c>
      <c r="E785" s="1" t="s">
        <v>157</v>
      </c>
      <c r="F785" s="3">
        <v>10.0</v>
      </c>
      <c r="G785" s="3">
        <v>1.0</v>
      </c>
      <c r="H785" s="3">
        <v>0.0</v>
      </c>
      <c r="I785" s="1"/>
      <c r="J785" s="3">
        <v>836.0</v>
      </c>
    </row>
    <row r="786">
      <c r="A786" s="3">
        <v>660.0</v>
      </c>
      <c r="B786" s="3">
        <v>660.0</v>
      </c>
      <c r="C786" s="3">
        <v>111.0</v>
      </c>
      <c r="D786" s="3">
        <v>1.0</v>
      </c>
      <c r="E786" s="1" t="s">
        <v>44</v>
      </c>
      <c r="F786" s="1" t="s">
        <v>149</v>
      </c>
      <c r="G786" s="3">
        <v>1.0</v>
      </c>
      <c r="H786" s="3">
        <v>0.0</v>
      </c>
      <c r="I786" s="1"/>
      <c r="J786" s="3">
        <v>836.0</v>
      </c>
    </row>
    <row r="787">
      <c r="A787" s="3">
        <v>661.0</v>
      </c>
      <c r="B787" s="3">
        <v>661.0</v>
      </c>
      <c r="C787" s="3">
        <v>112.0</v>
      </c>
      <c r="D787" s="3">
        <v>1.0</v>
      </c>
      <c r="E787" s="1" t="s">
        <v>44</v>
      </c>
      <c r="F787" s="1" t="s">
        <v>150</v>
      </c>
      <c r="G787" s="3">
        <v>1.0</v>
      </c>
      <c r="H787" s="3">
        <v>0.0</v>
      </c>
      <c r="I787" s="1"/>
      <c r="J787" s="3">
        <v>836.0</v>
      </c>
    </row>
    <row r="788">
      <c r="A788" s="3">
        <v>662.0</v>
      </c>
      <c r="B788" s="3">
        <v>662.0</v>
      </c>
      <c r="C788" s="3">
        <v>122.0</v>
      </c>
      <c r="D788" s="3">
        <v>1.0</v>
      </c>
      <c r="E788" s="1" t="s">
        <v>138</v>
      </c>
      <c r="F788" s="3">
        <v>4.0</v>
      </c>
      <c r="G788" s="3">
        <v>1.0</v>
      </c>
      <c r="H788" s="3">
        <v>0.0</v>
      </c>
      <c r="I788" s="1"/>
      <c r="J788" s="3">
        <v>836.0</v>
      </c>
    </row>
    <row r="789">
      <c r="A789" s="3">
        <v>663.0</v>
      </c>
      <c r="B789" s="3">
        <v>663.0</v>
      </c>
      <c r="C789" s="3">
        <v>123.0</v>
      </c>
      <c r="D789" s="3">
        <v>1.0</v>
      </c>
      <c r="E789" s="2" t="s">
        <v>307</v>
      </c>
      <c r="F789" s="1"/>
      <c r="G789" s="3">
        <v>1.0</v>
      </c>
      <c r="H789" s="3">
        <v>0.0</v>
      </c>
      <c r="I789" s="1"/>
      <c r="J789" s="3">
        <v>836.0</v>
      </c>
    </row>
    <row r="790">
      <c r="A790" s="3">
        <v>664.0</v>
      </c>
      <c r="B790" s="3">
        <v>664.0</v>
      </c>
      <c r="C790" s="3">
        <v>127.0</v>
      </c>
      <c r="D790" s="3">
        <v>1.0</v>
      </c>
      <c r="E790" s="2" t="s">
        <v>308</v>
      </c>
      <c r="F790" s="1"/>
      <c r="G790" s="3">
        <v>1.0</v>
      </c>
      <c r="H790" s="3">
        <v>0.0</v>
      </c>
      <c r="I790" s="1"/>
      <c r="J790" s="3">
        <v>836.0</v>
      </c>
    </row>
    <row r="791">
      <c r="A791" s="3">
        <v>665.0</v>
      </c>
      <c r="B791" s="3">
        <v>665.0</v>
      </c>
      <c r="C791" s="3">
        <v>129.0</v>
      </c>
      <c r="D791" s="3">
        <v>1.0</v>
      </c>
      <c r="E791" s="1" t="s">
        <v>309</v>
      </c>
      <c r="F791" s="1" t="s">
        <v>19</v>
      </c>
      <c r="G791" s="3">
        <v>1.0</v>
      </c>
      <c r="H791" s="3">
        <v>0.0</v>
      </c>
      <c r="I791" s="1"/>
      <c r="J791" s="3">
        <v>836.0</v>
      </c>
    </row>
    <row r="792">
      <c r="A792" s="3">
        <v>666.0</v>
      </c>
      <c r="B792" s="3">
        <v>666.0</v>
      </c>
      <c r="C792" s="3">
        <v>131.0</v>
      </c>
      <c r="D792" s="3">
        <v>1.0</v>
      </c>
      <c r="E792" s="1" t="s">
        <v>309</v>
      </c>
      <c r="F792" s="1" t="s">
        <v>126</v>
      </c>
      <c r="G792" s="3">
        <v>1.0</v>
      </c>
      <c r="H792" s="3">
        <v>0.0</v>
      </c>
      <c r="I792" s="1"/>
      <c r="J792" s="3">
        <v>836.0</v>
      </c>
    </row>
    <row r="793">
      <c r="A793" s="3">
        <v>667.0</v>
      </c>
      <c r="B793" s="3">
        <v>667.0</v>
      </c>
      <c r="C793" s="3">
        <v>132.0</v>
      </c>
      <c r="D793" s="3">
        <v>1.0</v>
      </c>
      <c r="E793" s="1" t="s">
        <v>309</v>
      </c>
      <c r="F793" s="1" t="s">
        <v>37</v>
      </c>
      <c r="G793" s="3">
        <v>1.0</v>
      </c>
      <c r="H793" s="3">
        <v>0.0</v>
      </c>
      <c r="I793" s="1"/>
      <c r="J793" s="3">
        <v>836.0</v>
      </c>
    </row>
    <row r="794">
      <c r="A794" s="3">
        <v>668.0</v>
      </c>
      <c r="B794" s="3">
        <v>668.0</v>
      </c>
      <c r="C794" s="3">
        <v>178.0</v>
      </c>
      <c r="D794" s="3">
        <v>1.0</v>
      </c>
      <c r="E794" s="1" t="s">
        <v>186</v>
      </c>
      <c r="F794" s="1" t="s">
        <v>35</v>
      </c>
      <c r="G794" s="3">
        <v>1.0</v>
      </c>
      <c r="H794" s="3">
        <v>0.0</v>
      </c>
      <c r="I794" s="1"/>
      <c r="J794" s="3">
        <v>836.0</v>
      </c>
    </row>
    <row r="795">
      <c r="A795" s="3">
        <v>669.0</v>
      </c>
      <c r="B795" s="3">
        <v>669.0</v>
      </c>
      <c r="C795" s="3">
        <v>208.0</v>
      </c>
      <c r="D795" s="3">
        <v>1.0</v>
      </c>
      <c r="E795" s="1" t="s">
        <v>310</v>
      </c>
      <c r="F795" s="3">
        <v>2.0</v>
      </c>
      <c r="G795" s="3">
        <v>1.0</v>
      </c>
      <c r="H795" s="3">
        <v>0.0</v>
      </c>
      <c r="I795" s="1"/>
      <c r="J795" s="3">
        <v>836.0</v>
      </c>
    </row>
    <row r="796">
      <c r="A796" s="3">
        <v>670.0</v>
      </c>
      <c r="B796" s="3">
        <v>670.0</v>
      </c>
      <c r="C796" s="3">
        <v>209.0</v>
      </c>
      <c r="D796" s="3">
        <v>1.0</v>
      </c>
      <c r="E796" s="2" t="s">
        <v>311</v>
      </c>
      <c r="F796" s="1"/>
      <c r="G796" s="3">
        <v>1.0</v>
      </c>
      <c r="H796" s="3">
        <v>0.0</v>
      </c>
      <c r="I796" s="1"/>
      <c r="J796" s="3">
        <v>836.0</v>
      </c>
    </row>
    <row r="797">
      <c r="A797" s="3">
        <v>671.0</v>
      </c>
      <c r="B797" s="3">
        <v>671.0</v>
      </c>
      <c r="C797" s="3">
        <v>210.0</v>
      </c>
      <c r="D797" s="3">
        <v>1.0</v>
      </c>
      <c r="E797" s="1" t="s">
        <v>312</v>
      </c>
      <c r="F797" s="1"/>
      <c r="G797" s="3">
        <v>1.0</v>
      </c>
      <c r="H797" s="3">
        <v>0.0</v>
      </c>
      <c r="I797" s="1"/>
      <c r="J797" s="3">
        <v>836.0</v>
      </c>
    </row>
    <row r="798">
      <c r="A798" s="3">
        <v>672.0</v>
      </c>
      <c r="B798" s="3">
        <v>672.0</v>
      </c>
      <c r="C798" s="3">
        <v>225.0</v>
      </c>
      <c r="D798" s="3">
        <v>1.0</v>
      </c>
      <c r="E798" s="1" t="s">
        <v>165</v>
      </c>
      <c r="F798" s="1" t="s">
        <v>133</v>
      </c>
      <c r="G798" s="3">
        <v>1.0</v>
      </c>
      <c r="H798" s="3">
        <v>0.0</v>
      </c>
      <c r="I798" s="1"/>
      <c r="J798" s="3">
        <v>836.0</v>
      </c>
    </row>
    <row r="799">
      <c r="A799" s="3">
        <v>673.0</v>
      </c>
      <c r="B799" s="3">
        <v>673.0</v>
      </c>
      <c r="C799" s="3">
        <v>231.0</v>
      </c>
      <c r="D799" s="3">
        <v>1.0</v>
      </c>
      <c r="E799" s="1" t="s">
        <v>165</v>
      </c>
      <c r="F799" s="3">
        <v>10.0</v>
      </c>
      <c r="G799" s="3">
        <v>1.0</v>
      </c>
      <c r="H799" s="3">
        <v>0.0</v>
      </c>
      <c r="I799" s="1"/>
      <c r="J799" s="3">
        <v>836.0</v>
      </c>
    </row>
    <row r="800">
      <c r="A800" s="3">
        <v>674.0</v>
      </c>
      <c r="B800" s="3">
        <v>674.0</v>
      </c>
      <c r="C800" s="3">
        <v>242.0</v>
      </c>
      <c r="D800" s="3">
        <v>1.0</v>
      </c>
      <c r="E800" s="1" t="s">
        <v>313</v>
      </c>
      <c r="F800" s="3">
        <v>1.0</v>
      </c>
      <c r="G800" s="3">
        <v>1.0</v>
      </c>
      <c r="H800" s="3">
        <v>0.0</v>
      </c>
      <c r="I800" s="1"/>
      <c r="J800" s="3">
        <v>836.0</v>
      </c>
    </row>
    <row r="801">
      <c r="A801" s="3">
        <v>675.0</v>
      </c>
      <c r="B801" s="3">
        <v>675.0</v>
      </c>
      <c r="C801" s="3">
        <v>243.0</v>
      </c>
      <c r="D801" s="3">
        <v>1.0</v>
      </c>
      <c r="E801" s="1" t="s">
        <v>313</v>
      </c>
      <c r="F801" s="3">
        <v>2.0</v>
      </c>
      <c r="G801" s="3">
        <v>1.0</v>
      </c>
      <c r="H801" s="3">
        <v>0.0</v>
      </c>
      <c r="I801" s="1"/>
      <c r="J801" s="3">
        <v>836.0</v>
      </c>
    </row>
    <row r="802">
      <c r="A802" s="3">
        <v>676.0</v>
      </c>
      <c r="B802" s="3">
        <v>676.0</v>
      </c>
      <c r="C802" s="3">
        <v>318.0</v>
      </c>
      <c r="D802" s="3">
        <v>1.0</v>
      </c>
      <c r="E802" s="2" t="s">
        <v>314</v>
      </c>
      <c r="F802" s="1"/>
      <c r="G802" s="3">
        <v>1.0</v>
      </c>
      <c r="H802" s="3">
        <v>0.0</v>
      </c>
      <c r="I802" s="1"/>
      <c r="J802" s="3">
        <v>836.0</v>
      </c>
    </row>
    <row r="803">
      <c r="A803" s="3">
        <v>677.0</v>
      </c>
      <c r="B803" s="3">
        <v>677.0</v>
      </c>
      <c r="C803" s="3">
        <v>347.0</v>
      </c>
      <c r="D803" s="3">
        <v>1.0</v>
      </c>
      <c r="E803" s="2" t="s">
        <v>315</v>
      </c>
      <c r="F803" s="1"/>
      <c r="G803" s="3">
        <v>1.0</v>
      </c>
      <c r="H803" s="3">
        <v>0.0</v>
      </c>
      <c r="I803" s="1"/>
      <c r="J803" s="3">
        <v>836.0</v>
      </c>
    </row>
    <row r="804">
      <c r="A804" s="3">
        <v>678.0</v>
      </c>
      <c r="B804" s="3">
        <v>678.0</v>
      </c>
      <c r="C804" s="3">
        <v>348.0</v>
      </c>
      <c r="D804" s="3">
        <v>1.0</v>
      </c>
      <c r="E804" s="2" t="s">
        <v>316</v>
      </c>
      <c r="F804" s="1"/>
      <c r="G804" s="3">
        <v>1.0</v>
      </c>
      <c r="H804" s="3">
        <v>0.0</v>
      </c>
      <c r="I804" s="1"/>
      <c r="J804" s="3">
        <v>836.0</v>
      </c>
    </row>
    <row r="805">
      <c r="A805" s="3">
        <v>679.0</v>
      </c>
      <c r="B805" s="3">
        <v>679.0</v>
      </c>
      <c r="C805" s="3">
        <v>349.0</v>
      </c>
      <c r="D805" s="3">
        <v>1.0</v>
      </c>
      <c r="E805" s="2" t="s">
        <v>317</v>
      </c>
      <c r="F805" s="1"/>
      <c r="G805" s="3">
        <v>1.0</v>
      </c>
      <c r="H805" s="3">
        <v>0.0</v>
      </c>
      <c r="I805" s="1"/>
      <c r="J805" s="3">
        <v>836.0</v>
      </c>
    </row>
    <row r="806">
      <c r="A806" s="3">
        <v>680.0</v>
      </c>
      <c r="B806" s="3">
        <v>680.0</v>
      </c>
      <c r="C806" s="3">
        <v>352.0</v>
      </c>
      <c r="D806" s="3">
        <v>1.0</v>
      </c>
      <c r="E806" s="1" t="s">
        <v>318</v>
      </c>
      <c r="F806" s="1"/>
      <c r="G806" s="3">
        <v>1.0</v>
      </c>
      <c r="H806" s="3">
        <v>0.0</v>
      </c>
      <c r="I806" s="1"/>
      <c r="J806" s="3">
        <v>836.0</v>
      </c>
    </row>
    <row r="807">
      <c r="A807" s="3">
        <v>681.0</v>
      </c>
      <c r="B807" s="3">
        <v>681.0</v>
      </c>
      <c r="C807" s="3">
        <v>359.0</v>
      </c>
      <c r="D807" s="3">
        <v>1.0</v>
      </c>
      <c r="E807" s="2" t="s">
        <v>319</v>
      </c>
      <c r="F807" s="1"/>
      <c r="G807" s="3">
        <v>1.0</v>
      </c>
      <c r="H807" s="3">
        <v>0.0</v>
      </c>
      <c r="I807" s="1"/>
      <c r="J807" s="3">
        <v>836.0</v>
      </c>
    </row>
    <row r="808">
      <c r="A808" s="3">
        <v>682.0</v>
      </c>
      <c r="B808" s="3">
        <v>682.0</v>
      </c>
      <c r="C808" s="3">
        <v>368.0</v>
      </c>
      <c r="D808" s="3">
        <v>1.0</v>
      </c>
      <c r="E808" s="1" t="s">
        <v>320</v>
      </c>
      <c r="F808" s="1"/>
      <c r="G808" s="3">
        <v>1.0</v>
      </c>
      <c r="H808" s="3">
        <v>0.0</v>
      </c>
      <c r="I808" s="1"/>
      <c r="J808" s="3">
        <v>836.0</v>
      </c>
    </row>
    <row r="809">
      <c r="A809" s="3">
        <v>683.0</v>
      </c>
      <c r="B809" s="3">
        <v>683.0</v>
      </c>
      <c r="C809" s="3">
        <v>665.0</v>
      </c>
      <c r="D809" s="3">
        <v>1.0</v>
      </c>
      <c r="E809" s="1" t="s">
        <v>321</v>
      </c>
      <c r="F809" s="1" t="s">
        <v>19</v>
      </c>
      <c r="G809" s="3">
        <v>1.0</v>
      </c>
      <c r="H809" s="3">
        <v>0.0</v>
      </c>
      <c r="I809" s="1"/>
      <c r="J809" s="3">
        <v>836.0</v>
      </c>
    </row>
    <row r="810">
      <c r="A810" s="3">
        <v>684.0</v>
      </c>
      <c r="B810" s="3">
        <v>684.0</v>
      </c>
      <c r="C810" s="3">
        <v>704.0</v>
      </c>
      <c r="D810" s="3">
        <v>1.0</v>
      </c>
      <c r="E810" s="1" t="s">
        <v>322</v>
      </c>
      <c r="F810" s="3">
        <v>1.0</v>
      </c>
      <c r="G810" s="3">
        <v>1.0</v>
      </c>
      <c r="H810" s="3">
        <v>0.0</v>
      </c>
      <c r="I810" s="1"/>
      <c r="J810" s="3">
        <v>836.0</v>
      </c>
    </row>
    <row r="811">
      <c r="A811" s="3">
        <v>685.0</v>
      </c>
      <c r="B811" s="3">
        <v>685.0</v>
      </c>
      <c r="C811" s="3">
        <v>705.0</v>
      </c>
      <c r="D811" s="3">
        <v>1.0</v>
      </c>
      <c r="E811" s="1" t="s">
        <v>322</v>
      </c>
      <c r="F811" s="3">
        <v>2.0</v>
      </c>
      <c r="G811" s="3">
        <v>1.0</v>
      </c>
      <c r="H811" s="3">
        <v>0.0</v>
      </c>
      <c r="I811" s="1"/>
      <c r="J811" s="3">
        <v>836.0</v>
      </c>
    </row>
    <row r="812">
      <c r="A812" s="3">
        <v>686.0</v>
      </c>
      <c r="B812" s="3">
        <v>686.0</v>
      </c>
      <c r="C812" s="3">
        <v>706.0</v>
      </c>
      <c r="D812" s="3">
        <v>1.0</v>
      </c>
      <c r="E812" s="1" t="s">
        <v>322</v>
      </c>
      <c r="F812" s="3">
        <v>3.0</v>
      </c>
      <c r="G812" s="3">
        <v>1.0</v>
      </c>
      <c r="H812" s="3">
        <v>0.0</v>
      </c>
      <c r="I812" s="1"/>
      <c r="J812" s="3">
        <v>836.0</v>
      </c>
    </row>
    <row r="813">
      <c r="A813" s="3">
        <v>687.0</v>
      </c>
      <c r="B813" s="3">
        <v>687.0</v>
      </c>
      <c r="C813" s="3">
        <v>707.0</v>
      </c>
      <c r="D813" s="3">
        <v>1.0</v>
      </c>
      <c r="E813" s="1" t="s">
        <v>322</v>
      </c>
      <c r="F813" s="3">
        <v>4.0</v>
      </c>
      <c r="G813" s="3">
        <v>1.0</v>
      </c>
      <c r="H813" s="3">
        <v>0.0</v>
      </c>
      <c r="I813" s="1"/>
      <c r="J813" s="3">
        <v>836.0</v>
      </c>
    </row>
    <row r="814">
      <c r="A814" s="3">
        <v>688.0</v>
      </c>
      <c r="B814" s="3">
        <v>688.0</v>
      </c>
      <c r="C814" s="3">
        <v>708.0</v>
      </c>
      <c r="D814" s="3">
        <v>1.0</v>
      </c>
      <c r="E814" s="1" t="s">
        <v>322</v>
      </c>
      <c r="F814" s="3">
        <v>5.0</v>
      </c>
      <c r="G814" s="3">
        <v>1.0</v>
      </c>
      <c r="H814" s="3">
        <v>0.0</v>
      </c>
      <c r="I814" s="1"/>
      <c r="J814" s="3">
        <v>836.0</v>
      </c>
    </row>
    <row r="815">
      <c r="A815" s="3">
        <v>689.0</v>
      </c>
      <c r="B815" s="3">
        <v>689.0</v>
      </c>
      <c r="C815" s="3">
        <v>709.0</v>
      </c>
      <c r="D815" s="3">
        <v>1.0</v>
      </c>
      <c r="E815" s="1" t="s">
        <v>322</v>
      </c>
      <c r="F815" s="3">
        <v>6.0</v>
      </c>
      <c r="G815" s="3">
        <v>1.0</v>
      </c>
      <c r="H815" s="3">
        <v>0.0</v>
      </c>
      <c r="I815" s="1"/>
      <c r="J815" s="3">
        <v>836.0</v>
      </c>
    </row>
    <row r="816">
      <c r="A816" s="3">
        <v>690.0</v>
      </c>
      <c r="B816" s="3">
        <v>690.0</v>
      </c>
      <c r="C816" s="3">
        <v>710.0</v>
      </c>
      <c r="D816" s="3">
        <v>1.0</v>
      </c>
      <c r="E816" s="1" t="s">
        <v>322</v>
      </c>
      <c r="F816" s="3">
        <v>7.0</v>
      </c>
      <c r="G816" s="3">
        <v>1.0</v>
      </c>
      <c r="H816" s="3">
        <v>0.0</v>
      </c>
      <c r="I816" s="1"/>
      <c r="J816" s="3">
        <v>836.0</v>
      </c>
    </row>
    <row r="817">
      <c r="A817" s="3">
        <v>691.0</v>
      </c>
      <c r="B817" s="3">
        <v>691.0</v>
      </c>
      <c r="C817" s="3">
        <v>711.0</v>
      </c>
      <c r="D817" s="3">
        <v>1.0</v>
      </c>
      <c r="E817" s="1" t="s">
        <v>322</v>
      </c>
      <c r="F817" s="3">
        <v>8.0</v>
      </c>
      <c r="G817" s="3">
        <v>1.0</v>
      </c>
      <c r="H817" s="3">
        <v>0.0</v>
      </c>
      <c r="I817" s="1"/>
      <c r="J817" s="3">
        <v>836.0</v>
      </c>
    </row>
    <row r="818">
      <c r="A818" s="3">
        <v>692.0</v>
      </c>
      <c r="B818" s="3">
        <v>692.0</v>
      </c>
      <c r="C818" s="3">
        <v>712.0</v>
      </c>
      <c r="D818" s="3">
        <v>1.0</v>
      </c>
      <c r="E818" s="1" t="s">
        <v>322</v>
      </c>
      <c r="F818" s="3">
        <v>9.0</v>
      </c>
      <c r="G818" s="3">
        <v>1.0</v>
      </c>
      <c r="H818" s="3">
        <v>0.0</v>
      </c>
      <c r="I818" s="1"/>
      <c r="J818" s="3">
        <v>836.0</v>
      </c>
    </row>
    <row r="819">
      <c r="A819" s="3">
        <v>693.0</v>
      </c>
      <c r="B819" s="3">
        <v>693.0</v>
      </c>
      <c r="C819" s="3">
        <v>713.0</v>
      </c>
      <c r="D819" s="3">
        <v>1.0</v>
      </c>
      <c r="E819" s="1" t="s">
        <v>322</v>
      </c>
      <c r="F819" s="3">
        <v>10.0</v>
      </c>
      <c r="G819" s="3">
        <v>1.0</v>
      </c>
      <c r="H819" s="3">
        <v>0.0</v>
      </c>
      <c r="I819" s="1"/>
      <c r="J819" s="3">
        <v>836.0</v>
      </c>
    </row>
    <row r="820">
      <c r="A820" s="3">
        <v>694.0</v>
      </c>
      <c r="B820" s="3">
        <v>694.0</v>
      </c>
      <c r="C820" s="3">
        <v>714.0</v>
      </c>
      <c r="D820" s="3">
        <v>1.0</v>
      </c>
      <c r="E820" s="1" t="s">
        <v>322</v>
      </c>
      <c r="F820" s="3">
        <v>11.0</v>
      </c>
      <c r="G820" s="3">
        <v>1.0</v>
      </c>
      <c r="H820" s="3">
        <v>0.0</v>
      </c>
      <c r="I820" s="1"/>
      <c r="J820" s="3">
        <v>836.0</v>
      </c>
    </row>
    <row r="821">
      <c r="A821" s="3">
        <v>695.0</v>
      </c>
      <c r="B821" s="3">
        <v>695.0</v>
      </c>
      <c r="C821" s="3">
        <v>715.0</v>
      </c>
      <c r="D821" s="3">
        <v>1.0</v>
      </c>
      <c r="E821" s="1" t="s">
        <v>322</v>
      </c>
      <c r="F821" s="3">
        <v>12.0</v>
      </c>
      <c r="G821" s="3">
        <v>1.0</v>
      </c>
      <c r="H821" s="3">
        <v>0.0</v>
      </c>
      <c r="I821" s="1"/>
      <c r="J821" s="3">
        <v>836.0</v>
      </c>
    </row>
    <row r="822">
      <c r="A822" s="3">
        <v>696.0</v>
      </c>
      <c r="B822" s="3">
        <v>696.0</v>
      </c>
      <c r="C822" s="3">
        <v>716.0</v>
      </c>
      <c r="D822" s="3">
        <v>1.0</v>
      </c>
      <c r="E822" s="1" t="s">
        <v>322</v>
      </c>
      <c r="F822" s="3">
        <v>13.0</v>
      </c>
      <c r="G822" s="3">
        <v>1.0</v>
      </c>
      <c r="H822" s="3">
        <v>0.0</v>
      </c>
      <c r="I822" s="1"/>
      <c r="J822" s="3">
        <v>836.0</v>
      </c>
    </row>
    <row r="823">
      <c r="A823" s="3">
        <v>697.0</v>
      </c>
      <c r="B823" s="3">
        <v>697.0</v>
      </c>
      <c r="C823" s="3">
        <v>717.0</v>
      </c>
      <c r="D823" s="3">
        <v>1.0</v>
      </c>
      <c r="E823" s="1" t="s">
        <v>322</v>
      </c>
      <c r="F823" s="3">
        <v>14.0</v>
      </c>
      <c r="G823" s="3">
        <v>1.0</v>
      </c>
      <c r="H823" s="3">
        <v>0.0</v>
      </c>
      <c r="I823" s="1"/>
      <c r="J823" s="3">
        <v>836.0</v>
      </c>
    </row>
    <row r="824">
      <c r="A824" s="3">
        <v>698.0</v>
      </c>
      <c r="B824" s="3">
        <v>698.0</v>
      </c>
      <c r="C824" s="3">
        <v>718.0</v>
      </c>
      <c r="D824" s="3">
        <v>1.0</v>
      </c>
      <c r="E824" s="1" t="s">
        <v>322</v>
      </c>
      <c r="F824" s="3">
        <v>15.0</v>
      </c>
      <c r="G824" s="3">
        <v>1.0</v>
      </c>
      <c r="H824" s="3">
        <v>0.0</v>
      </c>
      <c r="I824" s="1"/>
      <c r="J824" s="3">
        <v>836.0</v>
      </c>
    </row>
    <row r="825">
      <c r="A825" s="3">
        <v>699.0</v>
      </c>
      <c r="B825" s="3">
        <v>699.0</v>
      </c>
      <c r="C825" s="3">
        <v>719.0</v>
      </c>
      <c r="D825" s="3">
        <v>1.0</v>
      </c>
      <c r="E825" s="1" t="s">
        <v>322</v>
      </c>
      <c r="F825" s="3">
        <v>16.0</v>
      </c>
      <c r="G825" s="3">
        <v>1.0</v>
      </c>
      <c r="H825" s="3">
        <v>0.0</v>
      </c>
      <c r="I825" s="1"/>
      <c r="J825" s="3">
        <v>836.0</v>
      </c>
    </row>
    <row r="826">
      <c r="A826" s="3">
        <v>700.0</v>
      </c>
      <c r="B826" s="3">
        <v>700.0</v>
      </c>
      <c r="C826" s="3">
        <v>720.0</v>
      </c>
      <c r="D826" s="3">
        <v>1.0</v>
      </c>
      <c r="E826" s="1" t="s">
        <v>322</v>
      </c>
      <c r="F826" s="3">
        <v>17.0</v>
      </c>
      <c r="G826" s="3">
        <v>1.0</v>
      </c>
      <c r="H826" s="3">
        <v>0.0</v>
      </c>
      <c r="I826" s="1"/>
      <c r="J826" s="3">
        <v>836.0</v>
      </c>
    </row>
    <row r="827">
      <c r="A827" s="3">
        <v>701.0</v>
      </c>
      <c r="B827" s="3">
        <v>701.0</v>
      </c>
      <c r="C827" s="3">
        <v>762.0</v>
      </c>
      <c r="D827" s="3">
        <v>1.0</v>
      </c>
      <c r="E827" s="2" t="s">
        <v>323</v>
      </c>
      <c r="F827" s="1"/>
      <c r="G827" s="3">
        <v>1.0</v>
      </c>
      <c r="H827" s="3">
        <v>0.0</v>
      </c>
      <c r="I827" s="1"/>
      <c r="J827" s="3">
        <v>836.0</v>
      </c>
    </row>
    <row r="828">
      <c r="A828" s="3">
        <v>702.0</v>
      </c>
      <c r="B828" s="3">
        <v>702.0</v>
      </c>
      <c r="C828" s="3">
        <v>825.0</v>
      </c>
      <c r="D828" s="3">
        <v>1.0</v>
      </c>
      <c r="E828" s="2" t="s">
        <v>324</v>
      </c>
      <c r="F828" s="1"/>
      <c r="G828" s="3">
        <v>1.0</v>
      </c>
      <c r="H828" s="3">
        <v>0.0</v>
      </c>
      <c r="I828" s="1"/>
      <c r="J828" s="3">
        <v>836.0</v>
      </c>
    </row>
    <row r="829">
      <c r="A829" s="3">
        <v>703.0</v>
      </c>
      <c r="B829" s="3">
        <v>703.0</v>
      </c>
      <c r="C829" s="3">
        <v>827.0</v>
      </c>
      <c r="D829" s="3">
        <v>1.0</v>
      </c>
      <c r="E829" s="1" t="s">
        <v>325</v>
      </c>
      <c r="F829" s="1" t="s">
        <v>305</v>
      </c>
      <c r="G829" s="3">
        <v>1.0</v>
      </c>
      <c r="H829" s="3">
        <v>0.0</v>
      </c>
      <c r="I829" s="1"/>
      <c r="J829" s="3">
        <v>836.0</v>
      </c>
    </row>
    <row r="830">
      <c r="A830" s="3">
        <v>704.0</v>
      </c>
      <c r="B830" s="3">
        <v>704.0</v>
      </c>
      <c r="C830" s="3">
        <v>831.0</v>
      </c>
      <c r="D830" s="3">
        <v>1.0</v>
      </c>
      <c r="E830" s="2" t="s">
        <v>326</v>
      </c>
      <c r="F830" s="1"/>
      <c r="G830" s="3">
        <v>1.0</v>
      </c>
      <c r="H830" s="3">
        <v>0.0</v>
      </c>
      <c r="I830" s="1"/>
      <c r="J830" s="3">
        <v>836.0</v>
      </c>
    </row>
    <row r="831">
      <c r="A831" s="3">
        <v>705.0</v>
      </c>
      <c r="B831" s="3">
        <v>705.0</v>
      </c>
      <c r="C831" s="3">
        <v>859.0</v>
      </c>
      <c r="D831" s="3">
        <v>1.0</v>
      </c>
      <c r="E831" s="2" t="s">
        <v>327</v>
      </c>
      <c r="F831" s="1"/>
      <c r="G831" s="3">
        <v>1.0</v>
      </c>
      <c r="H831" s="3">
        <v>0.0</v>
      </c>
      <c r="I831" s="1"/>
      <c r="J831" s="3">
        <v>836.0</v>
      </c>
    </row>
    <row r="832">
      <c r="A832" s="3">
        <v>706.0</v>
      </c>
      <c r="B832" s="3">
        <v>706.0</v>
      </c>
      <c r="C832" s="3">
        <v>900.0</v>
      </c>
      <c r="D832" s="3">
        <v>1.0</v>
      </c>
      <c r="E832" s="1" t="s">
        <v>328</v>
      </c>
      <c r="F832" s="3">
        <v>39.0</v>
      </c>
      <c r="G832" s="3">
        <v>1.0</v>
      </c>
      <c r="H832" s="3">
        <v>0.0</v>
      </c>
      <c r="I832" s="1"/>
      <c r="J832" s="3">
        <v>836.0</v>
      </c>
    </row>
    <row r="833">
      <c r="A833" s="3">
        <v>707.0</v>
      </c>
      <c r="B833" s="3">
        <v>707.0</v>
      </c>
      <c r="C833" s="3">
        <v>653.0</v>
      </c>
      <c r="D833" s="3">
        <v>1.0</v>
      </c>
      <c r="E833" s="1" t="s">
        <v>329</v>
      </c>
      <c r="F833" s="1"/>
      <c r="G833" s="3">
        <v>1.0</v>
      </c>
      <c r="H833" s="3">
        <v>0.0</v>
      </c>
      <c r="I833" s="1"/>
      <c r="J833" s="3">
        <v>836.0</v>
      </c>
    </row>
    <row r="834">
      <c r="A834" s="3">
        <v>708.0</v>
      </c>
      <c r="B834" s="3">
        <v>708.0</v>
      </c>
      <c r="C834" s="3">
        <v>657.0</v>
      </c>
      <c r="D834" s="3">
        <v>1.0</v>
      </c>
      <c r="E834" s="2" t="s">
        <v>330</v>
      </c>
      <c r="F834" s="1"/>
      <c r="G834" s="3">
        <v>1.0</v>
      </c>
      <c r="H834" s="3">
        <v>0.0</v>
      </c>
      <c r="I834" s="1"/>
      <c r="J834" s="3">
        <v>836.0</v>
      </c>
    </row>
    <row r="835">
      <c r="A835" s="3">
        <v>709.0</v>
      </c>
      <c r="B835" s="3">
        <v>709.0</v>
      </c>
      <c r="C835" s="3">
        <v>658.0</v>
      </c>
      <c r="D835" s="3">
        <v>1.0</v>
      </c>
      <c r="E835" s="2" t="s">
        <v>331</v>
      </c>
      <c r="F835" s="1"/>
      <c r="G835" s="3">
        <v>1.0</v>
      </c>
      <c r="H835" s="3">
        <v>0.0</v>
      </c>
      <c r="I835" s="1"/>
      <c r="J835" s="3">
        <v>836.0</v>
      </c>
    </row>
    <row r="836">
      <c r="A836" s="3">
        <v>710.0</v>
      </c>
      <c r="B836" s="3">
        <v>710.0</v>
      </c>
      <c r="C836" s="3">
        <v>828.0</v>
      </c>
      <c r="D836" s="3">
        <v>1.0</v>
      </c>
      <c r="E836" s="2" t="s">
        <v>332</v>
      </c>
      <c r="F836" s="1"/>
      <c r="G836" s="3">
        <v>1.0</v>
      </c>
      <c r="H836" s="3">
        <v>0.0</v>
      </c>
      <c r="I836" s="1"/>
      <c r="J836" s="3">
        <v>836.0</v>
      </c>
    </row>
    <row r="837">
      <c r="A837" s="3">
        <v>711.0</v>
      </c>
      <c r="B837" s="3">
        <v>711.0</v>
      </c>
      <c r="C837" s="3">
        <v>324.0</v>
      </c>
      <c r="D837" s="3">
        <v>1.0</v>
      </c>
      <c r="E837" s="1" t="s">
        <v>333</v>
      </c>
      <c r="F837" s="1" t="s">
        <v>15</v>
      </c>
      <c r="G837" s="3">
        <v>1.0</v>
      </c>
      <c r="H837" s="3">
        <v>0.0</v>
      </c>
      <c r="I837" s="1"/>
      <c r="J837" s="3">
        <v>836.0</v>
      </c>
    </row>
    <row r="838">
      <c r="A838" s="3">
        <v>712.0</v>
      </c>
      <c r="B838" s="3">
        <v>712.0</v>
      </c>
      <c r="C838" s="3">
        <v>325.0</v>
      </c>
      <c r="D838" s="3">
        <v>1.0</v>
      </c>
      <c r="E838" s="1" t="s">
        <v>333</v>
      </c>
      <c r="F838" s="1" t="s">
        <v>19</v>
      </c>
      <c r="G838" s="3">
        <v>1.0</v>
      </c>
      <c r="H838" s="3">
        <v>0.0</v>
      </c>
      <c r="I838" s="1"/>
      <c r="J838" s="3">
        <v>836.0</v>
      </c>
    </row>
    <row r="839">
      <c r="A839" s="3">
        <v>713.0</v>
      </c>
      <c r="B839" s="3">
        <v>713.0</v>
      </c>
      <c r="C839" s="3">
        <v>730.0</v>
      </c>
      <c r="D839" s="3">
        <v>1.0</v>
      </c>
      <c r="E839" s="1" t="s">
        <v>334</v>
      </c>
      <c r="F839" s="1" t="s">
        <v>15</v>
      </c>
      <c r="G839" s="3">
        <v>1.0</v>
      </c>
      <c r="H839" s="3">
        <v>0.0</v>
      </c>
      <c r="I839" s="1"/>
      <c r="J839" s="3">
        <v>836.0</v>
      </c>
    </row>
    <row r="840">
      <c r="A840" s="3">
        <v>714.0</v>
      </c>
      <c r="B840" s="3">
        <v>714.0</v>
      </c>
      <c r="C840" s="3">
        <v>731.0</v>
      </c>
      <c r="D840" s="3">
        <v>1.0</v>
      </c>
      <c r="E840" s="1" t="s">
        <v>334</v>
      </c>
      <c r="F840" s="1" t="s">
        <v>19</v>
      </c>
      <c r="G840" s="3">
        <v>1.0</v>
      </c>
      <c r="H840" s="3">
        <v>0.0</v>
      </c>
      <c r="I840" s="1"/>
      <c r="J840" s="3">
        <v>836.0</v>
      </c>
    </row>
    <row r="841">
      <c r="A841" s="3">
        <v>715.0</v>
      </c>
      <c r="B841" s="3">
        <v>715.0</v>
      </c>
      <c r="C841" s="3">
        <v>751.0</v>
      </c>
      <c r="D841" s="3">
        <v>1.0</v>
      </c>
      <c r="E841" s="1" t="s">
        <v>335</v>
      </c>
      <c r="F841" s="1"/>
      <c r="G841" s="3">
        <v>1.0</v>
      </c>
      <c r="H841" s="3">
        <v>0.0</v>
      </c>
      <c r="I841" s="1"/>
      <c r="J841" s="3">
        <v>836.0</v>
      </c>
    </row>
    <row r="842">
      <c r="A842" s="3">
        <v>716.0</v>
      </c>
      <c r="B842" s="3">
        <v>716.0</v>
      </c>
      <c r="C842" s="3">
        <v>754.0</v>
      </c>
      <c r="D842" s="3">
        <v>1.0</v>
      </c>
      <c r="E842" s="2" t="s">
        <v>336</v>
      </c>
      <c r="F842" s="1"/>
      <c r="G842" s="3">
        <v>1.0</v>
      </c>
      <c r="H842" s="3">
        <v>0.0</v>
      </c>
      <c r="I842" s="1"/>
      <c r="J842" s="3">
        <v>836.0</v>
      </c>
    </row>
    <row r="843">
      <c r="A843" s="3">
        <v>717.0</v>
      </c>
      <c r="B843" s="3">
        <v>717.0</v>
      </c>
      <c r="C843" s="3">
        <v>755.0</v>
      </c>
      <c r="D843" s="3">
        <v>1.0</v>
      </c>
      <c r="E843" s="1" t="s">
        <v>70</v>
      </c>
      <c r="F843" s="1" t="s">
        <v>15</v>
      </c>
      <c r="G843" s="3">
        <v>1.0</v>
      </c>
      <c r="H843" s="3">
        <v>0.0</v>
      </c>
      <c r="I843" s="1"/>
      <c r="J843" s="3">
        <v>836.0</v>
      </c>
    </row>
    <row r="844">
      <c r="A844" s="3">
        <v>718.0</v>
      </c>
      <c r="B844" s="3">
        <v>718.0</v>
      </c>
      <c r="C844" s="3">
        <v>0.0</v>
      </c>
      <c r="D844" s="3">
        <v>1.0</v>
      </c>
      <c r="E844" s="1" t="s">
        <v>70</v>
      </c>
      <c r="F844" s="1" t="s">
        <v>35</v>
      </c>
      <c r="G844" s="3">
        <v>1.0</v>
      </c>
      <c r="H844" s="3">
        <v>0.0</v>
      </c>
      <c r="I844" s="1"/>
      <c r="J844" s="3">
        <v>836.0</v>
      </c>
    </row>
    <row r="845">
      <c r="A845" s="3">
        <v>719.0</v>
      </c>
      <c r="B845" s="3">
        <v>719.0</v>
      </c>
      <c r="C845" s="3">
        <v>826.0</v>
      </c>
      <c r="D845" s="3">
        <v>1.0</v>
      </c>
      <c r="E845" s="2" t="s">
        <v>337</v>
      </c>
      <c r="F845" s="1"/>
      <c r="G845" s="3">
        <v>1.0</v>
      </c>
      <c r="H845" s="3">
        <v>0.0</v>
      </c>
      <c r="I845" s="1"/>
      <c r="J845" s="3">
        <v>836.0</v>
      </c>
    </row>
    <row r="846">
      <c r="A846" s="3">
        <v>720.0</v>
      </c>
      <c r="B846" s="3">
        <v>720.0</v>
      </c>
      <c r="C846" s="3">
        <v>996.0</v>
      </c>
      <c r="D846" s="3">
        <v>1.0</v>
      </c>
      <c r="E846" s="1" t="s">
        <v>338</v>
      </c>
      <c r="F846" s="1"/>
      <c r="G846" s="3">
        <v>1.0</v>
      </c>
      <c r="H846" s="3">
        <v>0.0</v>
      </c>
      <c r="I846" s="1"/>
      <c r="J846" s="3">
        <v>836.0</v>
      </c>
    </row>
    <row r="847">
      <c r="A847" s="3">
        <v>721.0</v>
      </c>
      <c r="B847" s="3">
        <v>721.0</v>
      </c>
      <c r="C847" s="3">
        <v>22.0</v>
      </c>
      <c r="D847" s="3">
        <v>1.0</v>
      </c>
      <c r="E847" s="2" t="s">
        <v>339</v>
      </c>
      <c r="F847" s="1"/>
      <c r="G847" s="3">
        <v>1.0</v>
      </c>
      <c r="H847" s="3">
        <v>0.0</v>
      </c>
      <c r="I847" s="1"/>
      <c r="J847" s="3">
        <v>836.0</v>
      </c>
    </row>
    <row r="848">
      <c r="A848" s="3">
        <v>722.0</v>
      </c>
      <c r="B848" s="3">
        <v>722.0</v>
      </c>
      <c r="C848" s="3">
        <v>43.0</v>
      </c>
      <c r="D848" s="3">
        <v>1.0</v>
      </c>
      <c r="E848" s="1" t="s">
        <v>340</v>
      </c>
      <c r="F848" s="3">
        <v>1.0</v>
      </c>
      <c r="G848" s="3">
        <v>1.0</v>
      </c>
      <c r="H848" s="3">
        <v>0.0</v>
      </c>
      <c r="I848" s="1"/>
      <c r="J848" s="3">
        <v>836.0</v>
      </c>
    </row>
    <row r="849">
      <c r="A849" s="3">
        <v>723.0</v>
      </c>
      <c r="B849" s="3">
        <v>723.0</v>
      </c>
      <c r="C849" s="3">
        <v>45.0</v>
      </c>
      <c r="D849" s="3">
        <v>1.0</v>
      </c>
      <c r="E849" s="1" t="s">
        <v>340</v>
      </c>
      <c r="F849" s="3">
        <v>25.0</v>
      </c>
      <c r="G849" s="3">
        <v>1.0</v>
      </c>
      <c r="H849" s="3">
        <v>0.0</v>
      </c>
      <c r="I849" s="1"/>
      <c r="J849" s="3">
        <v>836.0</v>
      </c>
    </row>
    <row r="850">
      <c r="A850" s="3">
        <v>724.0</v>
      </c>
      <c r="B850" s="3">
        <v>724.0</v>
      </c>
      <c r="C850" s="3">
        <v>98.0</v>
      </c>
      <c r="D850" s="3">
        <v>1.0</v>
      </c>
      <c r="E850" s="1" t="s">
        <v>157</v>
      </c>
      <c r="F850" s="3">
        <v>8.0</v>
      </c>
      <c r="G850" s="3">
        <v>1.0</v>
      </c>
      <c r="H850" s="3">
        <v>0.0</v>
      </c>
      <c r="I850" s="1"/>
      <c r="J850" s="3">
        <v>836.0</v>
      </c>
    </row>
    <row r="851">
      <c r="A851" s="3">
        <v>725.0</v>
      </c>
      <c r="B851" s="3">
        <v>725.0</v>
      </c>
      <c r="C851" s="3">
        <v>175.0</v>
      </c>
      <c r="D851" s="3">
        <v>1.0</v>
      </c>
      <c r="E851" s="1" t="s">
        <v>57</v>
      </c>
      <c r="F851" s="1" t="s">
        <v>166</v>
      </c>
      <c r="G851" s="3">
        <v>1.0</v>
      </c>
      <c r="H851" s="3">
        <v>0.0</v>
      </c>
      <c r="I851" s="1"/>
      <c r="J851" s="3">
        <v>836.0</v>
      </c>
    </row>
    <row r="852">
      <c r="A852" s="3">
        <v>726.0</v>
      </c>
      <c r="B852" s="3">
        <v>726.0</v>
      </c>
      <c r="C852" s="3">
        <v>356.0</v>
      </c>
      <c r="D852" s="3">
        <v>1.0</v>
      </c>
      <c r="E852" s="1" t="s">
        <v>14</v>
      </c>
      <c r="F852" s="1" t="s">
        <v>19</v>
      </c>
      <c r="G852" s="3">
        <v>1.0</v>
      </c>
      <c r="H852" s="3">
        <v>0.0</v>
      </c>
      <c r="I852" s="1"/>
      <c r="J852" s="3">
        <v>836.0</v>
      </c>
    </row>
    <row r="853">
      <c r="A853" s="3">
        <v>727.0</v>
      </c>
      <c r="B853" s="3">
        <v>727.0</v>
      </c>
      <c r="C853" s="3">
        <v>357.0</v>
      </c>
      <c r="D853" s="3">
        <v>1.0</v>
      </c>
      <c r="E853" s="1" t="s">
        <v>14</v>
      </c>
      <c r="F853" s="1" t="s">
        <v>35</v>
      </c>
      <c r="G853" s="3">
        <v>1.0</v>
      </c>
      <c r="H853" s="3">
        <v>0.0</v>
      </c>
      <c r="I853" s="1"/>
      <c r="J853" s="3">
        <v>836.0</v>
      </c>
    </row>
    <row r="854">
      <c r="A854" s="3">
        <v>728.0</v>
      </c>
      <c r="B854" s="3">
        <v>728.0</v>
      </c>
      <c r="C854" s="3">
        <v>86.0</v>
      </c>
      <c r="D854" s="3">
        <v>1.0</v>
      </c>
      <c r="E854" s="1" t="s">
        <v>148</v>
      </c>
      <c r="F854" s="3">
        <v>7.0</v>
      </c>
      <c r="G854" s="3">
        <v>1.0</v>
      </c>
      <c r="H854" s="3">
        <v>0.0</v>
      </c>
      <c r="I854" s="1"/>
      <c r="J854" s="3">
        <v>836.0</v>
      </c>
    </row>
    <row r="855">
      <c r="A855" s="3">
        <v>729.0</v>
      </c>
      <c r="B855" s="3">
        <v>729.0</v>
      </c>
      <c r="C855" s="3">
        <v>87.0</v>
      </c>
      <c r="D855" s="3">
        <v>1.0</v>
      </c>
      <c r="E855" s="1" t="s">
        <v>148</v>
      </c>
      <c r="F855" s="3">
        <v>8.0</v>
      </c>
      <c r="G855" s="3">
        <v>1.0</v>
      </c>
      <c r="H855" s="3">
        <v>0.0</v>
      </c>
      <c r="I855" s="1"/>
      <c r="J855" s="3">
        <v>836.0</v>
      </c>
    </row>
    <row r="856">
      <c r="A856" s="3">
        <v>2369.0</v>
      </c>
      <c r="B856" s="3">
        <v>2354.0</v>
      </c>
      <c r="C856" s="1"/>
      <c r="D856" s="3">
        <v>1.0</v>
      </c>
      <c r="E856" s="1" t="s">
        <v>341</v>
      </c>
      <c r="F856" s="3">
        <v>1.0</v>
      </c>
      <c r="G856" s="3">
        <v>1.0</v>
      </c>
      <c r="H856" s="1"/>
      <c r="I856" s="1"/>
      <c r="J856" s="3">
        <v>1618.0</v>
      </c>
    </row>
    <row r="857">
      <c r="A857" s="3">
        <v>2370.0</v>
      </c>
      <c r="B857" s="3">
        <v>2355.0</v>
      </c>
      <c r="C857" s="1"/>
      <c r="D857" s="3">
        <v>1.0</v>
      </c>
      <c r="E857" s="1" t="s">
        <v>341</v>
      </c>
      <c r="F857" s="3">
        <v>2.0</v>
      </c>
      <c r="G857" s="3">
        <v>1.0</v>
      </c>
      <c r="H857" s="1"/>
      <c r="I857" s="1"/>
      <c r="J857" s="3">
        <v>1618.0</v>
      </c>
    </row>
    <row r="858">
      <c r="A858" s="3">
        <v>2371.0</v>
      </c>
      <c r="B858" s="3">
        <v>2356.0</v>
      </c>
      <c r="C858" s="1"/>
      <c r="D858" s="3">
        <v>1.0</v>
      </c>
      <c r="E858" s="1" t="s">
        <v>342</v>
      </c>
      <c r="F858" s="1"/>
      <c r="G858" s="3">
        <v>1.0</v>
      </c>
      <c r="H858" s="1"/>
      <c r="I858" s="1"/>
      <c r="J858" s="3">
        <v>1618.0</v>
      </c>
    </row>
    <row r="859">
      <c r="A859" s="3">
        <v>2372.0</v>
      </c>
      <c r="B859" s="3">
        <v>2357.0</v>
      </c>
      <c r="C859" s="1"/>
      <c r="D859" s="3">
        <v>1.0</v>
      </c>
      <c r="E859" s="2" t="s">
        <v>343</v>
      </c>
      <c r="F859" s="1"/>
      <c r="G859" s="3">
        <v>1.0</v>
      </c>
      <c r="H859" s="1"/>
      <c r="I859" s="1"/>
      <c r="J859" s="3">
        <v>1618.0</v>
      </c>
    </row>
    <row r="860">
      <c r="A860" s="3">
        <v>2373.0</v>
      </c>
      <c r="B860" s="3">
        <v>2358.0</v>
      </c>
      <c r="C860" s="1"/>
      <c r="D860" s="3">
        <v>1.0</v>
      </c>
      <c r="E860" s="1" t="s">
        <v>344</v>
      </c>
      <c r="F860" s="3">
        <v>1.0</v>
      </c>
      <c r="G860" s="3">
        <v>1.0</v>
      </c>
      <c r="H860" s="1"/>
      <c r="I860" s="1"/>
      <c r="J860" s="3">
        <v>1618.0</v>
      </c>
    </row>
    <row r="861">
      <c r="A861" s="3">
        <v>2374.0</v>
      </c>
      <c r="B861" s="3">
        <v>2359.0</v>
      </c>
      <c r="C861" s="1"/>
      <c r="D861" s="3">
        <v>1.0</v>
      </c>
      <c r="E861" s="1" t="s">
        <v>345</v>
      </c>
      <c r="F861" s="3">
        <v>1.0</v>
      </c>
      <c r="G861" s="3">
        <v>1.0</v>
      </c>
      <c r="H861" s="1"/>
      <c r="I861" s="1"/>
      <c r="J861" s="3">
        <v>1618.0</v>
      </c>
    </row>
    <row r="862">
      <c r="A862" s="3">
        <v>2375.0</v>
      </c>
      <c r="B862" s="3">
        <v>2360.0</v>
      </c>
      <c r="C862" s="1"/>
      <c r="D862" s="3">
        <v>1.0</v>
      </c>
      <c r="E862" s="1" t="s">
        <v>346</v>
      </c>
      <c r="F862" s="3">
        <v>3.0</v>
      </c>
      <c r="G862" s="3">
        <v>1.0</v>
      </c>
      <c r="H862" s="1"/>
      <c r="I862" s="1"/>
      <c r="J862" s="3">
        <v>1618.0</v>
      </c>
    </row>
    <row r="863">
      <c r="A863" s="3">
        <v>2376.0</v>
      </c>
      <c r="B863" s="3">
        <v>2361.0</v>
      </c>
      <c r="C863" s="1"/>
      <c r="D863" s="3">
        <v>1.0</v>
      </c>
      <c r="E863" s="1" t="s">
        <v>347</v>
      </c>
      <c r="F863" s="1"/>
      <c r="G863" s="3">
        <v>1.0</v>
      </c>
      <c r="H863" s="1"/>
      <c r="I863" s="1"/>
      <c r="J863" s="3">
        <v>1618.0</v>
      </c>
    </row>
    <row r="864">
      <c r="A864" s="3">
        <v>2377.0</v>
      </c>
      <c r="B864" s="3">
        <v>2362.0</v>
      </c>
      <c r="C864" s="1"/>
      <c r="D864" s="3">
        <v>1.0</v>
      </c>
      <c r="E864" s="1" t="s">
        <v>348</v>
      </c>
      <c r="F864" s="1"/>
      <c r="G864" s="3">
        <v>1.0</v>
      </c>
      <c r="H864" s="1"/>
      <c r="I864" s="1"/>
      <c r="J864" s="3">
        <v>1618.0</v>
      </c>
    </row>
    <row r="865">
      <c r="A865" s="3">
        <v>2378.0</v>
      </c>
      <c r="B865" s="3">
        <v>2363.0</v>
      </c>
      <c r="C865" s="1"/>
      <c r="D865" s="3">
        <v>1.0</v>
      </c>
      <c r="E865" s="1" t="s">
        <v>349</v>
      </c>
      <c r="F865" s="1"/>
      <c r="G865" s="3">
        <v>1.0</v>
      </c>
      <c r="H865" s="1"/>
      <c r="I865" s="1"/>
      <c r="J865" s="3">
        <v>1618.0</v>
      </c>
    </row>
    <row r="866">
      <c r="A866" s="3">
        <v>2379.0</v>
      </c>
      <c r="B866" s="3">
        <v>2364.0</v>
      </c>
      <c r="C866" s="1"/>
      <c r="D866" s="3">
        <v>1.0</v>
      </c>
      <c r="E866" s="1" t="s">
        <v>350</v>
      </c>
      <c r="F866" s="1"/>
      <c r="G866" s="3">
        <v>1.0</v>
      </c>
      <c r="H866" s="1"/>
      <c r="I866" s="1"/>
      <c r="J866" s="3">
        <v>1618.0</v>
      </c>
    </row>
    <row r="867">
      <c r="A867" s="3">
        <v>2380.0</v>
      </c>
      <c r="B867" s="3">
        <v>2365.0</v>
      </c>
      <c r="C867" s="1"/>
      <c r="D867" s="3">
        <v>1.0</v>
      </c>
      <c r="E867" s="1" t="s">
        <v>351</v>
      </c>
      <c r="F867" s="3">
        <v>2.0</v>
      </c>
      <c r="G867" s="3">
        <v>1.0</v>
      </c>
      <c r="H867" s="1"/>
      <c r="I867" s="1"/>
      <c r="J867" s="3">
        <v>1618.0</v>
      </c>
    </row>
    <row r="868">
      <c r="A868" s="3">
        <v>2381.0</v>
      </c>
      <c r="B868" s="3">
        <v>2366.0</v>
      </c>
      <c r="C868" s="1"/>
      <c r="D868" s="3">
        <v>1.0</v>
      </c>
      <c r="E868" s="1" t="s">
        <v>352</v>
      </c>
      <c r="F868" s="3">
        <v>1.0</v>
      </c>
      <c r="G868" s="3">
        <v>1.0</v>
      </c>
      <c r="H868" s="1"/>
      <c r="I868" s="1"/>
      <c r="J868" s="3">
        <v>1618.0</v>
      </c>
    </row>
    <row r="869">
      <c r="A869" s="3">
        <v>2382.0</v>
      </c>
      <c r="B869" s="3">
        <v>2367.0</v>
      </c>
      <c r="C869" s="1"/>
      <c r="D869" s="3">
        <v>1.0</v>
      </c>
      <c r="E869" s="1" t="s">
        <v>352</v>
      </c>
      <c r="F869" s="3">
        <v>2.0</v>
      </c>
      <c r="G869" s="3">
        <v>1.0</v>
      </c>
      <c r="H869" s="1"/>
      <c r="I869" s="1"/>
      <c r="J869" s="3">
        <v>1618.0</v>
      </c>
    </row>
    <row r="870">
      <c r="A870" s="3">
        <v>2383.0</v>
      </c>
      <c r="B870" s="3">
        <v>2368.0</v>
      </c>
      <c r="C870" s="1"/>
      <c r="D870" s="3">
        <v>1.0</v>
      </c>
      <c r="E870" s="1" t="s">
        <v>353</v>
      </c>
      <c r="F870" s="3">
        <v>1.0</v>
      </c>
      <c r="G870" s="3">
        <v>1.0</v>
      </c>
      <c r="H870" s="1"/>
      <c r="I870" s="1"/>
      <c r="J870" s="3">
        <v>1618.0</v>
      </c>
    </row>
    <row r="871">
      <c r="A871" s="3">
        <v>2384.0</v>
      </c>
      <c r="B871" s="3">
        <v>2369.0</v>
      </c>
      <c r="C871" s="1"/>
      <c r="D871" s="3">
        <v>1.0</v>
      </c>
      <c r="E871" s="1" t="s">
        <v>353</v>
      </c>
      <c r="F871" s="3">
        <v>2.0</v>
      </c>
      <c r="G871" s="3">
        <v>1.0</v>
      </c>
      <c r="H871" s="1"/>
      <c r="I871" s="1"/>
      <c r="J871" s="3">
        <v>1618.0</v>
      </c>
    </row>
    <row r="872">
      <c r="A872" s="3">
        <v>2385.0</v>
      </c>
      <c r="B872" s="3">
        <v>2370.0</v>
      </c>
      <c r="C872" s="1"/>
      <c r="D872" s="3">
        <v>1.0</v>
      </c>
      <c r="E872" s="1" t="s">
        <v>351</v>
      </c>
      <c r="F872" s="3">
        <v>4.0</v>
      </c>
      <c r="G872" s="3">
        <v>1.0</v>
      </c>
      <c r="H872" s="1"/>
      <c r="I872" s="1"/>
      <c r="J872" s="3">
        <v>1618.0</v>
      </c>
    </row>
    <row r="873">
      <c r="A873" s="3">
        <v>2386.0</v>
      </c>
      <c r="B873" s="3">
        <v>2371.0</v>
      </c>
      <c r="C873" s="1"/>
      <c r="D873" s="3">
        <v>1.0</v>
      </c>
      <c r="E873" s="1" t="s">
        <v>354</v>
      </c>
      <c r="F873" s="3">
        <v>1.0</v>
      </c>
      <c r="G873" s="3">
        <v>1.0</v>
      </c>
      <c r="H873" s="1"/>
      <c r="I873" s="1"/>
      <c r="J873" s="3">
        <v>1618.0</v>
      </c>
    </row>
    <row r="874">
      <c r="A874" s="3">
        <v>2387.0</v>
      </c>
      <c r="B874" s="3">
        <v>2372.0</v>
      </c>
      <c r="C874" s="1"/>
      <c r="D874" s="3">
        <v>1.0</v>
      </c>
      <c r="E874" s="1" t="s">
        <v>354</v>
      </c>
      <c r="F874" s="1" t="s">
        <v>355</v>
      </c>
      <c r="G874" s="3">
        <v>1.0</v>
      </c>
      <c r="H874" s="1"/>
      <c r="I874" s="1"/>
      <c r="J874" s="3">
        <v>1618.0</v>
      </c>
    </row>
    <row r="875">
      <c r="A875" s="3">
        <v>2388.0</v>
      </c>
      <c r="B875" s="3">
        <v>2373.0</v>
      </c>
      <c r="C875" s="1"/>
      <c r="D875" s="3">
        <v>1.0</v>
      </c>
      <c r="E875" s="1" t="s">
        <v>354</v>
      </c>
      <c r="F875" s="3">
        <v>2.0</v>
      </c>
      <c r="G875" s="3">
        <v>1.0</v>
      </c>
      <c r="H875" s="1"/>
      <c r="I875" s="1"/>
      <c r="J875" s="3">
        <v>1618.0</v>
      </c>
    </row>
    <row r="876">
      <c r="A876" s="3">
        <v>2389.0</v>
      </c>
      <c r="B876" s="3">
        <v>2374.0</v>
      </c>
      <c r="C876" s="1"/>
      <c r="D876" s="3">
        <v>1.0</v>
      </c>
      <c r="E876" s="1" t="s">
        <v>354</v>
      </c>
      <c r="F876" s="3">
        <v>3.0</v>
      </c>
      <c r="G876" s="3">
        <v>1.0</v>
      </c>
      <c r="H876" s="1"/>
      <c r="I876" s="1"/>
      <c r="J876" s="3">
        <v>1618.0</v>
      </c>
    </row>
    <row r="877">
      <c r="A877" s="3">
        <v>2390.0</v>
      </c>
      <c r="B877" s="3">
        <v>2375.0</v>
      </c>
      <c r="C877" s="1"/>
      <c r="D877" s="3">
        <v>1.0</v>
      </c>
      <c r="E877" s="1" t="s">
        <v>356</v>
      </c>
      <c r="F877" s="3">
        <v>1.0</v>
      </c>
      <c r="G877" s="3">
        <v>1.0</v>
      </c>
      <c r="H877" s="1"/>
      <c r="I877" s="1"/>
      <c r="J877" s="3">
        <v>1618.0</v>
      </c>
    </row>
    <row r="878">
      <c r="A878" s="3">
        <v>2391.0</v>
      </c>
      <c r="B878" s="3">
        <v>2376.0</v>
      </c>
      <c r="C878" s="1"/>
      <c r="D878" s="3">
        <v>1.0</v>
      </c>
      <c r="E878" s="1" t="s">
        <v>357</v>
      </c>
      <c r="F878" s="3">
        <v>1.0</v>
      </c>
      <c r="G878" s="3">
        <v>1.0</v>
      </c>
      <c r="H878" s="1"/>
      <c r="I878" s="1"/>
      <c r="J878" s="3">
        <v>1618.0</v>
      </c>
    </row>
    <row r="879">
      <c r="A879" s="3">
        <v>2392.0</v>
      </c>
      <c r="B879" s="3">
        <v>2377.0</v>
      </c>
      <c r="C879" s="1"/>
      <c r="D879" s="3">
        <v>1.0</v>
      </c>
      <c r="E879" s="1" t="s">
        <v>358</v>
      </c>
      <c r="F879" s="3">
        <v>1.0</v>
      </c>
      <c r="G879" s="3">
        <v>1.0</v>
      </c>
      <c r="H879" s="1"/>
      <c r="I879" s="1"/>
      <c r="J879" s="3">
        <v>1618.0</v>
      </c>
    </row>
    <row r="880">
      <c r="A880" s="3">
        <v>2393.0</v>
      </c>
      <c r="B880" s="3">
        <v>2378.0</v>
      </c>
      <c r="C880" s="1"/>
      <c r="D880" s="3">
        <v>1.0</v>
      </c>
      <c r="E880" s="1" t="s">
        <v>358</v>
      </c>
      <c r="F880" s="3">
        <v>2.0</v>
      </c>
      <c r="G880" s="3">
        <v>1.0</v>
      </c>
      <c r="H880" s="1"/>
      <c r="I880" s="1"/>
      <c r="J880" s="3">
        <v>1618.0</v>
      </c>
    </row>
    <row r="881">
      <c r="A881" s="3">
        <v>2394.0</v>
      </c>
      <c r="B881" s="3">
        <v>2379.0</v>
      </c>
      <c r="C881" s="1"/>
      <c r="D881" s="3">
        <v>1.0</v>
      </c>
      <c r="E881" s="1" t="s">
        <v>359</v>
      </c>
      <c r="F881" s="1"/>
      <c r="G881" s="3">
        <v>1.0</v>
      </c>
      <c r="H881" s="1"/>
      <c r="I881" s="1"/>
      <c r="J881" s="3">
        <v>1618.0</v>
      </c>
    </row>
    <row r="882">
      <c r="A882" s="3">
        <v>2395.0</v>
      </c>
      <c r="B882" s="3">
        <v>2380.0</v>
      </c>
      <c r="C882" s="1"/>
      <c r="D882" s="3">
        <v>1.0</v>
      </c>
      <c r="E882" s="1" t="s">
        <v>360</v>
      </c>
      <c r="F882" s="1"/>
      <c r="G882" s="3">
        <v>1.0</v>
      </c>
      <c r="H882" s="1"/>
      <c r="I882" s="1"/>
      <c r="J882" s="3">
        <v>1618.0</v>
      </c>
    </row>
    <row r="883">
      <c r="A883" s="3">
        <v>2396.0</v>
      </c>
      <c r="B883" s="3">
        <v>2381.0</v>
      </c>
      <c r="C883" s="1"/>
      <c r="D883" s="3">
        <v>1.0</v>
      </c>
      <c r="E883" s="1" t="s">
        <v>351</v>
      </c>
      <c r="F883" s="3">
        <v>1.0</v>
      </c>
      <c r="G883" s="3">
        <v>1.0</v>
      </c>
      <c r="H883" s="1"/>
      <c r="I883" s="1"/>
      <c r="J883" s="3">
        <v>1618.0</v>
      </c>
    </row>
    <row r="884">
      <c r="A884" s="3">
        <v>2397.0</v>
      </c>
      <c r="B884" s="3">
        <v>2382.0</v>
      </c>
      <c r="C884" s="1"/>
      <c r="D884" s="3">
        <v>1.0</v>
      </c>
      <c r="E884" s="1" t="s">
        <v>351</v>
      </c>
      <c r="F884" s="3">
        <v>3.0</v>
      </c>
      <c r="G884" s="3">
        <v>1.0</v>
      </c>
      <c r="H884" s="1"/>
      <c r="I884" s="1"/>
      <c r="J884" s="3">
        <v>1618.0</v>
      </c>
    </row>
    <row r="885">
      <c r="A885" s="3">
        <v>2398.0</v>
      </c>
      <c r="B885" s="3">
        <v>2383.0</v>
      </c>
      <c r="C885" s="1"/>
      <c r="D885" s="3">
        <v>1.0</v>
      </c>
      <c r="E885" s="1" t="s">
        <v>351</v>
      </c>
      <c r="F885" s="3">
        <v>5.0</v>
      </c>
      <c r="G885" s="3">
        <v>1.0</v>
      </c>
      <c r="H885" s="1"/>
      <c r="I885" s="1"/>
      <c r="J885" s="3">
        <v>1618.0</v>
      </c>
    </row>
    <row r="886">
      <c r="A886" s="3">
        <v>2399.0</v>
      </c>
      <c r="B886" s="3">
        <v>2384.0</v>
      </c>
      <c r="C886" s="1"/>
      <c r="D886" s="3">
        <v>1.0</v>
      </c>
      <c r="E886" s="1" t="s">
        <v>351</v>
      </c>
      <c r="F886" s="1" t="s">
        <v>361</v>
      </c>
      <c r="G886" s="3">
        <v>1.0</v>
      </c>
      <c r="H886" s="1"/>
      <c r="I886" s="1"/>
      <c r="J886" s="3">
        <v>1618.0</v>
      </c>
    </row>
    <row r="887">
      <c r="A887" s="3">
        <v>2400.0</v>
      </c>
      <c r="B887" s="3">
        <v>2385.0</v>
      </c>
      <c r="C887" s="1"/>
      <c r="D887" s="3">
        <v>1.0</v>
      </c>
      <c r="E887" s="1" t="s">
        <v>351</v>
      </c>
      <c r="F887" s="3">
        <v>6.0</v>
      </c>
      <c r="G887" s="3">
        <v>1.0</v>
      </c>
      <c r="H887" s="1"/>
      <c r="I887" s="1"/>
      <c r="J887" s="3">
        <v>1618.0</v>
      </c>
    </row>
    <row r="888">
      <c r="A888" s="3">
        <v>2401.0</v>
      </c>
      <c r="B888" s="3">
        <v>2386.0</v>
      </c>
      <c r="C888" s="1"/>
      <c r="D888" s="3">
        <v>1.0</v>
      </c>
      <c r="E888" s="1" t="s">
        <v>351</v>
      </c>
      <c r="F888" s="3">
        <v>7.0</v>
      </c>
      <c r="G888" s="3">
        <v>1.0</v>
      </c>
      <c r="H888" s="1"/>
      <c r="I888" s="1"/>
      <c r="J888" s="3">
        <v>1618.0</v>
      </c>
    </row>
    <row r="889">
      <c r="A889" s="3">
        <v>2402.0</v>
      </c>
      <c r="B889" s="3">
        <v>2387.0</v>
      </c>
      <c r="C889" s="1"/>
      <c r="D889" s="3">
        <v>1.0</v>
      </c>
      <c r="E889" s="1" t="s">
        <v>346</v>
      </c>
      <c r="F889" s="3">
        <v>4.0</v>
      </c>
      <c r="G889" s="3">
        <v>1.0</v>
      </c>
      <c r="H889" s="1"/>
      <c r="I889" s="1"/>
      <c r="J889" s="3">
        <v>1618.0</v>
      </c>
    </row>
    <row r="890">
      <c r="A890" s="3">
        <v>2403.0</v>
      </c>
      <c r="B890" s="3">
        <v>2388.0</v>
      </c>
      <c r="C890" s="1"/>
      <c r="D890" s="3">
        <v>1.0</v>
      </c>
      <c r="E890" s="1" t="s">
        <v>346</v>
      </c>
      <c r="F890" s="3">
        <v>7.0</v>
      </c>
      <c r="G890" s="3">
        <v>1.0</v>
      </c>
      <c r="H890" s="1"/>
      <c r="I890" s="1"/>
      <c r="J890" s="3">
        <v>1618.0</v>
      </c>
    </row>
    <row r="891">
      <c r="A891" s="3">
        <v>2404.0</v>
      </c>
      <c r="B891" s="3">
        <v>2389.0</v>
      </c>
      <c r="C891" s="1"/>
      <c r="D891" s="3">
        <v>1.0</v>
      </c>
      <c r="E891" s="1" t="s">
        <v>346</v>
      </c>
      <c r="F891" s="3">
        <v>8.0</v>
      </c>
      <c r="G891" s="3">
        <v>1.0</v>
      </c>
      <c r="H891" s="1"/>
      <c r="I891" s="1"/>
      <c r="J891" s="3">
        <v>1618.0</v>
      </c>
    </row>
    <row r="892">
      <c r="A892" s="3">
        <v>2405.0</v>
      </c>
      <c r="B892" s="3">
        <v>2390.0</v>
      </c>
      <c r="C892" s="1"/>
      <c r="D892" s="3">
        <v>1.0</v>
      </c>
      <c r="E892" s="1" t="s">
        <v>346</v>
      </c>
      <c r="F892" s="3">
        <v>9.0</v>
      </c>
      <c r="G892" s="3">
        <v>1.0</v>
      </c>
      <c r="H892" s="1"/>
      <c r="I892" s="1"/>
      <c r="J892" s="3">
        <v>1618.0</v>
      </c>
    </row>
    <row r="893">
      <c r="A893" s="3">
        <v>2406.0</v>
      </c>
      <c r="B893" s="3">
        <v>2391.0</v>
      </c>
      <c r="C893" s="1"/>
      <c r="D893" s="3">
        <v>1.0</v>
      </c>
      <c r="E893" s="1" t="s">
        <v>346</v>
      </c>
      <c r="F893" s="3">
        <v>11.0</v>
      </c>
      <c r="G893" s="3">
        <v>1.0</v>
      </c>
      <c r="H893" s="1"/>
      <c r="I893" s="1"/>
      <c r="J893" s="3">
        <v>1618.0</v>
      </c>
    </row>
    <row r="894">
      <c r="A894" s="3">
        <v>2407.0</v>
      </c>
      <c r="B894" s="3">
        <v>2392.0</v>
      </c>
      <c r="C894" s="1"/>
      <c r="D894" s="3">
        <v>1.0</v>
      </c>
      <c r="E894" s="1" t="s">
        <v>346</v>
      </c>
      <c r="F894" s="3">
        <v>12.0</v>
      </c>
      <c r="G894" s="3">
        <v>1.0</v>
      </c>
      <c r="H894" s="1"/>
      <c r="I894" s="1"/>
      <c r="J894" s="3">
        <v>1618.0</v>
      </c>
    </row>
    <row r="895">
      <c r="A895" s="3">
        <v>2408.0</v>
      </c>
      <c r="B895" s="3">
        <v>2393.0</v>
      </c>
      <c r="C895" s="1"/>
      <c r="D895" s="3">
        <v>1.0</v>
      </c>
      <c r="E895" s="1" t="s">
        <v>346</v>
      </c>
      <c r="F895" s="3">
        <v>13.0</v>
      </c>
      <c r="G895" s="3">
        <v>1.0</v>
      </c>
      <c r="H895" s="1"/>
      <c r="I895" s="1"/>
      <c r="J895" s="3">
        <v>1618.0</v>
      </c>
    </row>
    <row r="896">
      <c r="A896" s="3">
        <v>2409.0</v>
      </c>
      <c r="B896" s="3">
        <v>2394.0</v>
      </c>
      <c r="C896" s="1"/>
      <c r="D896" s="3">
        <v>1.0</v>
      </c>
      <c r="E896" s="1" t="s">
        <v>346</v>
      </c>
      <c r="F896" s="3">
        <v>14.0</v>
      </c>
      <c r="G896" s="3">
        <v>1.0</v>
      </c>
      <c r="H896" s="1"/>
      <c r="I896" s="1"/>
      <c r="J896" s="3">
        <v>1618.0</v>
      </c>
    </row>
    <row r="897">
      <c r="A897" s="3">
        <v>2410.0</v>
      </c>
      <c r="B897" s="3">
        <v>2395.0</v>
      </c>
      <c r="C897" s="1"/>
      <c r="D897" s="3">
        <v>1.0</v>
      </c>
      <c r="E897" s="1" t="s">
        <v>346</v>
      </c>
      <c r="F897" s="3">
        <v>15.0</v>
      </c>
      <c r="G897" s="3">
        <v>1.0</v>
      </c>
      <c r="H897" s="1"/>
      <c r="I897" s="1"/>
      <c r="J897" s="3">
        <v>1618.0</v>
      </c>
    </row>
    <row r="898">
      <c r="A898" s="3">
        <v>2411.0</v>
      </c>
      <c r="B898" s="3">
        <v>2396.0</v>
      </c>
      <c r="C898" s="1"/>
      <c r="D898" s="3">
        <v>1.0</v>
      </c>
      <c r="E898" s="1" t="s">
        <v>346</v>
      </c>
      <c r="F898" s="3">
        <v>16.0</v>
      </c>
      <c r="G898" s="3">
        <v>1.0</v>
      </c>
      <c r="H898" s="1"/>
      <c r="I898" s="1"/>
      <c r="J898" s="3">
        <v>1618.0</v>
      </c>
    </row>
    <row r="899">
      <c r="A899" s="3">
        <v>2412.0</v>
      </c>
      <c r="B899" s="3">
        <v>2397.0</v>
      </c>
      <c r="C899" s="1"/>
      <c r="D899" s="3">
        <v>1.0</v>
      </c>
      <c r="E899" s="1" t="s">
        <v>346</v>
      </c>
      <c r="F899" s="3">
        <v>17.0</v>
      </c>
      <c r="G899" s="3">
        <v>1.0</v>
      </c>
      <c r="H899" s="1"/>
      <c r="I899" s="1"/>
      <c r="J899" s="3">
        <v>1618.0</v>
      </c>
    </row>
    <row r="900">
      <c r="A900" s="3">
        <v>2413.0</v>
      </c>
      <c r="B900" s="3">
        <v>2398.0</v>
      </c>
      <c r="C900" s="1"/>
      <c r="D900" s="3">
        <v>1.0</v>
      </c>
      <c r="E900" s="1" t="s">
        <v>346</v>
      </c>
      <c r="F900" s="3">
        <v>18.0</v>
      </c>
      <c r="G900" s="3">
        <v>1.0</v>
      </c>
      <c r="H900" s="1"/>
      <c r="I900" s="1"/>
      <c r="J900" s="3">
        <v>1618.0</v>
      </c>
    </row>
    <row r="901">
      <c r="A901" s="3">
        <v>2414.0</v>
      </c>
      <c r="B901" s="3">
        <v>2399.0</v>
      </c>
      <c r="C901" s="1"/>
      <c r="D901" s="3">
        <v>1.0</v>
      </c>
      <c r="E901" s="1" t="s">
        <v>346</v>
      </c>
      <c r="F901" s="3">
        <v>20.0</v>
      </c>
      <c r="G901" s="3">
        <v>1.0</v>
      </c>
      <c r="H901" s="1"/>
      <c r="I901" s="1"/>
      <c r="J901" s="3">
        <v>1618.0</v>
      </c>
    </row>
    <row r="902">
      <c r="A902" s="3">
        <v>2415.0</v>
      </c>
      <c r="B902" s="3">
        <v>2400.0</v>
      </c>
      <c r="C902" s="1"/>
      <c r="D902" s="3">
        <v>1.0</v>
      </c>
      <c r="E902" s="1" t="s">
        <v>346</v>
      </c>
      <c r="F902" s="3">
        <v>21.0</v>
      </c>
      <c r="G902" s="3">
        <v>1.0</v>
      </c>
      <c r="H902" s="1"/>
      <c r="I902" s="1"/>
      <c r="J902" s="3">
        <v>1618.0</v>
      </c>
    </row>
    <row r="903">
      <c r="A903" s="3">
        <v>2416.0</v>
      </c>
      <c r="B903" s="3">
        <v>2401.0</v>
      </c>
      <c r="C903" s="1"/>
      <c r="D903" s="3">
        <v>1.0</v>
      </c>
      <c r="E903" s="1" t="s">
        <v>346</v>
      </c>
      <c r="F903" s="3">
        <v>22.0</v>
      </c>
      <c r="G903" s="3">
        <v>1.0</v>
      </c>
      <c r="H903" s="1"/>
      <c r="I903" s="1"/>
      <c r="J903" s="3">
        <v>1618.0</v>
      </c>
    </row>
    <row r="904">
      <c r="A904" s="3">
        <v>2417.0</v>
      </c>
      <c r="B904" s="3">
        <v>2402.0</v>
      </c>
      <c r="C904" s="1"/>
      <c r="D904" s="3">
        <v>1.0</v>
      </c>
      <c r="E904" s="1" t="s">
        <v>346</v>
      </c>
      <c r="F904" s="3">
        <v>23.0</v>
      </c>
      <c r="G904" s="3">
        <v>1.0</v>
      </c>
      <c r="H904" s="1"/>
      <c r="I904" s="1"/>
      <c r="J904" s="3">
        <v>1618.0</v>
      </c>
    </row>
    <row r="905">
      <c r="A905" s="3">
        <v>2418.0</v>
      </c>
      <c r="B905" s="3">
        <v>2403.0</v>
      </c>
      <c r="C905" s="1"/>
      <c r="D905" s="3">
        <v>1.0</v>
      </c>
      <c r="E905" s="1" t="s">
        <v>346</v>
      </c>
      <c r="F905" s="3">
        <v>24.0</v>
      </c>
      <c r="G905" s="3">
        <v>1.0</v>
      </c>
      <c r="H905" s="1"/>
      <c r="I905" s="1"/>
      <c r="J905" s="3">
        <v>1618.0</v>
      </c>
    </row>
    <row r="906">
      <c r="A906" s="3">
        <v>2419.0</v>
      </c>
      <c r="B906" s="3">
        <v>2404.0</v>
      </c>
      <c r="C906" s="1"/>
      <c r="D906" s="3">
        <v>1.0</v>
      </c>
      <c r="E906" s="1" t="s">
        <v>346</v>
      </c>
      <c r="F906" s="3">
        <v>25.0</v>
      </c>
      <c r="G906" s="3">
        <v>1.0</v>
      </c>
      <c r="H906" s="1"/>
      <c r="I906" s="1"/>
      <c r="J906" s="3">
        <v>1618.0</v>
      </c>
    </row>
    <row r="907">
      <c r="A907" s="3">
        <v>2420.0</v>
      </c>
      <c r="B907" s="3">
        <v>2405.0</v>
      </c>
      <c r="C907" s="1"/>
      <c r="D907" s="3">
        <v>1.0</v>
      </c>
      <c r="E907" s="1" t="s">
        <v>346</v>
      </c>
      <c r="F907" s="3">
        <v>26.0</v>
      </c>
      <c r="G907" s="3">
        <v>1.0</v>
      </c>
      <c r="H907" s="1"/>
      <c r="I907" s="1"/>
      <c r="J907" s="3">
        <v>1618.0</v>
      </c>
    </row>
    <row r="908">
      <c r="A908" s="3">
        <v>2421.0</v>
      </c>
      <c r="B908" s="3">
        <v>2406.0</v>
      </c>
      <c r="C908" s="1"/>
      <c r="D908" s="3">
        <v>1.0</v>
      </c>
      <c r="E908" s="1" t="s">
        <v>346</v>
      </c>
      <c r="F908" s="3">
        <v>27.0</v>
      </c>
      <c r="G908" s="3">
        <v>1.0</v>
      </c>
      <c r="H908" s="1"/>
      <c r="I908" s="1"/>
      <c r="J908" s="3">
        <v>1618.0</v>
      </c>
    </row>
    <row r="909">
      <c r="A909" s="3">
        <v>2422.0</v>
      </c>
      <c r="B909" s="3">
        <v>2407.0</v>
      </c>
      <c r="C909" s="1"/>
      <c r="D909" s="3">
        <v>1.0</v>
      </c>
      <c r="E909" s="1" t="s">
        <v>346</v>
      </c>
      <c r="F909" s="3">
        <v>28.0</v>
      </c>
      <c r="G909" s="3">
        <v>1.0</v>
      </c>
      <c r="H909" s="1"/>
      <c r="I909" s="1"/>
      <c r="J909" s="3">
        <v>1618.0</v>
      </c>
    </row>
    <row r="910">
      <c r="A910" s="3">
        <v>2423.0</v>
      </c>
      <c r="B910" s="3">
        <v>2408.0</v>
      </c>
      <c r="C910" s="1"/>
      <c r="D910" s="3">
        <v>1.0</v>
      </c>
      <c r="E910" s="1" t="s">
        <v>346</v>
      </c>
      <c r="F910" s="3">
        <v>30.0</v>
      </c>
      <c r="G910" s="3">
        <v>1.0</v>
      </c>
      <c r="H910" s="1"/>
      <c r="I910" s="1"/>
      <c r="J910" s="3">
        <v>1618.0</v>
      </c>
    </row>
    <row r="911">
      <c r="A911" s="3">
        <v>2424.0</v>
      </c>
      <c r="B911" s="3">
        <v>2409.0</v>
      </c>
      <c r="C911" s="1"/>
      <c r="D911" s="3">
        <v>1.0</v>
      </c>
      <c r="E911" s="1" t="s">
        <v>346</v>
      </c>
      <c r="F911" s="3">
        <v>31.0</v>
      </c>
      <c r="G911" s="3">
        <v>1.0</v>
      </c>
      <c r="H911" s="1"/>
      <c r="I911" s="1"/>
      <c r="J911" s="3">
        <v>1618.0</v>
      </c>
    </row>
    <row r="912">
      <c r="A912" s="3">
        <v>2425.0</v>
      </c>
      <c r="B912" s="3">
        <v>2410.0</v>
      </c>
      <c r="C912" s="1"/>
      <c r="D912" s="3">
        <v>1.0</v>
      </c>
      <c r="E912" s="1" t="s">
        <v>362</v>
      </c>
      <c r="F912" s="3">
        <v>1.0</v>
      </c>
      <c r="G912" s="3">
        <v>1.0</v>
      </c>
      <c r="H912" s="1"/>
      <c r="I912" s="1"/>
      <c r="J912" s="3">
        <v>1618.0</v>
      </c>
    </row>
    <row r="913">
      <c r="A913" s="3">
        <v>2426.0</v>
      </c>
      <c r="B913" s="3">
        <v>2411.0</v>
      </c>
      <c r="C913" s="1"/>
      <c r="D913" s="3">
        <v>1.0</v>
      </c>
      <c r="E913" s="1" t="s">
        <v>362</v>
      </c>
      <c r="F913" s="3">
        <v>2.0</v>
      </c>
      <c r="G913" s="3">
        <v>1.0</v>
      </c>
      <c r="H913" s="1"/>
      <c r="I913" s="1"/>
      <c r="J913" s="3">
        <v>1618.0</v>
      </c>
    </row>
    <row r="914">
      <c r="A914" s="3">
        <v>2427.0</v>
      </c>
      <c r="B914" s="3">
        <v>2412.0</v>
      </c>
      <c r="C914" s="1"/>
      <c r="D914" s="3">
        <v>1.0</v>
      </c>
      <c r="E914" s="1" t="s">
        <v>362</v>
      </c>
      <c r="F914" s="3">
        <v>3.0</v>
      </c>
      <c r="G914" s="3">
        <v>1.0</v>
      </c>
      <c r="H914" s="1"/>
      <c r="I914" s="1"/>
      <c r="J914" s="3">
        <v>1618.0</v>
      </c>
    </row>
    <row r="915">
      <c r="A915" s="3">
        <v>2428.0</v>
      </c>
      <c r="B915" s="3">
        <v>2413.0</v>
      </c>
      <c r="C915" s="1"/>
      <c r="D915" s="3">
        <v>1.0</v>
      </c>
      <c r="E915" s="1" t="s">
        <v>362</v>
      </c>
      <c r="F915" s="3">
        <v>4.0</v>
      </c>
      <c r="G915" s="3">
        <v>1.0</v>
      </c>
      <c r="H915" s="1"/>
      <c r="I915" s="1"/>
      <c r="J915" s="3">
        <v>1618.0</v>
      </c>
    </row>
    <row r="916">
      <c r="A916" s="3">
        <v>2429.0</v>
      </c>
      <c r="B916" s="3">
        <v>2414.0</v>
      </c>
      <c r="C916" s="1"/>
      <c r="D916" s="3">
        <v>1.0</v>
      </c>
      <c r="E916" s="1" t="s">
        <v>362</v>
      </c>
      <c r="F916" s="3">
        <v>5.0</v>
      </c>
      <c r="G916" s="3">
        <v>1.0</v>
      </c>
      <c r="H916" s="1"/>
      <c r="I916" s="1"/>
      <c r="J916" s="3">
        <v>1618.0</v>
      </c>
    </row>
    <row r="917">
      <c r="A917" s="3">
        <v>2430.0</v>
      </c>
      <c r="B917" s="3">
        <v>2415.0</v>
      </c>
      <c r="C917" s="1"/>
      <c r="D917" s="3">
        <v>1.0</v>
      </c>
      <c r="E917" s="1" t="s">
        <v>362</v>
      </c>
      <c r="F917" s="3">
        <v>6.0</v>
      </c>
      <c r="G917" s="3">
        <v>1.0</v>
      </c>
      <c r="H917" s="1"/>
      <c r="I917" s="1"/>
      <c r="J917" s="3">
        <v>1618.0</v>
      </c>
    </row>
    <row r="918">
      <c r="A918" s="3">
        <v>2308.0</v>
      </c>
      <c r="B918" s="3">
        <v>2293.0</v>
      </c>
      <c r="C918" s="1"/>
      <c r="D918" s="3">
        <v>1.0</v>
      </c>
      <c r="E918" s="1" t="s">
        <v>363</v>
      </c>
      <c r="F918" s="3">
        <v>19.0</v>
      </c>
      <c r="G918" s="3">
        <v>1.0</v>
      </c>
      <c r="H918" s="1"/>
      <c r="I918" s="1"/>
      <c r="J918" s="3">
        <v>1618.0</v>
      </c>
    </row>
    <row r="919">
      <c r="A919" s="3">
        <v>2309.0</v>
      </c>
      <c r="B919" s="3">
        <v>2294.0</v>
      </c>
      <c r="C919" s="1"/>
      <c r="D919" s="3">
        <v>1.0</v>
      </c>
      <c r="E919" s="1" t="s">
        <v>363</v>
      </c>
      <c r="F919" s="3">
        <v>20.0</v>
      </c>
      <c r="G919" s="3">
        <v>1.0</v>
      </c>
      <c r="H919" s="1"/>
      <c r="I919" s="1"/>
      <c r="J919" s="3">
        <v>1618.0</v>
      </c>
    </row>
    <row r="920">
      <c r="A920" s="3">
        <v>2310.0</v>
      </c>
      <c r="B920" s="3">
        <v>2295.0</v>
      </c>
      <c r="C920" s="1"/>
      <c r="D920" s="3">
        <v>1.0</v>
      </c>
      <c r="E920" s="1" t="s">
        <v>363</v>
      </c>
      <c r="F920" s="3">
        <v>21.0</v>
      </c>
      <c r="G920" s="3">
        <v>1.0</v>
      </c>
      <c r="H920" s="1"/>
      <c r="I920" s="1"/>
      <c r="J920" s="3">
        <v>1618.0</v>
      </c>
    </row>
    <row r="921">
      <c r="A921" s="3">
        <v>2311.0</v>
      </c>
      <c r="B921" s="3">
        <v>2296.0</v>
      </c>
      <c r="C921" s="1"/>
      <c r="D921" s="3">
        <v>1.0</v>
      </c>
      <c r="E921" s="1" t="s">
        <v>363</v>
      </c>
      <c r="F921" s="3">
        <v>22.0</v>
      </c>
      <c r="G921" s="3">
        <v>1.0</v>
      </c>
      <c r="H921" s="1"/>
      <c r="I921" s="1"/>
      <c r="J921" s="3">
        <v>1618.0</v>
      </c>
    </row>
    <row r="922">
      <c r="A922" s="3">
        <v>2312.0</v>
      </c>
      <c r="B922" s="3">
        <v>2297.0</v>
      </c>
      <c r="C922" s="1"/>
      <c r="D922" s="3">
        <v>1.0</v>
      </c>
      <c r="E922" s="1" t="s">
        <v>363</v>
      </c>
      <c r="F922" s="3">
        <v>23.0</v>
      </c>
      <c r="G922" s="3">
        <v>1.0</v>
      </c>
      <c r="H922" s="1"/>
      <c r="I922" s="1"/>
      <c r="J922" s="3">
        <v>1618.0</v>
      </c>
    </row>
    <row r="923">
      <c r="A923" s="3">
        <v>2313.0</v>
      </c>
      <c r="B923" s="3">
        <v>2298.0</v>
      </c>
      <c r="C923" s="1"/>
      <c r="D923" s="3">
        <v>1.0</v>
      </c>
      <c r="E923" s="1" t="s">
        <v>363</v>
      </c>
      <c r="F923" s="3">
        <v>24.0</v>
      </c>
      <c r="G923" s="3">
        <v>1.0</v>
      </c>
      <c r="H923" s="1"/>
      <c r="I923" s="1"/>
      <c r="J923" s="3">
        <v>1618.0</v>
      </c>
    </row>
    <row r="924">
      <c r="A924" s="3">
        <v>2314.0</v>
      </c>
      <c r="B924" s="3">
        <v>2299.0</v>
      </c>
      <c r="C924" s="1"/>
      <c r="D924" s="3">
        <v>1.0</v>
      </c>
      <c r="E924" s="1" t="s">
        <v>363</v>
      </c>
      <c r="F924" s="1" t="s">
        <v>364</v>
      </c>
      <c r="G924" s="3">
        <v>1.0</v>
      </c>
      <c r="H924" s="1"/>
      <c r="I924" s="1"/>
      <c r="J924" s="3">
        <v>1618.0</v>
      </c>
    </row>
    <row r="925">
      <c r="A925" s="3">
        <v>2315.0</v>
      </c>
      <c r="B925" s="3">
        <v>2300.0</v>
      </c>
      <c r="C925" s="1"/>
      <c r="D925" s="3">
        <v>1.0</v>
      </c>
      <c r="E925" s="1" t="s">
        <v>363</v>
      </c>
      <c r="F925" s="1" t="s">
        <v>365</v>
      </c>
      <c r="G925" s="3">
        <v>1.0</v>
      </c>
      <c r="H925" s="1"/>
      <c r="I925" s="1"/>
      <c r="J925" s="3">
        <v>1618.0</v>
      </c>
    </row>
    <row r="926">
      <c r="A926" s="3">
        <v>2316.0</v>
      </c>
      <c r="B926" s="3">
        <v>2301.0</v>
      </c>
      <c r="C926" s="1"/>
      <c r="D926" s="3">
        <v>1.0</v>
      </c>
      <c r="E926" s="1" t="s">
        <v>363</v>
      </c>
      <c r="F926" s="1" t="s">
        <v>366</v>
      </c>
      <c r="G926" s="3">
        <v>1.0</v>
      </c>
      <c r="H926" s="1"/>
      <c r="I926" s="1"/>
      <c r="J926" s="3">
        <v>1618.0</v>
      </c>
    </row>
    <row r="927">
      <c r="A927" s="3">
        <v>2317.0</v>
      </c>
      <c r="B927" s="3">
        <v>2302.0</v>
      </c>
      <c r="C927" s="1"/>
      <c r="D927" s="3">
        <v>1.0</v>
      </c>
      <c r="E927" s="1" t="s">
        <v>363</v>
      </c>
      <c r="F927" s="3">
        <v>25.0</v>
      </c>
      <c r="G927" s="3">
        <v>1.0</v>
      </c>
      <c r="H927" s="1"/>
      <c r="I927" s="1"/>
      <c r="J927" s="3">
        <v>1618.0</v>
      </c>
    </row>
    <row r="928">
      <c r="A928" s="3">
        <v>2318.0</v>
      </c>
      <c r="B928" s="3">
        <v>2303.0</v>
      </c>
      <c r="C928" s="1"/>
      <c r="D928" s="3">
        <v>1.0</v>
      </c>
      <c r="E928" s="1" t="s">
        <v>363</v>
      </c>
      <c r="F928" s="3">
        <v>26.0</v>
      </c>
      <c r="G928" s="3">
        <v>1.0</v>
      </c>
      <c r="H928" s="1"/>
      <c r="I928" s="1"/>
      <c r="J928" s="3">
        <v>1618.0</v>
      </c>
    </row>
    <row r="929">
      <c r="A929" s="3">
        <v>2319.0</v>
      </c>
      <c r="B929" s="3">
        <v>2304.0</v>
      </c>
      <c r="C929" s="1"/>
      <c r="D929" s="3">
        <v>1.0</v>
      </c>
      <c r="E929" s="1" t="s">
        <v>363</v>
      </c>
      <c r="F929" s="3">
        <v>27.0</v>
      </c>
      <c r="G929" s="3">
        <v>1.0</v>
      </c>
      <c r="H929" s="1"/>
      <c r="I929" s="1"/>
      <c r="J929" s="3">
        <v>1618.0</v>
      </c>
    </row>
    <row r="930">
      <c r="A930" s="3">
        <v>2320.0</v>
      </c>
      <c r="B930" s="3">
        <v>2305.0</v>
      </c>
      <c r="C930" s="1"/>
      <c r="D930" s="3">
        <v>1.0</v>
      </c>
      <c r="E930" s="1" t="s">
        <v>363</v>
      </c>
      <c r="F930" s="3">
        <v>28.0</v>
      </c>
      <c r="G930" s="3">
        <v>1.0</v>
      </c>
      <c r="H930" s="1"/>
      <c r="I930" s="1"/>
      <c r="J930" s="3">
        <v>1618.0</v>
      </c>
    </row>
    <row r="931">
      <c r="A931" s="3">
        <v>2321.0</v>
      </c>
      <c r="B931" s="3">
        <v>2306.0</v>
      </c>
      <c r="C931" s="1"/>
      <c r="D931" s="3">
        <v>1.0</v>
      </c>
      <c r="E931" s="1" t="s">
        <v>363</v>
      </c>
      <c r="F931" s="3">
        <v>29.0</v>
      </c>
      <c r="G931" s="3">
        <v>1.0</v>
      </c>
      <c r="H931" s="1"/>
      <c r="I931" s="1"/>
      <c r="J931" s="3">
        <v>1618.0</v>
      </c>
    </row>
    <row r="932">
      <c r="A932" s="3">
        <v>2322.0</v>
      </c>
      <c r="B932" s="3">
        <v>2307.0</v>
      </c>
      <c r="C932" s="1"/>
      <c r="D932" s="3">
        <v>1.0</v>
      </c>
      <c r="E932" s="1" t="s">
        <v>363</v>
      </c>
      <c r="F932" s="1" t="s">
        <v>367</v>
      </c>
      <c r="G932" s="3">
        <v>1.0</v>
      </c>
      <c r="H932" s="1"/>
      <c r="I932" s="1"/>
      <c r="J932" s="3">
        <v>1618.0</v>
      </c>
    </row>
    <row r="933">
      <c r="A933" s="3">
        <v>2323.0</v>
      </c>
      <c r="B933" s="3">
        <v>2308.0</v>
      </c>
      <c r="C933" s="1"/>
      <c r="D933" s="3">
        <v>1.0</v>
      </c>
      <c r="E933" s="1" t="s">
        <v>363</v>
      </c>
      <c r="F933" s="3">
        <v>30.0</v>
      </c>
      <c r="G933" s="3">
        <v>1.0</v>
      </c>
      <c r="H933" s="1"/>
      <c r="I933" s="1"/>
      <c r="J933" s="3">
        <v>1618.0</v>
      </c>
    </row>
    <row r="934">
      <c r="A934" s="3">
        <v>2324.0</v>
      </c>
      <c r="B934" s="3">
        <v>2309.0</v>
      </c>
      <c r="C934" s="1"/>
      <c r="D934" s="3">
        <v>1.0</v>
      </c>
      <c r="E934" s="1" t="s">
        <v>363</v>
      </c>
      <c r="F934" s="3">
        <v>31.0</v>
      </c>
      <c r="G934" s="3">
        <v>1.0</v>
      </c>
      <c r="H934" s="1"/>
      <c r="I934" s="1"/>
      <c r="J934" s="3">
        <v>1618.0</v>
      </c>
    </row>
    <row r="935">
      <c r="A935" s="3">
        <v>2325.0</v>
      </c>
      <c r="B935" s="3">
        <v>2310.0</v>
      </c>
      <c r="C935" s="1"/>
      <c r="D935" s="3">
        <v>1.0</v>
      </c>
      <c r="E935" s="1" t="s">
        <v>363</v>
      </c>
      <c r="F935" s="3">
        <v>32.0</v>
      </c>
      <c r="G935" s="3">
        <v>1.0</v>
      </c>
      <c r="H935" s="1"/>
      <c r="I935" s="1"/>
      <c r="J935" s="3">
        <v>1618.0</v>
      </c>
    </row>
    <row r="936">
      <c r="A936" s="3">
        <v>2326.0</v>
      </c>
      <c r="B936" s="3">
        <v>2311.0</v>
      </c>
      <c r="C936" s="1"/>
      <c r="D936" s="3">
        <v>1.0</v>
      </c>
      <c r="E936" s="1" t="s">
        <v>363</v>
      </c>
      <c r="F936" s="3">
        <v>33.0</v>
      </c>
      <c r="G936" s="3">
        <v>1.0</v>
      </c>
      <c r="H936" s="1"/>
      <c r="I936" s="1"/>
      <c r="J936" s="3">
        <v>1618.0</v>
      </c>
    </row>
    <row r="937">
      <c r="A937" s="3">
        <v>2327.0</v>
      </c>
      <c r="B937" s="3">
        <v>2312.0</v>
      </c>
      <c r="C937" s="1"/>
      <c r="D937" s="3">
        <v>1.0</v>
      </c>
      <c r="E937" s="1" t="s">
        <v>363</v>
      </c>
      <c r="F937" s="3">
        <v>34.0</v>
      </c>
      <c r="G937" s="3">
        <v>1.0</v>
      </c>
      <c r="H937" s="1"/>
      <c r="I937" s="1"/>
      <c r="J937" s="3">
        <v>1618.0</v>
      </c>
    </row>
    <row r="938">
      <c r="A938" s="3">
        <v>2328.0</v>
      </c>
      <c r="B938" s="3">
        <v>2313.0</v>
      </c>
      <c r="C938" s="1"/>
      <c r="D938" s="3">
        <v>1.0</v>
      </c>
      <c r="E938" s="1" t="s">
        <v>368</v>
      </c>
      <c r="F938" s="3">
        <v>1.0</v>
      </c>
      <c r="G938" s="3">
        <v>1.0</v>
      </c>
      <c r="H938" s="1"/>
      <c r="I938" s="1"/>
      <c r="J938" s="3">
        <v>1618.0</v>
      </c>
    </row>
    <row r="939">
      <c r="A939" s="3">
        <v>2329.0</v>
      </c>
      <c r="B939" s="3">
        <v>2314.0</v>
      </c>
      <c r="C939" s="1"/>
      <c r="D939" s="3">
        <v>1.0</v>
      </c>
      <c r="E939" s="1" t="s">
        <v>368</v>
      </c>
      <c r="F939" s="3">
        <v>2.0</v>
      </c>
      <c r="G939" s="3">
        <v>1.0</v>
      </c>
      <c r="H939" s="1"/>
      <c r="I939" s="1"/>
      <c r="J939" s="3">
        <v>1618.0</v>
      </c>
    </row>
    <row r="940">
      <c r="A940" s="3">
        <v>2330.0</v>
      </c>
      <c r="B940" s="3">
        <v>2315.0</v>
      </c>
      <c r="C940" s="1"/>
      <c r="D940" s="3">
        <v>1.0</v>
      </c>
      <c r="E940" s="1" t="s">
        <v>368</v>
      </c>
      <c r="F940" s="3">
        <v>3.0</v>
      </c>
      <c r="G940" s="3">
        <v>1.0</v>
      </c>
      <c r="H940" s="1"/>
      <c r="I940" s="1"/>
      <c r="J940" s="3">
        <v>1618.0</v>
      </c>
    </row>
    <row r="941">
      <c r="A941" s="3">
        <v>2331.0</v>
      </c>
      <c r="B941" s="3">
        <v>2316.0</v>
      </c>
      <c r="C941" s="1"/>
      <c r="D941" s="3">
        <v>1.0</v>
      </c>
      <c r="E941" s="1" t="s">
        <v>368</v>
      </c>
      <c r="F941" s="3">
        <v>4.0</v>
      </c>
      <c r="G941" s="3">
        <v>1.0</v>
      </c>
      <c r="H941" s="1"/>
      <c r="I941" s="1"/>
      <c r="J941" s="3">
        <v>1618.0</v>
      </c>
    </row>
    <row r="942">
      <c r="A942" s="3">
        <v>2332.0</v>
      </c>
      <c r="B942" s="3">
        <v>2317.0</v>
      </c>
      <c r="C942" s="1"/>
      <c r="D942" s="3">
        <v>1.0</v>
      </c>
      <c r="E942" s="1" t="s">
        <v>368</v>
      </c>
      <c r="F942" s="3">
        <v>5.0</v>
      </c>
      <c r="G942" s="3">
        <v>1.0</v>
      </c>
      <c r="H942" s="1"/>
      <c r="I942" s="1"/>
      <c r="J942" s="3">
        <v>1618.0</v>
      </c>
    </row>
    <row r="943">
      <c r="A943" s="3">
        <v>2333.0</v>
      </c>
      <c r="B943" s="3">
        <v>2318.0</v>
      </c>
      <c r="C943" s="1"/>
      <c r="D943" s="3">
        <v>1.0</v>
      </c>
      <c r="E943" s="1" t="s">
        <v>369</v>
      </c>
      <c r="F943" s="3">
        <v>1.0</v>
      </c>
      <c r="G943" s="3">
        <v>1.0</v>
      </c>
      <c r="H943" s="1"/>
      <c r="I943" s="1"/>
      <c r="J943" s="3">
        <v>1618.0</v>
      </c>
    </row>
    <row r="944">
      <c r="A944" s="3">
        <v>2334.0</v>
      </c>
      <c r="B944" s="3">
        <v>2319.0</v>
      </c>
      <c r="C944" s="1"/>
      <c r="D944" s="3">
        <v>1.0</v>
      </c>
      <c r="E944" s="1" t="s">
        <v>369</v>
      </c>
      <c r="F944" s="1" t="s">
        <v>355</v>
      </c>
      <c r="G944" s="3">
        <v>1.0</v>
      </c>
      <c r="H944" s="1"/>
      <c r="I944" s="1"/>
      <c r="J944" s="3">
        <v>1618.0</v>
      </c>
    </row>
    <row r="945">
      <c r="A945" s="3">
        <v>2335.0</v>
      </c>
      <c r="B945" s="3">
        <v>2320.0</v>
      </c>
      <c r="C945" s="1"/>
      <c r="D945" s="3">
        <v>1.0</v>
      </c>
      <c r="E945" s="1" t="s">
        <v>369</v>
      </c>
      <c r="F945" s="3">
        <v>2.0</v>
      </c>
      <c r="G945" s="3">
        <v>1.0</v>
      </c>
      <c r="H945" s="1"/>
      <c r="I945" s="1"/>
      <c r="J945" s="3">
        <v>1618.0</v>
      </c>
    </row>
    <row r="946">
      <c r="A946" s="3">
        <v>2336.0</v>
      </c>
      <c r="B946" s="3">
        <v>2321.0</v>
      </c>
      <c r="C946" s="1"/>
      <c r="D946" s="3">
        <v>1.0</v>
      </c>
      <c r="E946" s="1" t="s">
        <v>369</v>
      </c>
      <c r="F946" s="1" t="s">
        <v>370</v>
      </c>
      <c r="G946" s="3">
        <v>1.0</v>
      </c>
      <c r="H946" s="1"/>
      <c r="I946" s="1"/>
      <c r="J946" s="3">
        <v>1618.0</v>
      </c>
    </row>
    <row r="947">
      <c r="A947" s="3">
        <v>2337.0</v>
      </c>
      <c r="B947" s="3">
        <v>2322.0</v>
      </c>
      <c r="C947" s="1"/>
      <c r="D947" s="3">
        <v>1.0</v>
      </c>
      <c r="E947" s="1" t="s">
        <v>369</v>
      </c>
      <c r="F947" s="3">
        <v>3.0</v>
      </c>
      <c r="G947" s="3">
        <v>1.0</v>
      </c>
      <c r="H947" s="1"/>
      <c r="I947" s="1"/>
      <c r="J947" s="3">
        <v>1618.0</v>
      </c>
    </row>
    <row r="948">
      <c r="A948" s="3">
        <v>2338.0</v>
      </c>
      <c r="B948" s="3">
        <v>2323.0</v>
      </c>
      <c r="C948" s="1"/>
      <c r="D948" s="3">
        <v>1.0</v>
      </c>
      <c r="E948" s="1" t="s">
        <v>369</v>
      </c>
      <c r="F948" s="3">
        <v>4.0</v>
      </c>
      <c r="G948" s="3">
        <v>1.0</v>
      </c>
      <c r="H948" s="1"/>
      <c r="I948" s="1"/>
      <c r="J948" s="3">
        <v>1618.0</v>
      </c>
    </row>
    <row r="949">
      <c r="A949" s="3">
        <v>2339.0</v>
      </c>
      <c r="B949" s="3">
        <v>2324.0</v>
      </c>
      <c r="C949" s="1"/>
      <c r="D949" s="3">
        <v>1.0</v>
      </c>
      <c r="E949" s="1" t="s">
        <v>371</v>
      </c>
      <c r="F949" s="3">
        <v>1.0</v>
      </c>
      <c r="G949" s="3">
        <v>1.0</v>
      </c>
      <c r="H949" s="1"/>
      <c r="I949" s="1"/>
      <c r="J949" s="3">
        <v>1618.0</v>
      </c>
    </row>
    <row r="950">
      <c r="A950" s="3">
        <v>2340.0</v>
      </c>
      <c r="B950" s="3">
        <v>2325.0</v>
      </c>
      <c r="C950" s="1"/>
      <c r="D950" s="3">
        <v>1.0</v>
      </c>
      <c r="E950" s="1" t="s">
        <v>371</v>
      </c>
      <c r="F950" s="3">
        <v>2.0</v>
      </c>
      <c r="G950" s="3">
        <v>1.0</v>
      </c>
      <c r="H950" s="1"/>
      <c r="I950" s="1"/>
      <c r="J950" s="3">
        <v>1618.0</v>
      </c>
    </row>
    <row r="951">
      <c r="A951" s="3">
        <v>2341.0</v>
      </c>
      <c r="B951" s="3">
        <v>2326.0</v>
      </c>
      <c r="C951" s="1"/>
      <c r="D951" s="3">
        <v>1.0</v>
      </c>
      <c r="E951" s="1" t="s">
        <v>371</v>
      </c>
      <c r="F951" s="3">
        <v>3.0</v>
      </c>
      <c r="G951" s="3">
        <v>1.0</v>
      </c>
      <c r="H951" s="1"/>
      <c r="I951" s="1"/>
      <c r="J951" s="3">
        <v>1618.0</v>
      </c>
    </row>
    <row r="952">
      <c r="A952" s="3">
        <v>2342.0</v>
      </c>
      <c r="B952" s="3">
        <v>2327.0</v>
      </c>
      <c r="C952" s="1"/>
      <c r="D952" s="3">
        <v>1.0</v>
      </c>
      <c r="E952" s="1" t="s">
        <v>371</v>
      </c>
      <c r="F952" s="3">
        <v>4.0</v>
      </c>
      <c r="G952" s="3">
        <v>1.0</v>
      </c>
      <c r="H952" s="1"/>
      <c r="I952" s="1"/>
      <c r="J952" s="3">
        <v>1618.0</v>
      </c>
    </row>
    <row r="953">
      <c r="A953" s="3">
        <v>2343.0</v>
      </c>
      <c r="B953" s="3">
        <v>2328.0</v>
      </c>
      <c r="C953" s="1"/>
      <c r="D953" s="3">
        <v>1.0</v>
      </c>
      <c r="E953" s="1" t="s">
        <v>371</v>
      </c>
      <c r="F953" s="3">
        <v>5.0</v>
      </c>
      <c r="G953" s="3">
        <v>1.0</v>
      </c>
      <c r="H953" s="1"/>
      <c r="I953" s="1"/>
      <c r="J953" s="3">
        <v>1618.0</v>
      </c>
    </row>
    <row r="954">
      <c r="A954" s="3">
        <v>2344.0</v>
      </c>
      <c r="B954" s="3">
        <v>2329.0</v>
      </c>
      <c r="C954" s="1"/>
      <c r="D954" s="3">
        <v>1.0</v>
      </c>
      <c r="E954" s="1" t="s">
        <v>372</v>
      </c>
      <c r="F954" s="3">
        <v>1.0</v>
      </c>
      <c r="G954" s="3">
        <v>1.0</v>
      </c>
      <c r="H954" s="1"/>
      <c r="I954" s="1"/>
      <c r="J954" s="3">
        <v>1618.0</v>
      </c>
    </row>
    <row r="955">
      <c r="A955" s="3">
        <v>2345.0</v>
      </c>
      <c r="B955" s="3">
        <v>2330.0</v>
      </c>
      <c r="C955" s="1"/>
      <c r="D955" s="3">
        <v>1.0</v>
      </c>
      <c r="E955" s="1" t="s">
        <v>372</v>
      </c>
      <c r="F955" s="3">
        <v>2.0</v>
      </c>
      <c r="G955" s="3">
        <v>1.0</v>
      </c>
      <c r="H955" s="1"/>
      <c r="I955" s="1"/>
      <c r="J955" s="3">
        <v>1618.0</v>
      </c>
    </row>
    <row r="956">
      <c r="A956" s="3">
        <v>2346.0</v>
      </c>
      <c r="B956" s="3">
        <v>2331.0</v>
      </c>
      <c r="C956" s="1"/>
      <c r="D956" s="3">
        <v>1.0</v>
      </c>
      <c r="E956" s="1" t="s">
        <v>372</v>
      </c>
      <c r="F956" s="3">
        <v>3.0</v>
      </c>
      <c r="G956" s="3">
        <v>1.0</v>
      </c>
      <c r="H956" s="1"/>
      <c r="I956" s="1"/>
      <c r="J956" s="3">
        <v>1618.0</v>
      </c>
    </row>
    <row r="957">
      <c r="A957" s="3">
        <v>2347.0</v>
      </c>
      <c r="B957" s="3">
        <v>2332.0</v>
      </c>
      <c r="C957" s="1"/>
      <c r="D957" s="3">
        <v>1.0</v>
      </c>
      <c r="E957" s="1" t="s">
        <v>373</v>
      </c>
      <c r="F957" s="3">
        <v>1.0</v>
      </c>
      <c r="G957" s="3">
        <v>1.0</v>
      </c>
      <c r="H957" s="1"/>
      <c r="I957" s="1"/>
      <c r="J957" s="3">
        <v>1618.0</v>
      </c>
    </row>
    <row r="958">
      <c r="A958" s="3">
        <v>2348.0</v>
      </c>
      <c r="B958" s="3">
        <v>2333.0</v>
      </c>
      <c r="C958" s="1"/>
      <c r="D958" s="3">
        <v>1.0</v>
      </c>
      <c r="E958" s="1" t="s">
        <v>373</v>
      </c>
      <c r="F958" s="3">
        <v>2.0</v>
      </c>
      <c r="G958" s="3">
        <v>1.0</v>
      </c>
      <c r="H958" s="1"/>
      <c r="I958" s="1"/>
      <c r="J958" s="3">
        <v>1618.0</v>
      </c>
    </row>
    <row r="959">
      <c r="A959" s="3">
        <v>2349.0</v>
      </c>
      <c r="B959" s="3">
        <v>2334.0</v>
      </c>
      <c r="C959" s="1"/>
      <c r="D959" s="3">
        <v>1.0</v>
      </c>
      <c r="E959" s="1" t="s">
        <v>374</v>
      </c>
      <c r="F959" s="3">
        <v>1.0</v>
      </c>
      <c r="G959" s="3">
        <v>1.0</v>
      </c>
      <c r="H959" s="1"/>
      <c r="I959" s="1"/>
      <c r="J959" s="3">
        <v>1618.0</v>
      </c>
    </row>
    <row r="960">
      <c r="A960" s="3">
        <v>2350.0</v>
      </c>
      <c r="B960" s="3">
        <v>2335.0</v>
      </c>
      <c r="C960" s="1"/>
      <c r="D960" s="3">
        <v>1.0</v>
      </c>
      <c r="E960" s="1" t="s">
        <v>374</v>
      </c>
      <c r="F960" s="3">
        <v>2.0</v>
      </c>
      <c r="G960" s="3">
        <v>1.0</v>
      </c>
      <c r="H960" s="1"/>
      <c r="I960" s="1"/>
      <c r="J960" s="3">
        <v>1618.0</v>
      </c>
    </row>
    <row r="961">
      <c r="A961" s="3">
        <v>2351.0</v>
      </c>
      <c r="B961" s="3">
        <v>2336.0</v>
      </c>
      <c r="C961" s="1"/>
      <c r="D961" s="3">
        <v>1.0</v>
      </c>
      <c r="E961" s="1" t="s">
        <v>375</v>
      </c>
      <c r="F961" s="1"/>
      <c r="G961" s="3">
        <v>1.0</v>
      </c>
      <c r="H961" s="1"/>
      <c r="I961" s="1"/>
      <c r="J961" s="3">
        <v>1618.0</v>
      </c>
    </row>
    <row r="962">
      <c r="A962" s="3">
        <v>2352.0</v>
      </c>
      <c r="B962" s="3">
        <v>2337.0</v>
      </c>
      <c r="C962" s="1"/>
      <c r="D962" s="3">
        <v>1.0</v>
      </c>
      <c r="E962" s="1" t="s">
        <v>376</v>
      </c>
      <c r="F962" s="3">
        <v>1.0</v>
      </c>
      <c r="G962" s="3">
        <v>1.0</v>
      </c>
      <c r="H962" s="1"/>
      <c r="I962" s="1"/>
      <c r="J962" s="3">
        <v>1618.0</v>
      </c>
    </row>
    <row r="963">
      <c r="A963" s="3">
        <v>2353.0</v>
      </c>
      <c r="B963" s="3">
        <v>2338.0</v>
      </c>
      <c r="C963" s="1"/>
      <c r="D963" s="3">
        <v>1.0</v>
      </c>
      <c r="E963" s="1" t="s">
        <v>376</v>
      </c>
      <c r="F963" s="3">
        <v>2.0</v>
      </c>
      <c r="G963" s="3">
        <v>1.0</v>
      </c>
      <c r="H963" s="1"/>
      <c r="I963" s="1"/>
      <c r="J963" s="3">
        <v>1618.0</v>
      </c>
    </row>
    <row r="964">
      <c r="A964" s="3">
        <v>2354.0</v>
      </c>
      <c r="B964" s="3">
        <v>2339.0</v>
      </c>
      <c r="C964" s="1"/>
      <c r="D964" s="3">
        <v>1.0</v>
      </c>
      <c r="E964" s="1" t="s">
        <v>376</v>
      </c>
      <c r="F964" s="3">
        <v>3.0</v>
      </c>
      <c r="G964" s="3">
        <v>1.0</v>
      </c>
      <c r="H964" s="1"/>
      <c r="I964" s="1"/>
      <c r="J964" s="3">
        <v>1618.0</v>
      </c>
    </row>
    <row r="965">
      <c r="A965" s="3">
        <v>2355.0</v>
      </c>
      <c r="B965" s="3">
        <v>2340.0</v>
      </c>
      <c r="C965" s="1"/>
      <c r="D965" s="3">
        <v>1.0</v>
      </c>
      <c r="E965" s="1" t="s">
        <v>376</v>
      </c>
      <c r="F965" s="3">
        <v>4.0</v>
      </c>
      <c r="G965" s="3">
        <v>1.0</v>
      </c>
      <c r="H965" s="1"/>
      <c r="I965" s="1"/>
      <c r="J965" s="3">
        <v>1618.0</v>
      </c>
    </row>
    <row r="966">
      <c r="A966" s="3">
        <v>2356.0</v>
      </c>
      <c r="B966" s="3">
        <v>2341.0</v>
      </c>
      <c r="C966" s="1"/>
      <c r="D966" s="3">
        <v>1.0</v>
      </c>
      <c r="E966" s="1" t="s">
        <v>376</v>
      </c>
      <c r="F966" s="3">
        <v>5.0</v>
      </c>
      <c r="G966" s="3">
        <v>1.0</v>
      </c>
      <c r="H966" s="1"/>
      <c r="I966" s="1"/>
      <c r="J966" s="3">
        <v>1618.0</v>
      </c>
    </row>
    <row r="967">
      <c r="A967" s="3">
        <v>2357.0</v>
      </c>
      <c r="B967" s="3">
        <v>2342.0</v>
      </c>
      <c r="C967" s="1"/>
      <c r="D967" s="3">
        <v>1.0</v>
      </c>
      <c r="E967" s="1" t="s">
        <v>376</v>
      </c>
      <c r="F967" s="3">
        <v>6.0</v>
      </c>
      <c r="G967" s="3">
        <v>1.0</v>
      </c>
      <c r="H967" s="1"/>
      <c r="I967" s="1"/>
      <c r="J967" s="3">
        <v>1618.0</v>
      </c>
    </row>
    <row r="968">
      <c r="A968" s="3">
        <v>2358.0</v>
      </c>
      <c r="B968" s="3">
        <v>2343.0</v>
      </c>
      <c r="C968" s="1"/>
      <c r="D968" s="3">
        <v>1.0</v>
      </c>
      <c r="E968" s="2" t="s">
        <v>377</v>
      </c>
      <c r="F968" s="1"/>
      <c r="G968" s="3">
        <v>1.0</v>
      </c>
      <c r="H968" s="1"/>
      <c r="I968" s="1"/>
      <c r="J968" s="3">
        <v>1618.0</v>
      </c>
    </row>
    <row r="969">
      <c r="A969" s="3">
        <v>2359.0</v>
      </c>
      <c r="B969" s="3">
        <v>2344.0</v>
      </c>
      <c r="C969" s="1"/>
      <c r="D969" s="3">
        <v>1.0</v>
      </c>
      <c r="E969" s="1" t="s">
        <v>378</v>
      </c>
      <c r="F969" s="3">
        <v>1.0</v>
      </c>
      <c r="G969" s="3">
        <v>1.0</v>
      </c>
      <c r="H969" s="1"/>
      <c r="I969" s="1"/>
      <c r="J969" s="3">
        <v>1618.0</v>
      </c>
    </row>
    <row r="970">
      <c r="A970" s="3">
        <v>2360.0</v>
      </c>
      <c r="B970" s="3">
        <v>2345.0</v>
      </c>
      <c r="C970" s="1"/>
      <c r="D970" s="3">
        <v>1.0</v>
      </c>
      <c r="E970" s="1" t="s">
        <v>378</v>
      </c>
      <c r="F970" s="3">
        <v>2.0</v>
      </c>
      <c r="G970" s="3">
        <v>1.0</v>
      </c>
      <c r="H970" s="1"/>
      <c r="I970" s="1"/>
      <c r="J970" s="3">
        <v>1618.0</v>
      </c>
    </row>
    <row r="971">
      <c r="A971" s="3">
        <v>2361.0</v>
      </c>
      <c r="B971" s="3">
        <v>2346.0</v>
      </c>
      <c r="C971" s="1"/>
      <c r="D971" s="3">
        <v>1.0</v>
      </c>
      <c r="E971" s="1" t="s">
        <v>378</v>
      </c>
      <c r="F971" s="3">
        <v>3.0</v>
      </c>
      <c r="G971" s="3">
        <v>1.0</v>
      </c>
      <c r="H971" s="1"/>
      <c r="I971" s="1"/>
      <c r="J971" s="3">
        <v>1618.0</v>
      </c>
    </row>
    <row r="972">
      <c r="A972" s="3">
        <v>2362.0</v>
      </c>
      <c r="B972" s="3">
        <v>2347.0</v>
      </c>
      <c r="C972" s="1"/>
      <c r="D972" s="3">
        <v>1.0</v>
      </c>
      <c r="E972" s="1" t="s">
        <v>378</v>
      </c>
      <c r="F972" s="3">
        <v>4.0</v>
      </c>
      <c r="G972" s="3">
        <v>1.0</v>
      </c>
      <c r="H972" s="1"/>
      <c r="I972" s="1"/>
      <c r="J972" s="3">
        <v>1618.0</v>
      </c>
    </row>
    <row r="973">
      <c r="A973" s="3">
        <v>2363.0</v>
      </c>
      <c r="B973" s="3">
        <v>2348.0</v>
      </c>
      <c r="C973" s="1"/>
      <c r="D973" s="3">
        <v>1.0</v>
      </c>
      <c r="E973" s="1" t="s">
        <v>378</v>
      </c>
      <c r="F973" s="3">
        <v>5.0</v>
      </c>
      <c r="G973" s="3">
        <v>1.0</v>
      </c>
      <c r="H973" s="1"/>
      <c r="I973" s="1"/>
      <c r="J973" s="3">
        <v>1618.0</v>
      </c>
    </row>
    <row r="974">
      <c r="A974" s="3">
        <v>2364.0</v>
      </c>
      <c r="B974" s="3">
        <v>2349.0</v>
      </c>
      <c r="C974" s="1"/>
      <c r="D974" s="3">
        <v>1.0</v>
      </c>
      <c r="E974" s="1" t="s">
        <v>378</v>
      </c>
      <c r="F974" s="3">
        <v>6.0</v>
      </c>
      <c r="G974" s="3">
        <v>1.0</v>
      </c>
      <c r="H974" s="1"/>
      <c r="I974" s="1"/>
      <c r="J974" s="3">
        <v>1618.0</v>
      </c>
    </row>
    <row r="975">
      <c r="A975" s="3">
        <v>2365.0</v>
      </c>
      <c r="B975" s="3">
        <v>2350.0</v>
      </c>
      <c r="C975" s="1"/>
      <c r="D975" s="3">
        <v>1.0</v>
      </c>
      <c r="E975" s="1" t="s">
        <v>379</v>
      </c>
      <c r="F975" s="3">
        <v>1.0</v>
      </c>
      <c r="G975" s="3">
        <v>1.0</v>
      </c>
      <c r="H975" s="1"/>
      <c r="I975" s="1"/>
      <c r="J975" s="3">
        <v>1618.0</v>
      </c>
    </row>
    <row r="976">
      <c r="A976" s="3">
        <v>2366.0</v>
      </c>
      <c r="B976" s="3">
        <v>2351.0</v>
      </c>
      <c r="C976" s="1"/>
      <c r="D976" s="3">
        <v>1.0</v>
      </c>
      <c r="E976" s="1" t="s">
        <v>380</v>
      </c>
      <c r="F976" s="3">
        <v>11.0</v>
      </c>
      <c r="G976" s="3">
        <v>1.0</v>
      </c>
      <c r="H976" s="1"/>
      <c r="I976" s="1"/>
      <c r="J976" s="3">
        <v>1618.0</v>
      </c>
    </row>
    <row r="977">
      <c r="A977" s="3">
        <v>2367.0</v>
      </c>
      <c r="B977" s="3">
        <v>2352.0</v>
      </c>
      <c r="C977" s="1"/>
      <c r="D977" s="3">
        <v>1.0</v>
      </c>
      <c r="E977" s="1" t="s">
        <v>380</v>
      </c>
      <c r="F977" s="3">
        <v>12.0</v>
      </c>
      <c r="G977" s="3">
        <v>1.0</v>
      </c>
      <c r="H977" s="1"/>
      <c r="I977" s="1"/>
      <c r="J977" s="3">
        <v>1618.0</v>
      </c>
    </row>
    <row r="978">
      <c r="A978" s="3">
        <v>2368.0</v>
      </c>
      <c r="B978" s="3">
        <v>2353.0</v>
      </c>
      <c r="C978" s="1"/>
      <c r="D978" s="3">
        <v>1.0</v>
      </c>
      <c r="E978" s="1" t="s">
        <v>380</v>
      </c>
      <c r="F978" s="3">
        <v>18.0</v>
      </c>
      <c r="G978" s="3">
        <v>1.0</v>
      </c>
      <c r="H978" s="1"/>
      <c r="I978" s="1"/>
      <c r="J978" s="3">
        <v>1618.0</v>
      </c>
    </row>
    <row r="979">
      <c r="A979" s="3">
        <v>2442.0</v>
      </c>
      <c r="B979" s="3">
        <v>2427.0</v>
      </c>
      <c r="C979" s="1"/>
      <c r="D979" s="3">
        <v>1.0</v>
      </c>
      <c r="E979" s="1" t="s">
        <v>381</v>
      </c>
      <c r="F979" s="3">
        <v>10.0</v>
      </c>
      <c r="G979" s="3">
        <v>1.0</v>
      </c>
      <c r="H979" s="1"/>
      <c r="I979" s="1"/>
      <c r="J979" s="3">
        <v>1618.0</v>
      </c>
    </row>
    <row r="980">
      <c r="A980" s="3">
        <v>2431.0</v>
      </c>
      <c r="B980" s="3">
        <v>2416.0</v>
      </c>
      <c r="C980" s="1"/>
      <c r="D980" s="3">
        <v>1.0</v>
      </c>
      <c r="E980" s="1" t="s">
        <v>362</v>
      </c>
      <c r="F980" s="3">
        <v>7.0</v>
      </c>
      <c r="G980" s="3">
        <v>1.0</v>
      </c>
      <c r="H980" s="1"/>
      <c r="I980" s="1"/>
      <c r="J980" s="3">
        <v>1618.0</v>
      </c>
    </row>
    <row r="981">
      <c r="A981" s="3">
        <v>2432.0</v>
      </c>
      <c r="B981" s="3">
        <v>2417.0</v>
      </c>
      <c r="C981" s="1"/>
      <c r="D981" s="3">
        <v>1.0</v>
      </c>
      <c r="E981" s="1" t="s">
        <v>362</v>
      </c>
      <c r="F981" s="3">
        <v>8.0</v>
      </c>
      <c r="G981" s="3">
        <v>1.0</v>
      </c>
      <c r="H981" s="1"/>
      <c r="I981" s="1"/>
      <c r="J981" s="3">
        <v>1618.0</v>
      </c>
    </row>
    <row r="982">
      <c r="A982" s="3">
        <v>2433.0</v>
      </c>
      <c r="B982" s="3">
        <v>2418.0</v>
      </c>
      <c r="C982" s="1"/>
      <c r="D982" s="3">
        <v>1.0</v>
      </c>
      <c r="E982" s="1" t="s">
        <v>362</v>
      </c>
      <c r="F982" s="3">
        <v>9.0</v>
      </c>
      <c r="G982" s="3">
        <v>1.0</v>
      </c>
      <c r="H982" s="1"/>
      <c r="I982" s="1"/>
      <c r="J982" s="3">
        <v>1618.0</v>
      </c>
    </row>
    <row r="983">
      <c r="A983" s="3">
        <v>2434.0</v>
      </c>
      <c r="B983" s="3">
        <v>2419.0</v>
      </c>
      <c r="C983" s="1"/>
      <c r="D983" s="3">
        <v>1.0</v>
      </c>
      <c r="E983" s="1" t="s">
        <v>362</v>
      </c>
      <c r="F983" s="3">
        <v>10.0</v>
      </c>
      <c r="G983" s="3">
        <v>1.0</v>
      </c>
      <c r="H983" s="1"/>
      <c r="I983" s="1"/>
      <c r="J983" s="3">
        <v>1618.0</v>
      </c>
    </row>
    <row r="984">
      <c r="A984" s="3">
        <v>2435.0</v>
      </c>
      <c r="B984" s="3">
        <v>2420.0</v>
      </c>
      <c r="C984" s="1"/>
      <c r="D984" s="3">
        <v>1.0</v>
      </c>
      <c r="E984" s="1" t="s">
        <v>381</v>
      </c>
      <c r="F984" s="3">
        <v>1.0</v>
      </c>
      <c r="G984" s="3">
        <v>1.0</v>
      </c>
      <c r="H984" s="1"/>
      <c r="I984" s="1"/>
      <c r="J984" s="3">
        <v>1618.0</v>
      </c>
    </row>
    <row r="985">
      <c r="A985" s="3">
        <v>2436.0</v>
      </c>
      <c r="B985" s="3">
        <v>2421.0</v>
      </c>
      <c r="C985" s="1"/>
      <c r="D985" s="3">
        <v>1.0</v>
      </c>
      <c r="E985" s="1" t="s">
        <v>381</v>
      </c>
      <c r="F985" s="3">
        <v>2.0</v>
      </c>
      <c r="G985" s="3">
        <v>1.0</v>
      </c>
      <c r="H985" s="1"/>
      <c r="I985" s="1"/>
      <c r="J985" s="3">
        <v>1618.0</v>
      </c>
    </row>
    <row r="986">
      <c r="A986" s="3">
        <v>2437.0</v>
      </c>
      <c r="B986" s="3">
        <v>2422.0</v>
      </c>
      <c r="C986" s="1"/>
      <c r="D986" s="3">
        <v>1.0</v>
      </c>
      <c r="E986" s="1" t="s">
        <v>381</v>
      </c>
      <c r="F986" s="3">
        <v>3.0</v>
      </c>
      <c r="G986" s="3">
        <v>1.0</v>
      </c>
      <c r="H986" s="1"/>
      <c r="I986" s="1"/>
      <c r="J986" s="3">
        <v>1618.0</v>
      </c>
    </row>
    <row r="987">
      <c r="A987" s="3">
        <v>2438.0</v>
      </c>
      <c r="B987" s="3">
        <v>2423.0</v>
      </c>
      <c r="C987" s="1"/>
      <c r="D987" s="3">
        <v>1.0</v>
      </c>
      <c r="E987" s="1" t="s">
        <v>381</v>
      </c>
      <c r="F987" s="3">
        <v>4.0</v>
      </c>
      <c r="G987" s="3">
        <v>1.0</v>
      </c>
      <c r="H987" s="1"/>
      <c r="I987" s="1"/>
      <c r="J987" s="3">
        <v>1618.0</v>
      </c>
    </row>
    <row r="988">
      <c r="A988" s="3">
        <v>2439.0</v>
      </c>
      <c r="B988" s="3">
        <v>2424.0</v>
      </c>
      <c r="C988" s="1"/>
      <c r="D988" s="3">
        <v>1.0</v>
      </c>
      <c r="E988" s="1" t="s">
        <v>381</v>
      </c>
      <c r="F988" s="3">
        <v>5.0</v>
      </c>
      <c r="G988" s="3">
        <v>1.0</v>
      </c>
      <c r="H988" s="1"/>
      <c r="I988" s="1"/>
      <c r="J988" s="3">
        <v>1618.0</v>
      </c>
    </row>
    <row r="989">
      <c r="A989" s="3">
        <v>2440.0</v>
      </c>
      <c r="B989" s="3">
        <v>2425.0</v>
      </c>
      <c r="C989" s="1"/>
      <c r="D989" s="3">
        <v>1.0</v>
      </c>
      <c r="E989" s="1" t="s">
        <v>381</v>
      </c>
      <c r="F989" s="3">
        <v>8.0</v>
      </c>
      <c r="G989" s="3">
        <v>1.0</v>
      </c>
      <c r="H989" s="1"/>
      <c r="I989" s="1"/>
      <c r="J989" s="3">
        <v>1618.0</v>
      </c>
    </row>
    <row r="990">
      <c r="A990" s="3">
        <v>2441.0</v>
      </c>
      <c r="B990" s="3">
        <v>2426.0</v>
      </c>
      <c r="C990" s="1"/>
      <c r="D990" s="3">
        <v>1.0</v>
      </c>
      <c r="E990" s="1" t="s">
        <v>382</v>
      </c>
      <c r="F990" s="3">
        <v>9.0</v>
      </c>
      <c r="G990" s="3">
        <v>0.0</v>
      </c>
      <c r="H990" s="1"/>
      <c r="I990" s="1"/>
      <c r="J990" s="3">
        <v>1618.0</v>
      </c>
    </row>
    <row r="991">
      <c r="A991" s="3">
        <v>2443.0</v>
      </c>
      <c r="B991" s="3">
        <v>2428.0</v>
      </c>
      <c r="C991" s="1"/>
      <c r="D991" s="3">
        <v>1.0</v>
      </c>
      <c r="E991" s="1" t="s">
        <v>381</v>
      </c>
      <c r="F991" s="3">
        <v>11.0</v>
      </c>
      <c r="G991" s="3">
        <v>1.0</v>
      </c>
      <c r="H991" s="1"/>
      <c r="I991" s="1"/>
      <c r="J991" s="3">
        <v>1618.0</v>
      </c>
    </row>
    <row r="992">
      <c r="A992" s="3">
        <v>2444.0</v>
      </c>
      <c r="B992" s="3">
        <v>2429.0</v>
      </c>
      <c r="C992" s="1"/>
      <c r="D992" s="3">
        <v>1.0</v>
      </c>
      <c r="E992" s="1" t="s">
        <v>381</v>
      </c>
      <c r="F992" s="3">
        <v>12.0</v>
      </c>
      <c r="G992" s="3">
        <v>1.0</v>
      </c>
      <c r="H992" s="1"/>
      <c r="I992" s="1"/>
      <c r="J992" s="3">
        <v>1618.0</v>
      </c>
    </row>
    <row r="993">
      <c r="A993" s="3">
        <v>2445.0</v>
      </c>
      <c r="B993" s="3">
        <v>2430.0</v>
      </c>
      <c r="C993" s="1"/>
      <c r="D993" s="3">
        <v>1.0</v>
      </c>
      <c r="E993" s="1" t="s">
        <v>381</v>
      </c>
      <c r="F993" s="3">
        <v>13.0</v>
      </c>
      <c r="G993" s="3">
        <v>1.0</v>
      </c>
      <c r="H993" s="1"/>
      <c r="I993" s="1"/>
      <c r="J993" s="3">
        <v>1618.0</v>
      </c>
    </row>
    <row r="994">
      <c r="A994" s="3">
        <v>2446.0</v>
      </c>
      <c r="B994" s="3">
        <v>2431.0</v>
      </c>
      <c r="C994" s="1"/>
      <c r="D994" s="3">
        <v>1.0</v>
      </c>
      <c r="E994" s="1" t="s">
        <v>381</v>
      </c>
      <c r="F994" s="3">
        <v>14.0</v>
      </c>
      <c r="G994" s="3">
        <v>1.0</v>
      </c>
      <c r="H994" s="1"/>
      <c r="I994" s="1"/>
      <c r="J994" s="3">
        <v>1618.0</v>
      </c>
    </row>
    <row r="995">
      <c r="A995" s="3">
        <v>2447.0</v>
      </c>
      <c r="B995" s="3">
        <v>2432.0</v>
      </c>
      <c r="C995" s="1"/>
      <c r="D995" s="3">
        <v>1.0</v>
      </c>
      <c r="E995" s="1" t="s">
        <v>383</v>
      </c>
      <c r="F995" s="3">
        <v>1.0</v>
      </c>
      <c r="G995" s="3">
        <v>1.0</v>
      </c>
      <c r="H995" s="1"/>
      <c r="I995" s="1"/>
      <c r="J995" s="3">
        <v>1618.0</v>
      </c>
    </row>
    <row r="996">
      <c r="A996" s="3">
        <v>2448.0</v>
      </c>
      <c r="B996" s="3">
        <v>2433.0</v>
      </c>
      <c r="C996" s="1"/>
      <c r="D996" s="3">
        <v>1.0</v>
      </c>
      <c r="E996" s="1" t="s">
        <v>384</v>
      </c>
      <c r="F996" s="3">
        <v>1.0</v>
      </c>
      <c r="G996" s="3">
        <v>1.0</v>
      </c>
      <c r="H996" s="1"/>
      <c r="I996" s="1"/>
      <c r="J996" s="3">
        <v>1618.0</v>
      </c>
    </row>
    <row r="997">
      <c r="A997" s="3">
        <v>2449.0</v>
      </c>
      <c r="B997" s="3">
        <v>2434.0</v>
      </c>
      <c r="C997" s="1"/>
      <c r="D997" s="3">
        <v>1.0</v>
      </c>
      <c r="E997" s="1" t="s">
        <v>385</v>
      </c>
      <c r="F997" s="3">
        <v>1.0</v>
      </c>
      <c r="G997" s="3">
        <v>1.0</v>
      </c>
      <c r="H997" s="1"/>
      <c r="I997" s="1"/>
      <c r="J997" s="3">
        <v>1618.0</v>
      </c>
    </row>
    <row r="998">
      <c r="A998" s="3">
        <v>2450.0</v>
      </c>
      <c r="B998" s="3">
        <v>2435.0</v>
      </c>
      <c r="C998" s="1"/>
      <c r="D998" s="3">
        <v>1.0</v>
      </c>
      <c r="E998" s="1" t="s">
        <v>385</v>
      </c>
      <c r="F998" s="3">
        <v>2.0</v>
      </c>
      <c r="G998" s="3">
        <v>1.0</v>
      </c>
      <c r="H998" s="1"/>
      <c r="I998" s="1"/>
      <c r="J998" s="3">
        <v>1618.0</v>
      </c>
    </row>
    <row r="999">
      <c r="A999" s="3">
        <v>2451.0</v>
      </c>
      <c r="B999" s="3">
        <v>2436.0</v>
      </c>
      <c r="C999" s="1"/>
      <c r="D999" s="3">
        <v>1.0</v>
      </c>
      <c r="E999" s="1" t="s">
        <v>386</v>
      </c>
      <c r="F999" s="3">
        <v>1.0</v>
      </c>
      <c r="G999" s="3">
        <v>1.0</v>
      </c>
      <c r="H999" s="1"/>
      <c r="I999" s="1"/>
      <c r="J999" s="3">
        <v>1618.0</v>
      </c>
    </row>
    <row r="1000">
      <c r="A1000" s="3">
        <v>2452.0</v>
      </c>
      <c r="B1000" s="3">
        <v>2437.0</v>
      </c>
      <c r="C1000" s="1"/>
      <c r="D1000" s="3">
        <v>1.0</v>
      </c>
      <c r="E1000" s="1" t="s">
        <v>387</v>
      </c>
      <c r="F1000" s="1" t="s">
        <v>388</v>
      </c>
      <c r="G1000" s="3">
        <v>1.0</v>
      </c>
      <c r="H1000" s="1"/>
      <c r="I1000" s="1"/>
      <c r="J1000" s="3">
        <v>1618.0</v>
      </c>
    </row>
    <row r="1001">
      <c r="A1001" s="3">
        <v>2453.0</v>
      </c>
      <c r="B1001" s="3">
        <v>2438.0</v>
      </c>
      <c r="C1001" s="1"/>
      <c r="D1001" s="3">
        <v>1.0</v>
      </c>
      <c r="E1001" s="1" t="s">
        <v>387</v>
      </c>
      <c r="F1001" s="1" t="s">
        <v>355</v>
      </c>
      <c r="G1001" s="3">
        <v>1.0</v>
      </c>
      <c r="H1001" s="1"/>
      <c r="I1001" s="1"/>
      <c r="J1001" s="3">
        <v>1618.0</v>
      </c>
    </row>
    <row r="1002">
      <c r="A1002" s="3">
        <v>2454.0</v>
      </c>
      <c r="B1002" s="3">
        <v>2439.0</v>
      </c>
      <c r="C1002" s="1"/>
      <c r="D1002" s="3">
        <v>1.0</v>
      </c>
      <c r="E1002" s="1" t="s">
        <v>387</v>
      </c>
      <c r="F1002" s="1" t="s">
        <v>389</v>
      </c>
      <c r="G1002" s="3">
        <v>1.0</v>
      </c>
      <c r="H1002" s="1"/>
      <c r="I1002" s="1"/>
      <c r="J1002" s="3">
        <v>1618.0</v>
      </c>
    </row>
    <row r="1003">
      <c r="A1003" s="3">
        <v>2455.0</v>
      </c>
      <c r="B1003" s="3">
        <v>2440.0</v>
      </c>
      <c r="C1003" s="1"/>
      <c r="D1003" s="3">
        <v>1.0</v>
      </c>
      <c r="E1003" s="1" t="s">
        <v>387</v>
      </c>
      <c r="F1003" s="3">
        <v>2.0</v>
      </c>
      <c r="G1003" s="3">
        <v>1.0</v>
      </c>
      <c r="H1003" s="1"/>
      <c r="I1003" s="1"/>
      <c r="J1003" s="3">
        <v>1618.0</v>
      </c>
    </row>
    <row r="1004">
      <c r="A1004" s="3">
        <v>2456.0</v>
      </c>
      <c r="B1004" s="3">
        <v>2441.0</v>
      </c>
      <c r="C1004" s="1"/>
      <c r="D1004" s="3">
        <v>1.0</v>
      </c>
      <c r="E1004" s="1" t="s">
        <v>387</v>
      </c>
      <c r="F1004" s="3">
        <v>3.0</v>
      </c>
      <c r="G1004" s="3">
        <v>1.0</v>
      </c>
      <c r="H1004" s="1"/>
      <c r="I1004" s="1"/>
      <c r="J1004" s="3">
        <v>1618.0</v>
      </c>
    </row>
    <row r="1005">
      <c r="A1005" s="3">
        <v>2457.0</v>
      </c>
      <c r="B1005" s="3">
        <v>2442.0</v>
      </c>
      <c r="C1005" s="1"/>
      <c r="D1005" s="3">
        <v>1.0</v>
      </c>
      <c r="E1005" s="1" t="s">
        <v>387</v>
      </c>
      <c r="F1005" s="3">
        <v>4.0</v>
      </c>
      <c r="G1005" s="3">
        <v>1.0</v>
      </c>
      <c r="H1005" s="1"/>
      <c r="I1005" s="1"/>
      <c r="J1005" s="3">
        <v>1618.0</v>
      </c>
    </row>
    <row r="1006">
      <c r="A1006" s="3">
        <v>2458.0</v>
      </c>
      <c r="B1006" s="3">
        <v>2443.0</v>
      </c>
      <c r="C1006" s="1"/>
      <c r="D1006" s="3">
        <v>1.0</v>
      </c>
      <c r="E1006" s="1" t="s">
        <v>387</v>
      </c>
      <c r="F1006" s="3">
        <v>5.0</v>
      </c>
      <c r="G1006" s="3">
        <v>1.0</v>
      </c>
      <c r="H1006" s="1"/>
      <c r="I1006" s="1"/>
      <c r="J1006" s="3">
        <v>1618.0</v>
      </c>
    </row>
    <row r="1007">
      <c r="A1007" s="3">
        <v>2459.0</v>
      </c>
      <c r="B1007" s="3">
        <v>2444.0</v>
      </c>
      <c r="C1007" s="1"/>
      <c r="D1007" s="3">
        <v>1.0</v>
      </c>
      <c r="E1007" s="1" t="s">
        <v>387</v>
      </c>
      <c r="F1007" s="3">
        <v>6.0</v>
      </c>
      <c r="G1007" s="3">
        <v>1.0</v>
      </c>
      <c r="H1007" s="1"/>
      <c r="I1007" s="1"/>
      <c r="J1007" s="3">
        <v>1618.0</v>
      </c>
    </row>
    <row r="1008">
      <c r="A1008" s="3">
        <v>2460.0</v>
      </c>
      <c r="B1008" s="3">
        <v>2445.0</v>
      </c>
      <c r="C1008" s="1"/>
      <c r="D1008" s="3">
        <v>1.0</v>
      </c>
      <c r="E1008" s="1" t="s">
        <v>387</v>
      </c>
      <c r="F1008" s="3">
        <v>7.0</v>
      </c>
      <c r="G1008" s="3">
        <v>1.0</v>
      </c>
      <c r="H1008" s="1"/>
      <c r="I1008" s="1"/>
      <c r="J1008" s="3">
        <v>1618.0</v>
      </c>
    </row>
    <row r="1009">
      <c r="A1009" s="3">
        <v>2461.0</v>
      </c>
      <c r="B1009" s="3">
        <v>2446.0</v>
      </c>
      <c r="C1009" s="1"/>
      <c r="D1009" s="3">
        <v>1.0</v>
      </c>
      <c r="E1009" s="1" t="s">
        <v>387</v>
      </c>
      <c r="F1009" s="3">
        <v>8.0</v>
      </c>
      <c r="G1009" s="3">
        <v>1.0</v>
      </c>
      <c r="H1009" s="1"/>
      <c r="I1009" s="1"/>
      <c r="J1009" s="3">
        <v>1618.0</v>
      </c>
    </row>
    <row r="1010">
      <c r="A1010" s="3">
        <v>2462.0</v>
      </c>
      <c r="B1010" s="3">
        <v>2447.0</v>
      </c>
      <c r="C1010" s="1"/>
      <c r="D1010" s="3">
        <v>1.0</v>
      </c>
      <c r="E1010" s="1" t="s">
        <v>390</v>
      </c>
      <c r="F1010" s="3">
        <v>1.0</v>
      </c>
      <c r="G1010" s="3">
        <v>0.0</v>
      </c>
      <c r="H1010" s="1"/>
      <c r="I1010" s="1"/>
      <c r="J1010" s="3">
        <v>1618.0</v>
      </c>
    </row>
    <row r="1011">
      <c r="A1011" s="3">
        <v>2463.0</v>
      </c>
      <c r="B1011" s="3">
        <v>2448.0</v>
      </c>
      <c r="C1011" s="1"/>
      <c r="D1011" s="3">
        <v>1.0</v>
      </c>
      <c r="E1011" s="1" t="s">
        <v>391</v>
      </c>
      <c r="F1011" s="3">
        <v>1.0</v>
      </c>
      <c r="G1011" s="3">
        <v>1.0</v>
      </c>
      <c r="H1011" s="1"/>
      <c r="I1011" s="1"/>
      <c r="J1011" s="3">
        <v>1618.0</v>
      </c>
    </row>
    <row r="1012">
      <c r="A1012" s="3">
        <v>2464.0</v>
      </c>
      <c r="B1012" s="3">
        <v>2449.0</v>
      </c>
      <c r="C1012" s="1"/>
      <c r="D1012" s="3">
        <v>1.0</v>
      </c>
      <c r="E1012" s="1" t="s">
        <v>392</v>
      </c>
      <c r="F1012" s="3">
        <v>1.0</v>
      </c>
      <c r="G1012" s="3">
        <v>1.0</v>
      </c>
      <c r="H1012" s="1"/>
      <c r="I1012" s="1"/>
      <c r="J1012" s="3">
        <v>1618.0</v>
      </c>
    </row>
    <row r="1013">
      <c r="A1013" s="3">
        <v>2465.0</v>
      </c>
      <c r="B1013" s="3">
        <v>2450.0</v>
      </c>
      <c r="C1013" s="1"/>
      <c r="D1013" s="3">
        <v>1.0</v>
      </c>
      <c r="E1013" s="1" t="s">
        <v>393</v>
      </c>
      <c r="F1013" s="1" t="s">
        <v>355</v>
      </c>
      <c r="G1013" s="3">
        <v>1.0</v>
      </c>
      <c r="H1013" s="1"/>
      <c r="I1013" s="1"/>
      <c r="J1013" s="3">
        <v>1618.0</v>
      </c>
    </row>
    <row r="1014">
      <c r="A1014" s="3">
        <v>2466.0</v>
      </c>
      <c r="B1014" s="3">
        <v>2451.0</v>
      </c>
      <c r="C1014" s="1"/>
      <c r="D1014" s="3">
        <v>1.0</v>
      </c>
      <c r="E1014" s="1" t="s">
        <v>393</v>
      </c>
      <c r="F1014" s="3">
        <v>2.0</v>
      </c>
      <c r="G1014" s="3">
        <v>1.0</v>
      </c>
      <c r="H1014" s="1"/>
      <c r="I1014" s="1"/>
      <c r="J1014" s="3">
        <v>1618.0</v>
      </c>
    </row>
    <row r="1015">
      <c r="A1015" s="3">
        <v>2467.0</v>
      </c>
      <c r="B1015" s="3">
        <v>2452.0</v>
      </c>
      <c r="C1015" s="1"/>
      <c r="D1015" s="3">
        <v>1.0</v>
      </c>
      <c r="E1015" s="1" t="s">
        <v>393</v>
      </c>
      <c r="F1015" s="3">
        <v>3.0</v>
      </c>
      <c r="G1015" s="3">
        <v>1.0</v>
      </c>
      <c r="H1015" s="1"/>
      <c r="I1015" s="1"/>
      <c r="J1015" s="3">
        <v>1618.0</v>
      </c>
    </row>
    <row r="1016">
      <c r="A1016" s="3">
        <v>2468.0</v>
      </c>
      <c r="B1016" s="3">
        <v>2453.0</v>
      </c>
      <c r="C1016" s="1"/>
      <c r="D1016" s="3">
        <v>1.0</v>
      </c>
      <c r="E1016" s="1" t="s">
        <v>381</v>
      </c>
      <c r="F1016" s="3">
        <v>6.0</v>
      </c>
      <c r="G1016" s="3">
        <v>1.0</v>
      </c>
      <c r="H1016" s="1"/>
      <c r="I1016" s="1"/>
      <c r="J1016" s="3">
        <v>1618.0</v>
      </c>
    </row>
    <row r="1017">
      <c r="A1017" s="3">
        <v>2469.0</v>
      </c>
      <c r="B1017" s="3">
        <v>2454.0</v>
      </c>
      <c r="C1017" s="1"/>
      <c r="D1017" s="3">
        <v>1.0</v>
      </c>
      <c r="E1017" s="1" t="s">
        <v>382</v>
      </c>
      <c r="F1017" s="3">
        <v>7.0</v>
      </c>
      <c r="G1017" s="3">
        <v>0.0</v>
      </c>
      <c r="H1017" s="1"/>
      <c r="I1017" s="1"/>
      <c r="J1017" s="3">
        <v>1618.0</v>
      </c>
    </row>
    <row r="1018">
      <c r="A1018" s="3">
        <v>2470.0</v>
      </c>
      <c r="B1018" s="3">
        <v>2455.0</v>
      </c>
      <c r="C1018" s="1"/>
      <c r="D1018" s="3">
        <v>1.0</v>
      </c>
      <c r="E1018" s="2" t="s">
        <v>394</v>
      </c>
      <c r="F1018" s="1"/>
      <c r="G1018" s="3">
        <v>1.0</v>
      </c>
      <c r="H1018" s="1"/>
      <c r="I1018" s="1"/>
      <c r="J1018" s="3">
        <v>1618.0</v>
      </c>
    </row>
    <row r="1019">
      <c r="A1019" s="3">
        <v>2471.0</v>
      </c>
      <c r="B1019" s="3">
        <v>2456.0</v>
      </c>
      <c r="C1019" s="1"/>
      <c r="D1019" s="3">
        <v>1.0</v>
      </c>
      <c r="E1019" s="1" t="s">
        <v>395</v>
      </c>
      <c r="F1019" s="3">
        <v>2.0</v>
      </c>
      <c r="G1019" s="3">
        <v>1.0</v>
      </c>
      <c r="H1019" s="1"/>
      <c r="I1019" s="1"/>
      <c r="J1019" s="3">
        <v>1618.0</v>
      </c>
    </row>
    <row r="1020">
      <c r="A1020" s="3">
        <v>2472.0</v>
      </c>
      <c r="B1020" s="3">
        <v>2457.0</v>
      </c>
      <c r="C1020" s="1"/>
      <c r="D1020" s="3">
        <v>1.0</v>
      </c>
      <c r="E1020" s="1" t="s">
        <v>381</v>
      </c>
      <c r="F1020" s="1" t="s">
        <v>396</v>
      </c>
      <c r="G1020" s="3">
        <v>1.0</v>
      </c>
      <c r="H1020" s="1"/>
      <c r="I1020" s="1"/>
      <c r="J1020" s="3">
        <v>1618.0</v>
      </c>
    </row>
    <row r="1021">
      <c r="A1021" s="3">
        <v>2473.0</v>
      </c>
      <c r="B1021" s="3">
        <v>2458.0</v>
      </c>
      <c r="C1021" s="1"/>
      <c r="D1021" s="3">
        <v>1.0</v>
      </c>
      <c r="E1021" s="1" t="s">
        <v>397</v>
      </c>
      <c r="F1021" s="1"/>
      <c r="G1021" s="3">
        <v>1.0</v>
      </c>
      <c r="H1021" s="1"/>
      <c r="I1021" s="1"/>
      <c r="J1021" s="3">
        <v>1618.0</v>
      </c>
    </row>
    <row r="1022">
      <c r="A1022" s="3">
        <v>2474.0</v>
      </c>
      <c r="B1022" s="3">
        <v>2459.0</v>
      </c>
      <c r="C1022" s="1"/>
      <c r="D1022" s="3">
        <v>1.0</v>
      </c>
      <c r="E1022" s="1" t="s">
        <v>398</v>
      </c>
      <c r="F1022" s="3">
        <v>1.0</v>
      </c>
      <c r="G1022" s="3">
        <v>1.0</v>
      </c>
      <c r="H1022" s="1"/>
      <c r="I1022" s="1"/>
      <c r="J1022" s="3">
        <v>1618.0</v>
      </c>
    </row>
    <row r="1023">
      <c r="A1023" s="3">
        <v>2475.0</v>
      </c>
      <c r="B1023" s="3">
        <v>2460.0</v>
      </c>
      <c r="C1023" s="1"/>
      <c r="D1023" s="3">
        <v>1.0</v>
      </c>
      <c r="E1023" s="1" t="s">
        <v>399</v>
      </c>
      <c r="F1023" s="3">
        <v>1.0</v>
      </c>
      <c r="G1023" s="3">
        <v>1.0</v>
      </c>
      <c r="H1023" s="1"/>
      <c r="I1023" s="1"/>
      <c r="J1023" s="3">
        <v>1618.0</v>
      </c>
    </row>
    <row r="1024">
      <c r="A1024" s="3">
        <v>2476.0</v>
      </c>
      <c r="B1024" s="3">
        <v>2461.0</v>
      </c>
      <c r="C1024" s="1"/>
      <c r="D1024" s="3">
        <v>1.0</v>
      </c>
      <c r="E1024" s="1" t="s">
        <v>400</v>
      </c>
      <c r="F1024" s="3">
        <v>2.0</v>
      </c>
      <c r="G1024" s="3">
        <v>1.0</v>
      </c>
      <c r="H1024" s="1"/>
      <c r="I1024" s="1"/>
      <c r="J1024" s="3">
        <v>1618.0</v>
      </c>
    </row>
    <row r="1025">
      <c r="A1025" s="3">
        <v>2477.0</v>
      </c>
      <c r="B1025" s="3">
        <v>2462.0</v>
      </c>
      <c r="C1025" s="1"/>
      <c r="D1025" s="3">
        <v>1.0</v>
      </c>
      <c r="E1025" s="1" t="s">
        <v>399</v>
      </c>
      <c r="F1025" s="3">
        <v>2.0</v>
      </c>
      <c r="G1025" s="3">
        <v>1.0</v>
      </c>
      <c r="H1025" s="1"/>
      <c r="I1025" s="1"/>
      <c r="J1025" s="3">
        <v>1618.0</v>
      </c>
    </row>
    <row r="1026">
      <c r="A1026" s="3">
        <v>2478.0</v>
      </c>
      <c r="B1026" s="3">
        <v>2463.0</v>
      </c>
      <c r="C1026" s="1"/>
      <c r="D1026" s="3">
        <v>1.0</v>
      </c>
      <c r="E1026" s="1" t="s">
        <v>401</v>
      </c>
      <c r="F1026" s="1"/>
      <c r="G1026" s="3">
        <v>0.0</v>
      </c>
      <c r="H1026" s="1"/>
      <c r="I1026" s="1"/>
      <c r="J1026" s="3">
        <v>1618.0</v>
      </c>
    </row>
    <row r="1027">
      <c r="A1027" s="3">
        <v>2479.0</v>
      </c>
      <c r="B1027" s="3">
        <v>2464.0</v>
      </c>
      <c r="C1027" s="1"/>
      <c r="D1027" s="3">
        <v>1.0</v>
      </c>
      <c r="E1027" s="1" t="s">
        <v>376</v>
      </c>
      <c r="F1027" s="1" t="s">
        <v>355</v>
      </c>
      <c r="G1027" s="3">
        <v>1.0</v>
      </c>
      <c r="H1027" s="1"/>
      <c r="I1027" s="1"/>
      <c r="J1027" s="3">
        <v>1618.0</v>
      </c>
    </row>
    <row r="1028">
      <c r="A1028" s="3">
        <v>2480.0</v>
      </c>
      <c r="B1028" s="3">
        <v>2465.0</v>
      </c>
      <c r="C1028" s="1"/>
      <c r="D1028" s="3">
        <v>1.0</v>
      </c>
      <c r="E1028" s="1" t="s">
        <v>402</v>
      </c>
      <c r="F1028" s="3">
        <v>1.0</v>
      </c>
      <c r="G1028" s="3">
        <v>1.0</v>
      </c>
      <c r="H1028" s="1"/>
      <c r="I1028" s="1"/>
      <c r="J1028" s="3">
        <v>1618.0</v>
      </c>
    </row>
    <row r="1029">
      <c r="A1029" s="3">
        <v>2481.0</v>
      </c>
      <c r="B1029" s="3">
        <v>2466.0</v>
      </c>
      <c r="C1029" s="1"/>
      <c r="D1029" s="3">
        <v>1.0</v>
      </c>
      <c r="E1029" s="1" t="s">
        <v>402</v>
      </c>
      <c r="F1029" s="3">
        <v>2.0</v>
      </c>
      <c r="G1029" s="3">
        <v>1.0</v>
      </c>
      <c r="H1029" s="1"/>
      <c r="I1029" s="1"/>
      <c r="J1029" s="3">
        <v>1618.0</v>
      </c>
    </row>
    <row r="1030">
      <c r="A1030" s="3">
        <v>2482.0</v>
      </c>
      <c r="B1030" s="3">
        <v>2467.0</v>
      </c>
      <c r="C1030" s="1"/>
      <c r="D1030" s="3">
        <v>1.0</v>
      </c>
      <c r="E1030" s="1" t="s">
        <v>402</v>
      </c>
      <c r="F1030" s="3">
        <v>3.0</v>
      </c>
      <c r="G1030" s="3">
        <v>1.0</v>
      </c>
      <c r="H1030" s="1"/>
      <c r="I1030" s="1"/>
      <c r="J1030" s="3">
        <v>1618.0</v>
      </c>
    </row>
    <row r="1031">
      <c r="A1031" s="3">
        <v>2483.0</v>
      </c>
      <c r="B1031" s="3">
        <v>2468.0</v>
      </c>
      <c r="C1031" s="1"/>
      <c r="D1031" s="3">
        <v>1.0</v>
      </c>
      <c r="E1031" s="1" t="s">
        <v>402</v>
      </c>
      <c r="F1031" s="3">
        <v>4.0</v>
      </c>
      <c r="G1031" s="3">
        <v>1.0</v>
      </c>
      <c r="H1031" s="1"/>
      <c r="I1031" s="1"/>
      <c r="J1031" s="3">
        <v>1618.0</v>
      </c>
    </row>
    <row r="1032">
      <c r="A1032" s="3">
        <v>2484.0</v>
      </c>
      <c r="B1032" s="3">
        <v>2469.0</v>
      </c>
      <c r="C1032" s="1"/>
      <c r="D1032" s="3">
        <v>1.0</v>
      </c>
      <c r="E1032" s="1" t="s">
        <v>403</v>
      </c>
      <c r="F1032" s="3">
        <v>2.0</v>
      </c>
      <c r="G1032" s="3">
        <v>1.0</v>
      </c>
      <c r="H1032" s="1"/>
      <c r="I1032" s="1"/>
      <c r="J1032" s="3">
        <v>1618.0</v>
      </c>
    </row>
    <row r="1033">
      <c r="A1033" s="3">
        <v>2485.0</v>
      </c>
      <c r="B1033" s="3">
        <v>2470.0</v>
      </c>
      <c r="C1033" s="1"/>
      <c r="D1033" s="3">
        <v>1.0</v>
      </c>
      <c r="E1033" s="1" t="s">
        <v>391</v>
      </c>
      <c r="F1033" s="3">
        <v>3.0</v>
      </c>
      <c r="G1033" s="3">
        <v>1.0</v>
      </c>
      <c r="H1033" s="1"/>
      <c r="I1033" s="1"/>
      <c r="J1033" s="3">
        <v>1618.0</v>
      </c>
    </row>
    <row r="1034">
      <c r="A1034" s="3">
        <v>2486.0</v>
      </c>
      <c r="B1034" s="3">
        <v>2471.0</v>
      </c>
      <c r="C1034" s="1"/>
      <c r="D1034" s="3">
        <v>1.0</v>
      </c>
      <c r="E1034" s="1" t="s">
        <v>391</v>
      </c>
      <c r="F1034" s="3">
        <v>4.0</v>
      </c>
      <c r="G1034" s="3">
        <v>1.0</v>
      </c>
      <c r="H1034" s="1"/>
      <c r="I1034" s="1"/>
      <c r="J1034" s="3">
        <v>1618.0</v>
      </c>
    </row>
    <row r="1035">
      <c r="A1035" s="3">
        <v>2487.0</v>
      </c>
      <c r="B1035" s="3">
        <v>2472.0</v>
      </c>
      <c r="C1035" s="1"/>
      <c r="D1035" s="3">
        <v>1.0</v>
      </c>
      <c r="E1035" s="1" t="s">
        <v>391</v>
      </c>
      <c r="F1035" s="3">
        <v>5.0</v>
      </c>
      <c r="G1035" s="3">
        <v>1.0</v>
      </c>
      <c r="H1035" s="1"/>
      <c r="I1035" s="1"/>
      <c r="J1035" s="3">
        <v>1618.0</v>
      </c>
    </row>
    <row r="1036">
      <c r="A1036" s="3">
        <v>2488.0</v>
      </c>
      <c r="B1036" s="3">
        <v>2473.0</v>
      </c>
      <c r="C1036" s="1"/>
      <c r="D1036" s="3">
        <v>1.0</v>
      </c>
      <c r="E1036" s="1" t="s">
        <v>391</v>
      </c>
      <c r="F1036" s="3">
        <v>6.0</v>
      </c>
      <c r="G1036" s="3">
        <v>1.0</v>
      </c>
      <c r="H1036" s="1"/>
      <c r="I1036" s="1"/>
      <c r="J1036" s="3">
        <v>1618.0</v>
      </c>
    </row>
    <row r="1037">
      <c r="A1037" s="3">
        <v>2489.0</v>
      </c>
      <c r="B1037" s="3">
        <v>2474.0</v>
      </c>
      <c r="C1037" s="1"/>
      <c r="D1037" s="3">
        <v>1.0</v>
      </c>
      <c r="E1037" s="1" t="s">
        <v>391</v>
      </c>
      <c r="F1037" s="3">
        <v>7.0</v>
      </c>
      <c r="G1037" s="3">
        <v>1.0</v>
      </c>
      <c r="H1037" s="1"/>
      <c r="I1037" s="1"/>
      <c r="J1037" s="3">
        <v>1618.0</v>
      </c>
    </row>
    <row r="1038">
      <c r="A1038" s="3">
        <v>2490.0</v>
      </c>
      <c r="B1038" s="3">
        <v>2475.0</v>
      </c>
      <c r="C1038" s="1"/>
      <c r="D1038" s="3">
        <v>1.0</v>
      </c>
      <c r="E1038" s="1" t="s">
        <v>391</v>
      </c>
      <c r="F1038" s="3">
        <v>8.0</v>
      </c>
      <c r="G1038" s="3">
        <v>1.0</v>
      </c>
      <c r="H1038" s="1"/>
      <c r="I1038" s="1"/>
      <c r="J1038" s="3">
        <v>1618.0</v>
      </c>
    </row>
    <row r="1039">
      <c r="A1039" s="3">
        <v>2491.0</v>
      </c>
      <c r="B1039" s="3">
        <v>2476.0</v>
      </c>
      <c r="C1039" s="1"/>
      <c r="D1039" s="3">
        <v>1.0</v>
      </c>
      <c r="E1039" s="1" t="s">
        <v>391</v>
      </c>
      <c r="F1039" s="3">
        <v>9.0</v>
      </c>
      <c r="G1039" s="3">
        <v>1.0</v>
      </c>
      <c r="H1039" s="1"/>
      <c r="I1039" s="1"/>
      <c r="J1039" s="3">
        <v>1618.0</v>
      </c>
    </row>
    <row r="1040">
      <c r="A1040" s="3">
        <v>2492.0</v>
      </c>
      <c r="B1040" s="3">
        <v>2477.0</v>
      </c>
      <c r="C1040" s="1"/>
      <c r="D1040" s="3">
        <v>1.0</v>
      </c>
      <c r="E1040" s="1" t="s">
        <v>391</v>
      </c>
      <c r="F1040" s="3">
        <v>10.0</v>
      </c>
      <c r="G1040" s="3">
        <v>1.0</v>
      </c>
      <c r="H1040" s="1"/>
      <c r="I1040" s="1"/>
      <c r="J1040" s="3">
        <v>1618.0</v>
      </c>
    </row>
    <row r="1041">
      <c r="A1041" s="3">
        <v>2493.0</v>
      </c>
      <c r="B1041" s="3">
        <v>2478.0</v>
      </c>
      <c r="C1041" s="1"/>
      <c r="D1041" s="3">
        <v>1.0</v>
      </c>
      <c r="E1041" s="1" t="s">
        <v>391</v>
      </c>
      <c r="F1041" s="3">
        <v>11.0</v>
      </c>
      <c r="G1041" s="3">
        <v>1.0</v>
      </c>
      <c r="H1041" s="1"/>
      <c r="I1041" s="1"/>
      <c r="J1041" s="3">
        <v>1618.0</v>
      </c>
    </row>
    <row r="1042">
      <c r="A1042" s="3">
        <v>2494.0</v>
      </c>
      <c r="B1042" s="3">
        <v>2479.0</v>
      </c>
      <c r="C1042" s="1"/>
      <c r="D1042" s="3">
        <v>1.0</v>
      </c>
      <c r="E1042" s="1" t="s">
        <v>391</v>
      </c>
      <c r="F1042" s="3">
        <v>12.0</v>
      </c>
      <c r="G1042" s="3">
        <v>1.0</v>
      </c>
      <c r="H1042" s="1"/>
      <c r="I1042" s="1"/>
      <c r="J1042" s="3">
        <v>1618.0</v>
      </c>
    </row>
    <row r="1043">
      <c r="A1043" s="3">
        <v>2495.0</v>
      </c>
      <c r="B1043" s="3">
        <v>2480.0</v>
      </c>
      <c r="C1043" s="1"/>
      <c r="D1043" s="3">
        <v>1.0</v>
      </c>
      <c r="E1043" s="1" t="s">
        <v>346</v>
      </c>
      <c r="F1043" s="3">
        <v>1.0</v>
      </c>
      <c r="G1043" s="3">
        <v>1.0</v>
      </c>
      <c r="H1043" s="1"/>
      <c r="I1043" s="1"/>
      <c r="J1043" s="3">
        <v>1618.0</v>
      </c>
    </row>
    <row r="1044">
      <c r="A1044" s="3">
        <v>2496.0</v>
      </c>
      <c r="B1044" s="3">
        <v>2481.0</v>
      </c>
      <c r="C1044" s="1"/>
      <c r="D1044" s="3">
        <v>1.0</v>
      </c>
      <c r="E1044" s="1" t="s">
        <v>346</v>
      </c>
      <c r="F1044" s="3">
        <v>2.0</v>
      </c>
      <c r="G1044" s="3">
        <v>1.0</v>
      </c>
      <c r="H1044" s="1"/>
      <c r="I1044" s="1"/>
      <c r="J1044" s="3">
        <v>1618.0</v>
      </c>
    </row>
    <row r="1045">
      <c r="A1045" s="3">
        <v>2497.0</v>
      </c>
      <c r="B1045" s="3">
        <v>2482.0</v>
      </c>
      <c r="C1045" s="1"/>
      <c r="D1045" s="3">
        <v>1.0</v>
      </c>
      <c r="E1045" s="1" t="s">
        <v>346</v>
      </c>
      <c r="F1045" s="3">
        <v>5.0</v>
      </c>
      <c r="G1045" s="3">
        <v>1.0</v>
      </c>
      <c r="H1045" s="1"/>
      <c r="I1045" s="1"/>
      <c r="J1045" s="3">
        <v>1618.0</v>
      </c>
    </row>
    <row r="1046">
      <c r="A1046" s="3">
        <v>2498.0</v>
      </c>
      <c r="B1046" s="3">
        <v>2483.0</v>
      </c>
      <c r="C1046" s="1"/>
      <c r="D1046" s="3">
        <v>1.0</v>
      </c>
      <c r="E1046" s="1" t="s">
        <v>346</v>
      </c>
      <c r="F1046" s="3">
        <v>6.0</v>
      </c>
      <c r="G1046" s="3">
        <v>1.0</v>
      </c>
      <c r="H1046" s="1"/>
      <c r="I1046" s="1"/>
      <c r="J1046" s="3">
        <v>1618.0</v>
      </c>
    </row>
    <row r="1047">
      <c r="A1047" s="3">
        <v>2499.0</v>
      </c>
      <c r="B1047" s="3">
        <v>2484.0</v>
      </c>
      <c r="C1047" s="1"/>
      <c r="D1047" s="3">
        <v>1.0</v>
      </c>
      <c r="E1047" s="1" t="s">
        <v>346</v>
      </c>
      <c r="F1047" s="3">
        <v>10.0</v>
      </c>
      <c r="G1047" s="3">
        <v>1.0</v>
      </c>
      <c r="H1047" s="1"/>
      <c r="I1047" s="1"/>
      <c r="J1047" s="3">
        <v>1618.0</v>
      </c>
    </row>
    <row r="1048">
      <c r="A1048" s="3">
        <v>2500.0</v>
      </c>
      <c r="B1048" s="3">
        <v>2485.0</v>
      </c>
      <c r="C1048" s="1"/>
      <c r="D1048" s="3">
        <v>1.0</v>
      </c>
      <c r="E1048" s="1" t="s">
        <v>346</v>
      </c>
      <c r="F1048" s="3">
        <v>19.0</v>
      </c>
      <c r="G1048" s="3">
        <v>1.0</v>
      </c>
      <c r="H1048" s="1"/>
      <c r="I1048" s="1"/>
      <c r="J1048" s="3">
        <v>1618.0</v>
      </c>
    </row>
    <row r="1049">
      <c r="A1049" s="3">
        <v>2501.0</v>
      </c>
      <c r="B1049" s="3">
        <v>2486.0</v>
      </c>
      <c r="C1049" s="1"/>
      <c r="D1049" s="3">
        <v>1.0</v>
      </c>
      <c r="E1049" s="1" t="s">
        <v>381</v>
      </c>
      <c r="F1049" s="3">
        <v>18.0</v>
      </c>
      <c r="G1049" s="3">
        <v>1.0</v>
      </c>
      <c r="H1049" s="1"/>
      <c r="I1049" s="1"/>
      <c r="J1049" s="3">
        <v>1618.0</v>
      </c>
    </row>
    <row r="1050">
      <c r="A1050" s="3">
        <v>2502.0</v>
      </c>
      <c r="B1050" s="3">
        <v>2487.0</v>
      </c>
      <c r="C1050" s="1"/>
      <c r="D1050" s="3">
        <v>1.0</v>
      </c>
      <c r="E1050" s="1" t="s">
        <v>381</v>
      </c>
      <c r="F1050" s="3">
        <v>17.0</v>
      </c>
      <c r="G1050" s="3">
        <v>1.0</v>
      </c>
      <c r="H1050" s="1"/>
      <c r="I1050" s="1"/>
      <c r="J1050" s="3">
        <v>1618.0</v>
      </c>
    </row>
    <row r="1051">
      <c r="A1051" s="3">
        <v>2503.0</v>
      </c>
      <c r="B1051" s="3">
        <v>2488.0</v>
      </c>
      <c r="C1051" s="1"/>
      <c r="D1051" s="3">
        <v>1.0</v>
      </c>
      <c r="E1051" s="1" t="s">
        <v>381</v>
      </c>
      <c r="F1051" s="3">
        <v>16.0</v>
      </c>
      <c r="G1051" s="3">
        <v>1.0</v>
      </c>
      <c r="H1051" s="1"/>
      <c r="I1051" s="1"/>
      <c r="J1051" s="3">
        <v>1618.0</v>
      </c>
    </row>
    <row r="1052">
      <c r="A1052" s="3">
        <v>2504.0</v>
      </c>
      <c r="B1052" s="3">
        <v>2489.0</v>
      </c>
      <c r="C1052" s="1"/>
      <c r="D1052" s="3">
        <v>1.0</v>
      </c>
      <c r="E1052" s="1" t="s">
        <v>381</v>
      </c>
      <c r="F1052" s="3">
        <v>15.0</v>
      </c>
      <c r="G1052" s="3">
        <v>1.0</v>
      </c>
      <c r="H1052" s="1"/>
      <c r="I1052" s="1"/>
      <c r="J1052" s="3">
        <v>1618.0</v>
      </c>
    </row>
    <row r="1053">
      <c r="A1053" s="3">
        <v>2505.0</v>
      </c>
      <c r="B1053" s="3">
        <v>2490.0</v>
      </c>
      <c r="C1053" s="1"/>
      <c r="D1053" s="3">
        <v>1.0</v>
      </c>
      <c r="E1053" s="1" t="s">
        <v>404</v>
      </c>
      <c r="F1053" s="1" t="s">
        <v>405</v>
      </c>
      <c r="G1053" s="3">
        <v>1.0</v>
      </c>
      <c r="H1053" s="1"/>
      <c r="I1053" s="1"/>
      <c r="J1053" s="3">
        <v>1618.0</v>
      </c>
    </row>
    <row r="1054">
      <c r="A1054" s="3">
        <v>2506.0</v>
      </c>
      <c r="B1054" s="3">
        <v>2491.0</v>
      </c>
      <c r="C1054" s="1"/>
      <c r="D1054" s="3">
        <v>1.0</v>
      </c>
      <c r="E1054" s="1" t="s">
        <v>406</v>
      </c>
      <c r="F1054" s="1" t="s">
        <v>407</v>
      </c>
      <c r="G1054" s="3">
        <v>1.0</v>
      </c>
      <c r="H1054" s="1"/>
      <c r="I1054" s="1"/>
      <c r="J1054" s="3">
        <v>1618.0</v>
      </c>
    </row>
    <row r="1055">
      <c r="A1055" s="3">
        <v>2507.0</v>
      </c>
      <c r="B1055" s="3">
        <v>2492.0</v>
      </c>
      <c r="C1055" s="1"/>
      <c r="D1055" s="3">
        <v>1.0</v>
      </c>
      <c r="E1055" s="1" t="s">
        <v>406</v>
      </c>
      <c r="F1055" s="3">
        <v>15.0</v>
      </c>
      <c r="G1055" s="3">
        <v>1.0</v>
      </c>
      <c r="H1055" s="1"/>
      <c r="I1055" s="1"/>
      <c r="J1055" s="3">
        <v>1618.0</v>
      </c>
    </row>
    <row r="1056">
      <c r="A1056" s="3">
        <v>2508.0</v>
      </c>
      <c r="B1056" s="3">
        <v>2493.0</v>
      </c>
      <c r="C1056" s="1"/>
      <c r="D1056" s="3">
        <v>1.0</v>
      </c>
      <c r="E1056" s="1" t="s">
        <v>408</v>
      </c>
      <c r="F1056" s="3">
        <v>1.0</v>
      </c>
      <c r="G1056" s="3">
        <v>1.0</v>
      </c>
      <c r="H1056" s="1"/>
      <c r="I1056" s="1"/>
      <c r="J1056" s="3">
        <v>1618.0</v>
      </c>
    </row>
    <row r="1057">
      <c r="A1057" s="3">
        <v>2509.0</v>
      </c>
      <c r="B1057" s="3">
        <v>2494.0</v>
      </c>
      <c r="C1057" s="1"/>
      <c r="D1057" s="3">
        <v>1.0</v>
      </c>
      <c r="E1057" s="1" t="s">
        <v>408</v>
      </c>
      <c r="F1057" s="3">
        <v>2.0</v>
      </c>
      <c r="G1057" s="3">
        <v>1.0</v>
      </c>
      <c r="H1057" s="1"/>
      <c r="I1057" s="1"/>
      <c r="J1057" s="3">
        <v>1618.0</v>
      </c>
    </row>
    <row r="1058">
      <c r="A1058" s="3">
        <v>2510.0</v>
      </c>
      <c r="B1058" s="3">
        <v>2495.0</v>
      </c>
      <c r="C1058" s="1"/>
      <c r="D1058" s="3">
        <v>1.0</v>
      </c>
      <c r="E1058" s="1" t="s">
        <v>408</v>
      </c>
      <c r="F1058" s="3">
        <v>3.0</v>
      </c>
      <c r="G1058" s="3">
        <v>1.0</v>
      </c>
      <c r="H1058" s="1"/>
      <c r="I1058" s="1"/>
      <c r="J1058" s="3">
        <v>1618.0</v>
      </c>
    </row>
    <row r="1059">
      <c r="A1059" s="3">
        <v>2511.0</v>
      </c>
      <c r="B1059" s="3">
        <v>2496.0</v>
      </c>
      <c r="C1059" s="1"/>
      <c r="D1059" s="3">
        <v>1.0</v>
      </c>
      <c r="E1059" s="1" t="s">
        <v>409</v>
      </c>
      <c r="F1059" s="3">
        <v>1.0</v>
      </c>
      <c r="G1059" s="3">
        <v>1.0</v>
      </c>
      <c r="H1059" s="1"/>
      <c r="I1059" s="1"/>
      <c r="J1059" s="3">
        <v>1618.0</v>
      </c>
    </row>
    <row r="1060">
      <c r="A1060" s="3">
        <v>2512.0</v>
      </c>
      <c r="B1060" s="3">
        <v>2497.0</v>
      </c>
      <c r="C1060" s="1"/>
      <c r="D1060" s="3">
        <v>1.0</v>
      </c>
      <c r="E1060" s="1" t="s">
        <v>410</v>
      </c>
      <c r="F1060" s="3">
        <v>2.0</v>
      </c>
      <c r="G1060" s="3">
        <v>1.0</v>
      </c>
      <c r="H1060" s="1"/>
      <c r="I1060" s="1"/>
      <c r="J1060" s="3">
        <v>1618.0</v>
      </c>
    </row>
    <row r="1061">
      <c r="A1061" s="3">
        <v>2513.0</v>
      </c>
      <c r="B1061" s="3">
        <v>2498.0</v>
      </c>
      <c r="C1061" s="1"/>
      <c r="D1061" s="3">
        <v>1.0</v>
      </c>
      <c r="E1061" s="1" t="s">
        <v>411</v>
      </c>
      <c r="F1061" s="3">
        <v>1.0</v>
      </c>
      <c r="G1061" s="3">
        <v>1.0</v>
      </c>
      <c r="H1061" s="1"/>
      <c r="I1061" s="1"/>
      <c r="J1061" s="3">
        <v>1618.0</v>
      </c>
    </row>
    <row r="1062">
      <c r="A1062" s="3">
        <v>2514.0</v>
      </c>
      <c r="B1062" s="3">
        <v>2499.0</v>
      </c>
      <c r="C1062" s="1"/>
      <c r="D1062" s="3">
        <v>1.0</v>
      </c>
      <c r="E1062" s="1" t="s">
        <v>412</v>
      </c>
      <c r="F1062" s="3">
        <v>1.0</v>
      </c>
      <c r="G1062" s="3">
        <v>1.0</v>
      </c>
      <c r="H1062" s="1"/>
      <c r="I1062" s="1"/>
      <c r="J1062" s="3">
        <v>1618.0</v>
      </c>
    </row>
    <row r="1063">
      <c r="A1063" s="3">
        <v>2515.0</v>
      </c>
      <c r="B1063" s="3">
        <v>2500.0</v>
      </c>
      <c r="C1063" s="1"/>
      <c r="D1063" s="3">
        <v>1.0</v>
      </c>
      <c r="E1063" s="1" t="s">
        <v>413</v>
      </c>
      <c r="F1063" s="3">
        <v>1.0</v>
      </c>
      <c r="G1063" s="3">
        <v>1.0</v>
      </c>
      <c r="H1063" s="1"/>
      <c r="I1063" s="1"/>
      <c r="J1063" s="3">
        <v>1618.0</v>
      </c>
    </row>
    <row r="1064">
      <c r="A1064" s="3">
        <v>2516.0</v>
      </c>
      <c r="B1064" s="3">
        <v>2501.0</v>
      </c>
      <c r="C1064" s="1"/>
      <c r="D1064" s="3">
        <v>1.0</v>
      </c>
      <c r="E1064" s="1" t="s">
        <v>413</v>
      </c>
      <c r="F1064" s="3">
        <v>2.0</v>
      </c>
      <c r="G1064" s="3">
        <v>1.0</v>
      </c>
      <c r="H1064" s="1"/>
      <c r="I1064" s="1"/>
      <c r="J1064" s="3">
        <v>1618.0</v>
      </c>
    </row>
    <row r="1065">
      <c r="A1065" s="3">
        <v>2517.0</v>
      </c>
      <c r="B1065" s="3">
        <v>2502.0</v>
      </c>
      <c r="C1065" s="1"/>
      <c r="D1065" s="3">
        <v>1.0</v>
      </c>
      <c r="E1065" s="1" t="s">
        <v>414</v>
      </c>
      <c r="F1065" s="3">
        <v>1.0</v>
      </c>
      <c r="G1065" s="3">
        <v>1.0</v>
      </c>
      <c r="H1065" s="1"/>
      <c r="I1065" s="1"/>
      <c r="J1065" s="3">
        <v>1618.0</v>
      </c>
    </row>
    <row r="1066">
      <c r="A1066" s="3">
        <v>2518.0</v>
      </c>
      <c r="B1066" s="3">
        <v>2503.0</v>
      </c>
      <c r="C1066" s="1"/>
      <c r="D1066" s="3">
        <v>1.0</v>
      </c>
      <c r="E1066" s="1" t="s">
        <v>414</v>
      </c>
      <c r="F1066" s="3">
        <v>2.0</v>
      </c>
      <c r="G1066" s="3">
        <v>1.0</v>
      </c>
      <c r="H1066" s="1"/>
      <c r="I1066" s="1"/>
      <c r="J1066" s="3">
        <v>1618.0</v>
      </c>
    </row>
    <row r="1067">
      <c r="A1067" s="3">
        <v>2519.0</v>
      </c>
      <c r="B1067" s="3">
        <v>2504.0</v>
      </c>
      <c r="C1067" s="1"/>
      <c r="D1067" s="3">
        <v>1.0</v>
      </c>
      <c r="E1067" s="1" t="s">
        <v>414</v>
      </c>
      <c r="F1067" s="3">
        <v>3.0</v>
      </c>
      <c r="G1067" s="3">
        <v>1.0</v>
      </c>
      <c r="H1067" s="1"/>
      <c r="I1067" s="1"/>
      <c r="J1067" s="3">
        <v>1618.0</v>
      </c>
    </row>
    <row r="1068">
      <c r="A1068" s="3">
        <v>2520.0</v>
      </c>
      <c r="B1068" s="3">
        <v>2505.0</v>
      </c>
      <c r="C1068" s="1"/>
      <c r="D1068" s="3">
        <v>1.0</v>
      </c>
      <c r="E1068" s="1" t="s">
        <v>415</v>
      </c>
      <c r="F1068" s="3">
        <v>1.0</v>
      </c>
      <c r="G1068" s="3">
        <v>1.0</v>
      </c>
      <c r="H1068" s="1"/>
      <c r="I1068" s="1"/>
      <c r="J1068" s="3">
        <v>1618.0</v>
      </c>
    </row>
    <row r="1069">
      <c r="A1069" s="3">
        <v>2521.0</v>
      </c>
      <c r="B1069" s="3">
        <v>2506.0</v>
      </c>
      <c r="C1069" s="1"/>
      <c r="D1069" s="3">
        <v>1.0</v>
      </c>
      <c r="E1069" s="1" t="s">
        <v>415</v>
      </c>
      <c r="F1069" s="3">
        <v>2.0</v>
      </c>
      <c r="G1069" s="3">
        <v>1.0</v>
      </c>
      <c r="H1069" s="1"/>
      <c r="I1069" s="1"/>
      <c r="J1069" s="3">
        <v>1618.0</v>
      </c>
    </row>
    <row r="1070">
      <c r="A1070" s="3">
        <v>2522.0</v>
      </c>
      <c r="B1070" s="3">
        <v>2507.0</v>
      </c>
      <c r="C1070" s="1"/>
      <c r="D1070" s="3">
        <v>1.0</v>
      </c>
      <c r="E1070" s="1" t="s">
        <v>416</v>
      </c>
      <c r="F1070" s="1"/>
      <c r="G1070" s="3">
        <v>1.0</v>
      </c>
      <c r="H1070" s="1"/>
      <c r="I1070" s="1"/>
      <c r="J1070" s="3">
        <v>1618.0</v>
      </c>
    </row>
    <row r="1071">
      <c r="A1071" s="3">
        <v>2523.0</v>
      </c>
      <c r="B1071" s="3">
        <v>2508.0</v>
      </c>
      <c r="C1071" s="1"/>
      <c r="D1071" s="3">
        <v>1.0</v>
      </c>
      <c r="E1071" s="1" t="s">
        <v>417</v>
      </c>
      <c r="F1071" s="3">
        <v>1.0</v>
      </c>
      <c r="G1071" s="3">
        <v>1.0</v>
      </c>
      <c r="H1071" s="1"/>
      <c r="I1071" s="1"/>
      <c r="J1071" s="3">
        <v>1618.0</v>
      </c>
    </row>
    <row r="1072">
      <c r="A1072" s="3">
        <v>2524.0</v>
      </c>
      <c r="B1072" s="3">
        <v>2509.0</v>
      </c>
      <c r="C1072" s="1"/>
      <c r="D1072" s="3">
        <v>1.0</v>
      </c>
      <c r="E1072" s="1" t="s">
        <v>417</v>
      </c>
      <c r="F1072" s="3">
        <v>2.0</v>
      </c>
      <c r="G1072" s="3">
        <v>1.0</v>
      </c>
      <c r="H1072" s="1"/>
      <c r="I1072" s="1"/>
      <c r="J1072" s="3">
        <v>1618.0</v>
      </c>
    </row>
    <row r="1073">
      <c r="A1073" s="3">
        <v>2525.0</v>
      </c>
      <c r="B1073" s="3">
        <v>2510.0</v>
      </c>
      <c r="C1073" s="1"/>
      <c r="D1073" s="3">
        <v>1.0</v>
      </c>
      <c r="E1073" s="1" t="s">
        <v>417</v>
      </c>
      <c r="F1073" s="3">
        <v>3.0</v>
      </c>
      <c r="G1073" s="3">
        <v>1.0</v>
      </c>
      <c r="H1073" s="1"/>
      <c r="I1073" s="1"/>
      <c r="J1073" s="3">
        <v>1618.0</v>
      </c>
    </row>
    <row r="1074">
      <c r="A1074" s="3">
        <v>2526.0</v>
      </c>
      <c r="B1074" s="3">
        <v>2511.0</v>
      </c>
      <c r="C1074" s="1"/>
      <c r="D1074" s="3">
        <v>1.0</v>
      </c>
      <c r="E1074" s="1" t="s">
        <v>417</v>
      </c>
      <c r="F1074" s="3">
        <v>4.0</v>
      </c>
      <c r="G1074" s="3">
        <v>1.0</v>
      </c>
      <c r="H1074" s="1"/>
      <c r="I1074" s="1"/>
      <c r="J1074" s="3">
        <v>1618.0</v>
      </c>
    </row>
    <row r="1075">
      <c r="A1075" s="3">
        <v>2527.0</v>
      </c>
      <c r="B1075" s="3">
        <v>2512.0</v>
      </c>
      <c r="C1075" s="1"/>
      <c r="D1075" s="3">
        <v>1.0</v>
      </c>
      <c r="E1075" s="1" t="s">
        <v>417</v>
      </c>
      <c r="F1075" s="3">
        <v>5.0</v>
      </c>
      <c r="G1075" s="3">
        <v>1.0</v>
      </c>
      <c r="H1075" s="1"/>
      <c r="I1075" s="1"/>
      <c r="J1075" s="3">
        <v>1618.0</v>
      </c>
    </row>
    <row r="1076">
      <c r="A1076" s="3">
        <v>2528.0</v>
      </c>
      <c r="B1076" s="3">
        <v>2513.0</v>
      </c>
      <c r="C1076" s="1"/>
      <c r="D1076" s="3">
        <v>1.0</v>
      </c>
      <c r="E1076" s="1" t="s">
        <v>418</v>
      </c>
      <c r="F1076" s="3">
        <v>1.0</v>
      </c>
      <c r="G1076" s="3">
        <v>1.0</v>
      </c>
      <c r="H1076" s="1"/>
      <c r="I1076" s="1"/>
      <c r="J1076" s="3">
        <v>1618.0</v>
      </c>
    </row>
    <row r="1077">
      <c r="A1077" s="3">
        <v>2529.0</v>
      </c>
      <c r="B1077" s="3">
        <v>2514.0</v>
      </c>
      <c r="C1077" s="1"/>
      <c r="D1077" s="3">
        <v>1.0</v>
      </c>
      <c r="E1077" s="1" t="s">
        <v>418</v>
      </c>
      <c r="F1077" s="3">
        <v>2.0</v>
      </c>
      <c r="G1077" s="3">
        <v>1.0</v>
      </c>
      <c r="H1077" s="1"/>
      <c r="I1077" s="1"/>
      <c r="J1077" s="3">
        <v>1618.0</v>
      </c>
    </row>
    <row r="1078">
      <c r="A1078" s="3">
        <v>2530.0</v>
      </c>
      <c r="B1078" s="3">
        <v>2515.0</v>
      </c>
      <c r="C1078" s="1"/>
      <c r="D1078" s="3">
        <v>1.0</v>
      </c>
      <c r="E1078" s="1" t="s">
        <v>418</v>
      </c>
      <c r="F1078" s="3">
        <v>3.0</v>
      </c>
      <c r="G1078" s="3">
        <v>1.0</v>
      </c>
      <c r="H1078" s="1"/>
      <c r="I1078" s="1"/>
      <c r="J1078" s="3">
        <v>1618.0</v>
      </c>
    </row>
    <row r="1079">
      <c r="A1079" s="3">
        <v>2531.0</v>
      </c>
      <c r="B1079" s="3">
        <v>2516.0</v>
      </c>
      <c r="C1079" s="1"/>
      <c r="D1079" s="3">
        <v>1.0</v>
      </c>
      <c r="E1079" s="1" t="s">
        <v>418</v>
      </c>
      <c r="F1079" s="3">
        <v>4.0</v>
      </c>
      <c r="G1079" s="3">
        <v>1.0</v>
      </c>
      <c r="H1079" s="1"/>
      <c r="I1079" s="1"/>
      <c r="J1079" s="3">
        <v>1618.0</v>
      </c>
    </row>
    <row r="1080">
      <c r="A1080" s="3">
        <v>2532.0</v>
      </c>
      <c r="B1080" s="3">
        <v>2517.0</v>
      </c>
      <c r="C1080" s="1"/>
      <c r="D1080" s="3">
        <v>1.0</v>
      </c>
      <c r="E1080" s="1" t="s">
        <v>418</v>
      </c>
      <c r="F1080" s="3">
        <v>5.0</v>
      </c>
      <c r="G1080" s="3">
        <v>1.0</v>
      </c>
      <c r="H1080" s="1"/>
      <c r="I1080" s="1"/>
      <c r="J1080" s="3">
        <v>1618.0</v>
      </c>
    </row>
    <row r="1081">
      <c r="A1081" s="3">
        <v>2533.0</v>
      </c>
      <c r="B1081" s="3">
        <v>2518.0</v>
      </c>
      <c r="C1081" s="1"/>
      <c r="D1081" s="3">
        <v>1.0</v>
      </c>
      <c r="E1081" s="1" t="s">
        <v>418</v>
      </c>
      <c r="F1081" s="3">
        <v>6.0</v>
      </c>
      <c r="G1081" s="3">
        <v>1.0</v>
      </c>
      <c r="H1081" s="1"/>
      <c r="I1081" s="1"/>
      <c r="J1081" s="3">
        <v>1618.0</v>
      </c>
    </row>
    <row r="1082">
      <c r="A1082" s="3">
        <v>2534.0</v>
      </c>
      <c r="B1082" s="3">
        <v>2519.0</v>
      </c>
      <c r="C1082" s="1"/>
      <c r="D1082" s="3">
        <v>1.0</v>
      </c>
      <c r="E1082" s="1" t="s">
        <v>418</v>
      </c>
      <c r="F1082" s="3">
        <v>7.0</v>
      </c>
      <c r="G1082" s="3">
        <v>1.0</v>
      </c>
      <c r="H1082" s="1"/>
      <c r="I1082" s="1"/>
      <c r="J1082" s="3">
        <v>1618.0</v>
      </c>
    </row>
    <row r="1083">
      <c r="A1083" s="3">
        <v>2535.0</v>
      </c>
      <c r="B1083" s="3">
        <v>2520.0</v>
      </c>
      <c r="C1083" s="1"/>
      <c r="D1083" s="3">
        <v>1.0</v>
      </c>
      <c r="E1083" s="1" t="s">
        <v>418</v>
      </c>
      <c r="F1083" s="3">
        <v>8.0</v>
      </c>
      <c r="G1083" s="3">
        <v>1.0</v>
      </c>
      <c r="H1083" s="1"/>
      <c r="I1083" s="1"/>
      <c r="J1083" s="3">
        <v>1618.0</v>
      </c>
    </row>
    <row r="1084">
      <c r="A1084" s="3">
        <v>2536.0</v>
      </c>
      <c r="B1084" s="3">
        <v>2521.0</v>
      </c>
      <c r="C1084" s="1"/>
      <c r="D1084" s="3">
        <v>1.0</v>
      </c>
      <c r="E1084" s="1" t="s">
        <v>418</v>
      </c>
      <c r="F1084" s="3">
        <v>9.0</v>
      </c>
      <c r="G1084" s="3">
        <v>1.0</v>
      </c>
      <c r="H1084" s="1"/>
      <c r="I1084" s="1"/>
      <c r="J1084" s="3">
        <v>1618.0</v>
      </c>
    </row>
    <row r="1085">
      <c r="A1085" s="3">
        <v>2537.0</v>
      </c>
      <c r="B1085" s="3">
        <v>2522.0</v>
      </c>
      <c r="C1085" s="1"/>
      <c r="D1085" s="3">
        <v>1.0</v>
      </c>
      <c r="E1085" s="1" t="s">
        <v>418</v>
      </c>
      <c r="F1085" s="3">
        <v>10.0</v>
      </c>
      <c r="G1085" s="3">
        <v>1.0</v>
      </c>
      <c r="H1085" s="1"/>
      <c r="I1085" s="1"/>
      <c r="J1085" s="3">
        <v>1618.0</v>
      </c>
    </row>
    <row r="1086">
      <c r="A1086" s="3">
        <v>2538.0</v>
      </c>
      <c r="B1086" s="3">
        <v>2523.0</v>
      </c>
      <c r="C1086" s="1"/>
      <c r="D1086" s="3">
        <v>1.0</v>
      </c>
      <c r="E1086" s="1" t="s">
        <v>418</v>
      </c>
      <c r="F1086" s="3">
        <v>11.0</v>
      </c>
      <c r="G1086" s="3">
        <v>1.0</v>
      </c>
      <c r="H1086" s="1"/>
      <c r="I1086" s="1"/>
      <c r="J1086" s="3">
        <v>1618.0</v>
      </c>
    </row>
    <row r="1087">
      <c r="A1087" s="3">
        <v>2539.0</v>
      </c>
      <c r="B1087" s="3">
        <v>2524.0</v>
      </c>
      <c r="C1087" s="1"/>
      <c r="D1087" s="3">
        <v>1.0</v>
      </c>
      <c r="E1087" s="1" t="s">
        <v>418</v>
      </c>
      <c r="F1087" s="3">
        <v>12.0</v>
      </c>
      <c r="G1087" s="3">
        <v>1.0</v>
      </c>
      <c r="H1087" s="1"/>
      <c r="I1087" s="1"/>
      <c r="J1087" s="3">
        <v>1618.0</v>
      </c>
    </row>
    <row r="1088">
      <c r="A1088" s="3">
        <v>2540.0</v>
      </c>
      <c r="B1088" s="3">
        <v>2525.0</v>
      </c>
      <c r="C1088" s="1"/>
      <c r="D1088" s="3">
        <v>1.0</v>
      </c>
      <c r="E1088" s="1" t="s">
        <v>418</v>
      </c>
      <c r="F1088" s="3">
        <v>13.0</v>
      </c>
      <c r="G1088" s="3">
        <v>1.0</v>
      </c>
      <c r="H1088" s="1"/>
      <c r="I1088" s="1"/>
      <c r="J1088" s="3">
        <v>1618.0</v>
      </c>
    </row>
    <row r="1089">
      <c r="A1089" s="3">
        <v>2541.0</v>
      </c>
      <c r="B1089" s="3">
        <v>2526.0</v>
      </c>
      <c r="C1089" s="1"/>
      <c r="D1089" s="3">
        <v>1.0</v>
      </c>
      <c r="E1089" s="1" t="s">
        <v>418</v>
      </c>
      <c r="F1089" s="3">
        <v>14.0</v>
      </c>
      <c r="G1089" s="3">
        <v>1.0</v>
      </c>
      <c r="H1089" s="1"/>
      <c r="I1089" s="1"/>
      <c r="J1089" s="3">
        <v>1618.0</v>
      </c>
    </row>
    <row r="1090">
      <c r="A1090" s="3">
        <v>2542.0</v>
      </c>
      <c r="B1090" s="3">
        <v>2527.0</v>
      </c>
      <c r="C1090" s="1"/>
      <c r="D1090" s="3">
        <v>1.0</v>
      </c>
      <c r="E1090" s="1" t="s">
        <v>418</v>
      </c>
      <c r="F1090" s="3">
        <v>15.0</v>
      </c>
      <c r="G1090" s="3">
        <v>1.0</v>
      </c>
      <c r="H1090" s="1"/>
      <c r="I1090" s="1"/>
      <c r="J1090" s="3">
        <v>1618.0</v>
      </c>
    </row>
    <row r="1091">
      <c r="A1091" s="3">
        <v>2543.0</v>
      </c>
      <c r="B1091" s="3">
        <v>2528.0</v>
      </c>
      <c r="C1091" s="1"/>
      <c r="D1091" s="3">
        <v>1.0</v>
      </c>
      <c r="E1091" s="1" t="s">
        <v>419</v>
      </c>
      <c r="F1091" s="3">
        <v>2.0</v>
      </c>
      <c r="G1091" s="3">
        <v>1.0</v>
      </c>
      <c r="H1091" s="1"/>
      <c r="I1091" s="1"/>
      <c r="J1091" s="3">
        <v>1618.0</v>
      </c>
    </row>
    <row r="1092">
      <c r="A1092" s="3">
        <v>2544.0</v>
      </c>
      <c r="B1092" s="3">
        <v>2529.0</v>
      </c>
      <c r="C1092" s="1"/>
      <c r="D1092" s="3">
        <v>1.0</v>
      </c>
      <c r="E1092" s="1" t="s">
        <v>419</v>
      </c>
      <c r="F1092" s="3">
        <v>4.0</v>
      </c>
      <c r="G1092" s="3">
        <v>1.0</v>
      </c>
      <c r="H1092" s="1"/>
      <c r="I1092" s="1"/>
      <c r="J1092" s="3">
        <v>1618.0</v>
      </c>
    </row>
    <row r="1093">
      <c r="A1093" s="3">
        <v>2545.0</v>
      </c>
      <c r="B1093" s="3">
        <v>2530.0</v>
      </c>
      <c r="C1093" s="1"/>
      <c r="D1093" s="3">
        <v>1.0</v>
      </c>
      <c r="E1093" s="1" t="s">
        <v>420</v>
      </c>
      <c r="F1093" s="3">
        <v>1.0</v>
      </c>
      <c r="G1093" s="3">
        <v>1.0</v>
      </c>
      <c r="H1093" s="1"/>
      <c r="I1093" s="1"/>
      <c r="J1093" s="3">
        <v>1618.0</v>
      </c>
    </row>
    <row r="1094">
      <c r="A1094" s="3">
        <v>2546.0</v>
      </c>
      <c r="B1094" s="3">
        <v>2531.0</v>
      </c>
      <c r="C1094" s="1"/>
      <c r="D1094" s="3">
        <v>1.0</v>
      </c>
      <c r="E1094" s="1" t="s">
        <v>421</v>
      </c>
      <c r="F1094" s="3">
        <v>1.0</v>
      </c>
      <c r="G1094" s="3">
        <v>1.0</v>
      </c>
      <c r="H1094" s="1"/>
      <c r="I1094" s="1"/>
      <c r="J1094" s="3">
        <v>1618.0</v>
      </c>
    </row>
    <row r="1095">
      <c r="A1095" s="3">
        <v>2547.0</v>
      </c>
      <c r="B1095" s="3">
        <v>2532.0</v>
      </c>
      <c r="C1095" s="1"/>
      <c r="D1095" s="3">
        <v>1.0</v>
      </c>
      <c r="E1095" s="1" t="s">
        <v>421</v>
      </c>
      <c r="F1095" s="3">
        <v>2.0</v>
      </c>
      <c r="G1095" s="3">
        <v>0.0</v>
      </c>
      <c r="H1095" s="1"/>
      <c r="I1095" s="1"/>
      <c r="J1095" s="3">
        <v>1618.0</v>
      </c>
    </row>
    <row r="1096">
      <c r="A1096" s="3">
        <v>2548.0</v>
      </c>
      <c r="B1096" s="3">
        <v>2533.0</v>
      </c>
      <c r="C1096" s="1"/>
      <c r="D1096" s="3">
        <v>1.0</v>
      </c>
      <c r="E1096" s="1" t="s">
        <v>422</v>
      </c>
      <c r="F1096" s="3">
        <v>1.0</v>
      </c>
      <c r="G1096" s="3">
        <v>0.0</v>
      </c>
      <c r="H1096" s="1"/>
      <c r="I1096" s="1"/>
      <c r="J1096" s="3">
        <v>1618.0</v>
      </c>
    </row>
    <row r="1097">
      <c r="A1097" s="3">
        <v>2549.0</v>
      </c>
      <c r="B1097" s="3">
        <v>2534.0</v>
      </c>
      <c r="C1097" s="1"/>
      <c r="D1097" s="3">
        <v>1.0</v>
      </c>
      <c r="E1097" s="1" t="s">
        <v>423</v>
      </c>
      <c r="F1097" s="3">
        <v>1.0</v>
      </c>
      <c r="G1097" s="3">
        <v>1.0</v>
      </c>
      <c r="H1097" s="1"/>
      <c r="I1097" s="1"/>
      <c r="J1097" s="3">
        <v>1618.0</v>
      </c>
    </row>
    <row r="1098">
      <c r="A1098" s="3">
        <v>2550.0</v>
      </c>
      <c r="B1098" s="3">
        <v>2535.0</v>
      </c>
      <c r="C1098" s="1"/>
      <c r="D1098" s="3">
        <v>1.0</v>
      </c>
      <c r="E1098" s="1" t="s">
        <v>419</v>
      </c>
      <c r="F1098" s="3">
        <v>3.0</v>
      </c>
      <c r="G1098" s="3">
        <v>1.0</v>
      </c>
      <c r="H1098" s="1"/>
      <c r="I1098" s="1"/>
      <c r="J1098" s="3">
        <v>1618.0</v>
      </c>
    </row>
    <row r="1099">
      <c r="A1099" s="3">
        <v>2551.0</v>
      </c>
      <c r="B1099" s="3">
        <v>2536.0</v>
      </c>
      <c r="C1099" s="1"/>
      <c r="D1099" s="3">
        <v>1.0</v>
      </c>
      <c r="E1099" s="1" t="s">
        <v>419</v>
      </c>
      <c r="F1099" s="1" t="s">
        <v>355</v>
      </c>
      <c r="G1099" s="3">
        <v>1.0</v>
      </c>
      <c r="H1099" s="1"/>
      <c r="I1099" s="1"/>
      <c r="J1099" s="3">
        <v>1618.0</v>
      </c>
    </row>
    <row r="1100">
      <c r="A1100" s="3">
        <v>2552.0</v>
      </c>
      <c r="B1100" s="3">
        <v>2537.0</v>
      </c>
      <c r="C1100" s="1"/>
      <c r="D1100" s="3">
        <v>1.0</v>
      </c>
      <c r="E1100" s="1" t="s">
        <v>424</v>
      </c>
      <c r="F1100" s="3">
        <v>1.0</v>
      </c>
      <c r="G1100" s="3">
        <v>1.0</v>
      </c>
      <c r="H1100" s="1"/>
      <c r="I1100" s="1"/>
      <c r="J1100" s="3">
        <v>1618.0</v>
      </c>
    </row>
    <row r="1101">
      <c r="A1101" s="3">
        <v>2553.0</v>
      </c>
      <c r="B1101" s="3">
        <v>2538.0</v>
      </c>
      <c r="C1101" s="1"/>
      <c r="D1101" s="3">
        <v>1.0</v>
      </c>
      <c r="E1101" s="1" t="s">
        <v>425</v>
      </c>
      <c r="F1101" s="3">
        <v>1.0</v>
      </c>
      <c r="G1101" s="3">
        <v>1.0</v>
      </c>
      <c r="H1101" s="1"/>
      <c r="I1101" s="1"/>
      <c r="J1101" s="3">
        <v>1618.0</v>
      </c>
    </row>
    <row r="1102">
      <c r="A1102" s="3">
        <v>2554.0</v>
      </c>
      <c r="B1102" s="3">
        <v>2539.0</v>
      </c>
      <c r="C1102" s="1"/>
      <c r="D1102" s="3">
        <v>1.0</v>
      </c>
      <c r="E1102" s="1" t="s">
        <v>425</v>
      </c>
      <c r="F1102" s="3">
        <v>2.0</v>
      </c>
      <c r="G1102" s="3">
        <v>1.0</v>
      </c>
      <c r="H1102" s="1"/>
      <c r="I1102" s="1"/>
      <c r="J1102" s="3">
        <v>1618.0</v>
      </c>
    </row>
    <row r="1103">
      <c r="A1103" s="3">
        <v>2555.0</v>
      </c>
      <c r="B1103" s="3">
        <v>2540.0</v>
      </c>
      <c r="C1103" s="1"/>
      <c r="D1103" s="3">
        <v>1.0</v>
      </c>
      <c r="E1103" s="1" t="s">
        <v>425</v>
      </c>
      <c r="F1103" s="1" t="s">
        <v>370</v>
      </c>
      <c r="G1103" s="3">
        <v>1.0</v>
      </c>
      <c r="H1103" s="1"/>
      <c r="I1103" s="1"/>
      <c r="J1103" s="3">
        <v>1618.0</v>
      </c>
    </row>
    <row r="1104">
      <c r="A1104" s="3">
        <v>2556.0</v>
      </c>
      <c r="B1104" s="3">
        <v>2541.0</v>
      </c>
      <c r="C1104" s="1"/>
      <c r="D1104" s="3">
        <v>1.0</v>
      </c>
      <c r="E1104" s="1" t="s">
        <v>425</v>
      </c>
      <c r="F1104" s="3">
        <v>3.0</v>
      </c>
      <c r="G1104" s="3">
        <v>1.0</v>
      </c>
      <c r="H1104" s="1"/>
      <c r="I1104" s="1"/>
      <c r="J1104" s="3">
        <v>1618.0</v>
      </c>
    </row>
    <row r="1105">
      <c r="A1105" s="3">
        <v>2557.0</v>
      </c>
      <c r="B1105" s="3">
        <v>2542.0</v>
      </c>
      <c r="C1105" s="1"/>
      <c r="D1105" s="3">
        <v>1.0</v>
      </c>
      <c r="E1105" s="1" t="s">
        <v>426</v>
      </c>
      <c r="F1105" s="3">
        <v>1.0</v>
      </c>
      <c r="G1105" s="3">
        <v>1.0</v>
      </c>
      <c r="H1105" s="1"/>
      <c r="I1105" s="1"/>
      <c r="J1105" s="3">
        <v>1618.0</v>
      </c>
    </row>
    <row r="1106">
      <c r="A1106" s="3">
        <v>2558.0</v>
      </c>
      <c r="B1106" s="3">
        <v>2543.0</v>
      </c>
      <c r="C1106" s="1"/>
      <c r="D1106" s="3">
        <v>1.0</v>
      </c>
      <c r="E1106" s="1" t="s">
        <v>426</v>
      </c>
      <c r="F1106" s="3">
        <v>2.0</v>
      </c>
      <c r="G1106" s="3">
        <v>1.0</v>
      </c>
      <c r="H1106" s="1"/>
      <c r="I1106" s="1"/>
      <c r="J1106" s="3">
        <v>1618.0</v>
      </c>
    </row>
    <row r="1107">
      <c r="A1107" s="3">
        <v>2559.0</v>
      </c>
      <c r="B1107" s="3">
        <v>2544.0</v>
      </c>
      <c r="C1107" s="1"/>
      <c r="D1107" s="3">
        <v>1.0</v>
      </c>
      <c r="E1107" s="1" t="s">
        <v>426</v>
      </c>
      <c r="F1107" s="3">
        <v>3.0</v>
      </c>
      <c r="G1107" s="3">
        <v>1.0</v>
      </c>
      <c r="H1107" s="1"/>
      <c r="I1107" s="1"/>
      <c r="J1107" s="3">
        <v>1618.0</v>
      </c>
    </row>
    <row r="1108">
      <c r="A1108" s="3">
        <v>2560.0</v>
      </c>
      <c r="B1108" s="3">
        <v>2545.0</v>
      </c>
      <c r="C1108" s="1"/>
      <c r="D1108" s="3">
        <v>1.0</v>
      </c>
      <c r="E1108" s="1" t="s">
        <v>426</v>
      </c>
      <c r="F1108" s="3">
        <v>4.0</v>
      </c>
      <c r="G1108" s="3">
        <v>1.0</v>
      </c>
      <c r="H1108" s="1"/>
      <c r="I1108" s="1"/>
      <c r="J1108" s="3">
        <v>1618.0</v>
      </c>
    </row>
    <row r="1109">
      <c r="A1109" s="3">
        <v>2561.0</v>
      </c>
      <c r="B1109" s="3">
        <v>2546.0</v>
      </c>
      <c r="C1109" s="1"/>
      <c r="D1109" s="3">
        <v>1.0</v>
      </c>
      <c r="E1109" s="1" t="s">
        <v>426</v>
      </c>
      <c r="F1109" s="3">
        <v>5.0</v>
      </c>
      <c r="G1109" s="3">
        <v>1.0</v>
      </c>
      <c r="H1109" s="1"/>
      <c r="I1109" s="1"/>
      <c r="J1109" s="3">
        <v>1618.0</v>
      </c>
    </row>
    <row r="1110">
      <c r="A1110" s="3">
        <v>2562.0</v>
      </c>
      <c r="B1110" s="3">
        <v>2547.0</v>
      </c>
      <c r="C1110" s="1"/>
      <c r="D1110" s="3">
        <v>1.0</v>
      </c>
      <c r="E1110" s="1" t="s">
        <v>426</v>
      </c>
      <c r="F1110" s="1" t="s">
        <v>361</v>
      </c>
      <c r="G1110" s="3">
        <v>1.0</v>
      </c>
      <c r="H1110" s="1"/>
      <c r="I1110" s="1"/>
      <c r="J1110" s="3">
        <v>1618.0</v>
      </c>
    </row>
    <row r="1111">
      <c r="A1111" s="3">
        <v>2563.0</v>
      </c>
      <c r="B1111" s="3">
        <v>2548.0</v>
      </c>
      <c r="C1111" s="1"/>
      <c r="D1111" s="3">
        <v>1.0</v>
      </c>
      <c r="E1111" s="1" t="s">
        <v>426</v>
      </c>
      <c r="F1111" s="3">
        <v>6.0</v>
      </c>
      <c r="G1111" s="3">
        <v>1.0</v>
      </c>
      <c r="H1111" s="1"/>
      <c r="I1111" s="1"/>
      <c r="J1111" s="3">
        <v>1618.0</v>
      </c>
    </row>
    <row r="1112">
      <c r="A1112" s="3">
        <v>2564.0</v>
      </c>
      <c r="B1112" s="3">
        <v>2549.0</v>
      </c>
      <c r="C1112" s="1"/>
      <c r="D1112" s="3">
        <v>1.0</v>
      </c>
      <c r="E1112" s="1" t="s">
        <v>426</v>
      </c>
      <c r="F1112" s="3">
        <v>7.0</v>
      </c>
      <c r="G1112" s="3">
        <v>1.0</v>
      </c>
      <c r="H1112" s="1"/>
      <c r="I1112" s="1"/>
      <c r="J1112" s="3">
        <v>1618.0</v>
      </c>
    </row>
    <row r="1113">
      <c r="A1113" s="3">
        <v>2565.0</v>
      </c>
      <c r="B1113" s="3">
        <v>2550.0</v>
      </c>
      <c r="C1113" s="1"/>
      <c r="D1113" s="3">
        <v>1.0</v>
      </c>
      <c r="E1113" s="1" t="s">
        <v>419</v>
      </c>
      <c r="F1113" s="3">
        <v>1.0</v>
      </c>
      <c r="G1113" s="3">
        <v>1.0</v>
      </c>
      <c r="H1113" s="1"/>
      <c r="I1113" s="1"/>
      <c r="J1113" s="3">
        <v>1618.0</v>
      </c>
    </row>
    <row r="1114">
      <c r="A1114" s="3">
        <v>2566.0</v>
      </c>
      <c r="B1114" s="3">
        <v>2551.0</v>
      </c>
      <c r="C1114" s="1"/>
      <c r="D1114" s="3">
        <v>1.0</v>
      </c>
      <c r="E1114" s="1" t="s">
        <v>427</v>
      </c>
      <c r="F1114" s="3">
        <v>1.0</v>
      </c>
      <c r="G1114" s="3">
        <v>1.0</v>
      </c>
      <c r="H1114" s="1"/>
      <c r="I1114" s="1"/>
      <c r="J1114" s="3">
        <v>1618.0</v>
      </c>
    </row>
    <row r="1115">
      <c r="A1115" s="3">
        <v>2567.0</v>
      </c>
      <c r="B1115" s="3">
        <v>2552.0</v>
      </c>
      <c r="C1115" s="1"/>
      <c r="D1115" s="3">
        <v>1.0</v>
      </c>
      <c r="E1115" s="1" t="s">
        <v>427</v>
      </c>
      <c r="F1115" s="3">
        <v>2.0</v>
      </c>
      <c r="G1115" s="3">
        <v>1.0</v>
      </c>
      <c r="H1115" s="1"/>
      <c r="I1115" s="1"/>
      <c r="J1115" s="3">
        <v>1618.0</v>
      </c>
    </row>
    <row r="1116">
      <c r="A1116" s="3">
        <v>2568.0</v>
      </c>
      <c r="B1116" s="3">
        <v>2553.0</v>
      </c>
      <c r="C1116" s="1"/>
      <c r="D1116" s="3">
        <v>1.0</v>
      </c>
      <c r="E1116" s="1" t="s">
        <v>427</v>
      </c>
      <c r="F1116" s="3">
        <v>3.0</v>
      </c>
      <c r="G1116" s="3">
        <v>1.0</v>
      </c>
      <c r="H1116" s="1"/>
      <c r="I1116" s="1"/>
      <c r="J1116" s="3">
        <v>1618.0</v>
      </c>
    </row>
    <row r="1117">
      <c r="A1117" s="3">
        <v>2569.0</v>
      </c>
      <c r="B1117" s="3">
        <v>2554.0</v>
      </c>
      <c r="C1117" s="1"/>
      <c r="D1117" s="3">
        <v>1.0</v>
      </c>
      <c r="E1117" s="1" t="s">
        <v>427</v>
      </c>
      <c r="F1117" s="3">
        <v>4.0</v>
      </c>
      <c r="G1117" s="3">
        <v>1.0</v>
      </c>
      <c r="H1117" s="1"/>
      <c r="I1117" s="1"/>
      <c r="J1117" s="3">
        <v>1618.0</v>
      </c>
    </row>
    <row r="1118">
      <c r="A1118" s="3">
        <v>2570.0</v>
      </c>
      <c r="B1118" s="3">
        <v>2555.0</v>
      </c>
      <c r="C1118" s="1"/>
      <c r="D1118" s="3">
        <v>1.0</v>
      </c>
      <c r="E1118" s="1" t="s">
        <v>427</v>
      </c>
      <c r="F1118" s="3">
        <v>5.0</v>
      </c>
      <c r="G1118" s="3">
        <v>1.0</v>
      </c>
      <c r="H1118" s="1"/>
      <c r="I1118" s="1"/>
      <c r="J1118" s="3">
        <v>1618.0</v>
      </c>
    </row>
    <row r="1119">
      <c r="A1119" s="3">
        <v>2571.0</v>
      </c>
      <c r="B1119" s="3">
        <v>2556.0</v>
      </c>
      <c r="C1119" s="1"/>
      <c r="D1119" s="3">
        <v>1.0</v>
      </c>
      <c r="E1119" s="1" t="s">
        <v>427</v>
      </c>
      <c r="F1119" s="3">
        <v>6.0</v>
      </c>
      <c r="G1119" s="3">
        <v>1.0</v>
      </c>
      <c r="H1119" s="1"/>
      <c r="I1119" s="1"/>
      <c r="J1119" s="3">
        <v>1618.0</v>
      </c>
    </row>
    <row r="1120">
      <c r="A1120" s="3">
        <v>2572.0</v>
      </c>
      <c r="B1120" s="3">
        <v>2557.0</v>
      </c>
      <c r="C1120" s="1"/>
      <c r="D1120" s="3">
        <v>1.0</v>
      </c>
      <c r="E1120" s="1" t="s">
        <v>427</v>
      </c>
      <c r="F1120" s="3">
        <v>7.0</v>
      </c>
      <c r="G1120" s="3">
        <v>1.0</v>
      </c>
      <c r="H1120" s="1"/>
      <c r="I1120" s="1"/>
      <c r="J1120" s="3">
        <v>1618.0</v>
      </c>
    </row>
    <row r="1121">
      <c r="A1121" s="3">
        <v>2573.0</v>
      </c>
      <c r="B1121" s="3">
        <v>2558.0</v>
      </c>
      <c r="C1121" s="1"/>
      <c r="D1121" s="3">
        <v>1.0</v>
      </c>
      <c r="E1121" s="1" t="s">
        <v>406</v>
      </c>
      <c r="F1121" s="3">
        <v>13.0</v>
      </c>
      <c r="G1121" s="3">
        <v>1.0</v>
      </c>
      <c r="H1121" s="1"/>
      <c r="I1121" s="1"/>
      <c r="J1121" s="3">
        <v>1618.0</v>
      </c>
    </row>
    <row r="1122">
      <c r="A1122" s="3">
        <v>2574.0</v>
      </c>
      <c r="B1122" s="3">
        <v>2559.0</v>
      </c>
      <c r="C1122" s="1"/>
      <c r="D1122" s="3">
        <v>1.0</v>
      </c>
      <c r="E1122" s="1" t="s">
        <v>406</v>
      </c>
      <c r="F1122" s="3">
        <v>12.0</v>
      </c>
      <c r="G1122" s="3">
        <v>1.0</v>
      </c>
      <c r="H1122" s="1"/>
      <c r="I1122" s="1"/>
      <c r="J1122" s="3">
        <v>1618.0</v>
      </c>
    </row>
    <row r="1123">
      <c r="A1123" s="3">
        <v>2575.0</v>
      </c>
      <c r="B1123" s="3">
        <v>2560.0</v>
      </c>
      <c r="C1123" s="1"/>
      <c r="D1123" s="3">
        <v>1.0</v>
      </c>
      <c r="E1123" s="1" t="s">
        <v>428</v>
      </c>
      <c r="F1123" s="3">
        <v>1.0</v>
      </c>
      <c r="G1123" s="3">
        <v>1.0</v>
      </c>
      <c r="H1123" s="1"/>
      <c r="I1123" s="1"/>
      <c r="J1123" s="3">
        <v>1618.0</v>
      </c>
    </row>
    <row r="1124">
      <c r="A1124" s="3">
        <v>2576.0</v>
      </c>
      <c r="B1124" s="3">
        <v>2561.0</v>
      </c>
      <c r="C1124" s="1"/>
      <c r="D1124" s="3">
        <v>1.0</v>
      </c>
      <c r="E1124" s="1" t="s">
        <v>406</v>
      </c>
      <c r="F1124" s="3">
        <v>9.0</v>
      </c>
      <c r="G1124" s="3">
        <v>1.0</v>
      </c>
      <c r="H1124" s="1"/>
      <c r="I1124" s="1"/>
      <c r="J1124" s="3">
        <v>1618.0</v>
      </c>
    </row>
    <row r="1125">
      <c r="A1125" s="3">
        <v>2577.0</v>
      </c>
      <c r="B1125" s="3">
        <v>2562.0</v>
      </c>
      <c r="C1125" s="1"/>
      <c r="D1125" s="3">
        <v>1.0</v>
      </c>
      <c r="E1125" s="1" t="s">
        <v>406</v>
      </c>
      <c r="F1125" s="3">
        <v>10.0</v>
      </c>
      <c r="G1125" s="3">
        <v>1.0</v>
      </c>
      <c r="H1125" s="1"/>
      <c r="I1125" s="1"/>
      <c r="J1125" s="3">
        <v>1618.0</v>
      </c>
    </row>
    <row r="1126">
      <c r="A1126" s="3">
        <v>2578.0</v>
      </c>
      <c r="B1126" s="3">
        <v>2563.0</v>
      </c>
      <c r="C1126" s="1"/>
      <c r="D1126" s="3">
        <v>1.0</v>
      </c>
      <c r="E1126" s="1" t="s">
        <v>406</v>
      </c>
      <c r="F1126" s="3">
        <v>11.0</v>
      </c>
      <c r="G1126" s="3">
        <v>1.0</v>
      </c>
      <c r="H1126" s="1"/>
      <c r="I1126" s="1"/>
      <c r="J1126" s="3">
        <v>1618.0</v>
      </c>
    </row>
    <row r="1127">
      <c r="A1127" s="3">
        <v>2579.0</v>
      </c>
      <c r="B1127" s="3">
        <v>2564.0</v>
      </c>
      <c r="C1127" s="1"/>
      <c r="D1127" s="3">
        <v>1.0</v>
      </c>
      <c r="E1127" s="1" t="s">
        <v>406</v>
      </c>
      <c r="F1127" s="3">
        <v>14.0</v>
      </c>
      <c r="G1127" s="3">
        <v>1.0</v>
      </c>
      <c r="H1127" s="1"/>
      <c r="I1127" s="1"/>
      <c r="J1127" s="3">
        <v>1618.0</v>
      </c>
    </row>
    <row r="1128">
      <c r="A1128" s="3">
        <v>2580.0</v>
      </c>
      <c r="B1128" s="3">
        <v>2565.0</v>
      </c>
      <c r="C1128" s="1"/>
      <c r="D1128" s="3">
        <v>1.0</v>
      </c>
      <c r="E1128" s="1" t="s">
        <v>406</v>
      </c>
      <c r="F1128" s="3">
        <v>7.0</v>
      </c>
      <c r="G1128" s="3">
        <v>1.0</v>
      </c>
      <c r="H1128" s="1"/>
      <c r="I1128" s="1"/>
      <c r="J1128" s="3">
        <v>1618.0</v>
      </c>
    </row>
    <row r="1129">
      <c r="A1129" s="3">
        <v>2581.0</v>
      </c>
      <c r="B1129" s="3">
        <v>2566.0</v>
      </c>
      <c r="C1129" s="1"/>
      <c r="D1129" s="3">
        <v>1.0</v>
      </c>
      <c r="E1129" s="1" t="s">
        <v>406</v>
      </c>
      <c r="F1129" s="3">
        <v>6.0</v>
      </c>
      <c r="G1129" s="3">
        <v>1.0</v>
      </c>
      <c r="H1129" s="1"/>
      <c r="I1129" s="1"/>
      <c r="J1129" s="3">
        <v>1618.0</v>
      </c>
    </row>
    <row r="1130">
      <c r="A1130" s="3">
        <v>2582.0</v>
      </c>
      <c r="B1130" s="3">
        <v>2567.0</v>
      </c>
      <c r="C1130" s="1"/>
      <c r="D1130" s="3">
        <v>1.0</v>
      </c>
      <c r="E1130" s="1" t="s">
        <v>406</v>
      </c>
      <c r="F1130" s="3">
        <v>5.0</v>
      </c>
      <c r="G1130" s="3">
        <v>1.0</v>
      </c>
      <c r="H1130" s="1"/>
      <c r="I1130" s="1"/>
      <c r="J1130" s="3">
        <v>1618.0</v>
      </c>
    </row>
    <row r="1131">
      <c r="A1131" s="3">
        <v>2583.0</v>
      </c>
      <c r="B1131" s="3">
        <v>2568.0</v>
      </c>
      <c r="C1131" s="1"/>
      <c r="D1131" s="3">
        <v>1.0</v>
      </c>
      <c r="E1131" s="1" t="s">
        <v>406</v>
      </c>
      <c r="F1131" s="3">
        <v>4.0</v>
      </c>
      <c r="G1131" s="3">
        <v>1.0</v>
      </c>
      <c r="H1131" s="1"/>
      <c r="I1131" s="1"/>
      <c r="J1131" s="3">
        <v>1618.0</v>
      </c>
    </row>
    <row r="1132">
      <c r="A1132" s="3">
        <v>2584.0</v>
      </c>
      <c r="B1132" s="3">
        <v>2569.0</v>
      </c>
      <c r="C1132" s="1"/>
      <c r="D1132" s="3">
        <v>1.0</v>
      </c>
      <c r="E1132" s="1" t="s">
        <v>406</v>
      </c>
      <c r="F1132" s="3">
        <v>3.0</v>
      </c>
      <c r="G1132" s="3">
        <v>1.0</v>
      </c>
      <c r="H1132" s="1"/>
      <c r="I1132" s="1"/>
      <c r="J1132" s="3">
        <v>1618.0</v>
      </c>
    </row>
    <row r="1133">
      <c r="A1133" s="3">
        <v>2585.0</v>
      </c>
      <c r="B1133" s="3">
        <v>2570.0</v>
      </c>
      <c r="C1133" s="1"/>
      <c r="D1133" s="3">
        <v>1.0</v>
      </c>
      <c r="E1133" s="1" t="s">
        <v>406</v>
      </c>
      <c r="F1133" s="3">
        <v>2.0</v>
      </c>
      <c r="G1133" s="3">
        <v>1.0</v>
      </c>
      <c r="H1133" s="1"/>
      <c r="I1133" s="1"/>
      <c r="J1133" s="3">
        <v>1618.0</v>
      </c>
    </row>
    <row r="1134">
      <c r="A1134" s="3">
        <v>2586.0</v>
      </c>
      <c r="B1134" s="3">
        <v>2571.0</v>
      </c>
      <c r="C1134" s="1"/>
      <c r="D1134" s="3">
        <v>1.0</v>
      </c>
      <c r="E1134" s="1" t="s">
        <v>406</v>
      </c>
      <c r="F1134" s="3">
        <v>1.0</v>
      </c>
      <c r="G1134" s="3">
        <v>1.0</v>
      </c>
      <c r="H1134" s="1"/>
      <c r="I1134" s="1"/>
      <c r="J1134" s="3">
        <v>1618.0</v>
      </c>
    </row>
    <row r="1135">
      <c r="A1135" s="3">
        <v>2587.0</v>
      </c>
      <c r="B1135" s="3">
        <v>2572.0</v>
      </c>
      <c r="C1135" s="1"/>
      <c r="D1135" s="3">
        <v>1.0</v>
      </c>
      <c r="E1135" s="1" t="s">
        <v>429</v>
      </c>
      <c r="F1135" s="3">
        <v>1.0</v>
      </c>
      <c r="G1135" s="3">
        <v>1.0</v>
      </c>
      <c r="H1135" s="1"/>
      <c r="I1135" s="1"/>
      <c r="J1135" s="3">
        <v>1618.0</v>
      </c>
    </row>
    <row r="1136">
      <c r="A1136" s="3">
        <v>2588.0</v>
      </c>
      <c r="B1136" s="3">
        <v>2573.0</v>
      </c>
      <c r="C1136" s="1"/>
      <c r="D1136" s="3">
        <v>1.0</v>
      </c>
      <c r="E1136" s="1" t="s">
        <v>430</v>
      </c>
      <c r="F1136" s="3">
        <v>6.0</v>
      </c>
      <c r="G1136" s="3">
        <v>1.0</v>
      </c>
      <c r="H1136" s="1"/>
      <c r="I1136" s="1"/>
      <c r="J1136" s="3">
        <v>1618.0</v>
      </c>
    </row>
    <row r="1137">
      <c r="A1137" s="3">
        <v>2589.0</v>
      </c>
      <c r="B1137" s="3">
        <v>2574.0</v>
      </c>
      <c r="C1137" s="1"/>
      <c r="D1137" s="3">
        <v>1.0</v>
      </c>
      <c r="E1137" s="1" t="s">
        <v>430</v>
      </c>
      <c r="F1137" s="3">
        <v>5.0</v>
      </c>
      <c r="G1137" s="3">
        <v>1.0</v>
      </c>
      <c r="H1137" s="1"/>
      <c r="I1137" s="1"/>
      <c r="J1137" s="3">
        <v>1618.0</v>
      </c>
    </row>
    <row r="1138">
      <c r="A1138" s="3">
        <v>2590.0</v>
      </c>
      <c r="B1138" s="3">
        <v>2575.0</v>
      </c>
      <c r="C1138" s="1"/>
      <c r="D1138" s="3">
        <v>1.0</v>
      </c>
      <c r="E1138" s="1" t="s">
        <v>430</v>
      </c>
      <c r="F1138" s="3">
        <v>4.0</v>
      </c>
      <c r="G1138" s="3">
        <v>1.0</v>
      </c>
      <c r="H1138" s="1"/>
      <c r="I1138" s="1"/>
      <c r="J1138" s="3">
        <v>1618.0</v>
      </c>
    </row>
    <row r="1139">
      <c r="A1139" s="3">
        <v>2591.0</v>
      </c>
      <c r="B1139" s="3">
        <v>2576.0</v>
      </c>
      <c r="C1139" s="1"/>
      <c r="D1139" s="3">
        <v>1.0</v>
      </c>
      <c r="E1139" s="1" t="s">
        <v>430</v>
      </c>
      <c r="F1139" s="3">
        <v>3.0</v>
      </c>
      <c r="G1139" s="3">
        <v>1.0</v>
      </c>
      <c r="H1139" s="1"/>
      <c r="I1139" s="1"/>
      <c r="J1139" s="3">
        <v>1618.0</v>
      </c>
    </row>
    <row r="1140">
      <c r="A1140" s="3">
        <v>2592.0</v>
      </c>
      <c r="B1140" s="3">
        <v>2577.0</v>
      </c>
      <c r="C1140" s="1"/>
      <c r="D1140" s="3">
        <v>1.0</v>
      </c>
      <c r="E1140" s="1" t="s">
        <v>430</v>
      </c>
      <c r="F1140" s="3">
        <v>2.0</v>
      </c>
      <c r="G1140" s="3">
        <v>1.0</v>
      </c>
      <c r="H1140" s="1"/>
      <c r="I1140" s="1"/>
      <c r="J1140" s="3">
        <v>1618.0</v>
      </c>
    </row>
    <row r="1141">
      <c r="A1141" s="3">
        <v>2593.0</v>
      </c>
      <c r="B1141" s="3">
        <v>2578.0</v>
      </c>
      <c r="C1141" s="1"/>
      <c r="D1141" s="3">
        <v>1.0</v>
      </c>
      <c r="E1141" s="1" t="s">
        <v>430</v>
      </c>
      <c r="F1141" s="3">
        <v>1.0</v>
      </c>
      <c r="G1141" s="3">
        <v>1.0</v>
      </c>
      <c r="H1141" s="1"/>
      <c r="I1141" s="1"/>
      <c r="J1141" s="3">
        <v>1618.0</v>
      </c>
    </row>
    <row r="1142">
      <c r="A1142" s="3">
        <v>2594.0</v>
      </c>
      <c r="B1142" s="3">
        <v>2579.0</v>
      </c>
      <c r="C1142" s="1"/>
      <c r="D1142" s="3">
        <v>1.0</v>
      </c>
      <c r="E1142" s="1" t="s">
        <v>431</v>
      </c>
      <c r="F1142" s="3">
        <v>1.0</v>
      </c>
      <c r="G1142" s="3">
        <v>1.0</v>
      </c>
      <c r="H1142" s="1"/>
      <c r="I1142" s="1"/>
      <c r="J1142" s="3">
        <v>1618.0</v>
      </c>
    </row>
    <row r="1143">
      <c r="A1143" s="3">
        <v>2595.0</v>
      </c>
      <c r="B1143" s="3">
        <v>2580.0</v>
      </c>
      <c r="C1143" s="1"/>
      <c r="D1143" s="3">
        <v>1.0</v>
      </c>
      <c r="E1143" s="1" t="s">
        <v>432</v>
      </c>
      <c r="F1143" s="3">
        <v>1.0</v>
      </c>
      <c r="G1143" s="3">
        <v>1.0</v>
      </c>
      <c r="H1143" s="1"/>
      <c r="I1143" s="1"/>
      <c r="J1143" s="3">
        <v>1618.0</v>
      </c>
    </row>
    <row r="1144">
      <c r="A1144" s="3">
        <v>2596.0</v>
      </c>
      <c r="B1144" s="3">
        <v>2581.0</v>
      </c>
      <c r="C1144" s="1"/>
      <c r="D1144" s="3">
        <v>1.0</v>
      </c>
      <c r="E1144" s="1" t="s">
        <v>433</v>
      </c>
      <c r="F1144" s="3">
        <v>2.0</v>
      </c>
      <c r="G1144" s="3">
        <v>1.0</v>
      </c>
      <c r="H1144" s="1"/>
      <c r="I1144" s="1"/>
      <c r="J1144" s="3">
        <v>1618.0</v>
      </c>
    </row>
    <row r="1145">
      <c r="A1145" s="3">
        <v>2597.0</v>
      </c>
      <c r="B1145" s="3">
        <v>2582.0</v>
      </c>
      <c r="C1145" s="1"/>
      <c r="D1145" s="3">
        <v>1.0</v>
      </c>
      <c r="E1145" s="1" t="s">
        <v>434</v>
      </c>
      <c r="F1145" s="3">
        <v>1.0</v>
      </c>
      <c r="G1145" s="3">
        <v>1.0</v>
      </c>
      <c r="H1145" s="1"/>
      <c r="I1145" s="1"/>
      <c r="J1145" s="3">
        <v>1618.0</v>
      </c>
    </row>
    <row r="1146">
      <c r="A1146" s="3">
        <v>2598.0</v>
      </c>
      <c r="B1146" s="3">
        <v>2583.0</v>
      </c>
      <c r="C1146" s="1"/>
      <c r="D1146" s="3">
        <v>1.0</v>
      </c>
      <c r="E1146" s="1" t="s">
        <v>380</v>
      </c>
      <c r="F1146" s="3">
        <v>10.0</v>
      </c>
      <c r="G1146" s="3">
        <v>1.0</v>
      </c>
      <c r="H1146" s="1"/>
      <c r="I1146" s="1"/>
      <c r="J1146" s="3">
        <v>1618.0</v>
      </c>
    </row>
    <row r="1147">
      <c r="A1147" s="3">
        <v>2599.0</v>
      </c>
      <c r="B1147" s="3">
        <v>2584.0</v>
      </c>
      <c r="C1147" s="1"/>
      <c r="D1147" s="3">
        <v>1.0</v>
      </c>
      <c r="E1147" s="1" t="s">
        <v>380</v>
      </c>
      <c r="F1147" s="3">
        <v>9.0</v>
      </c>
      <c r="G1147" s="3">
        <v>1.0</v>
      </c>
      <c r="H1147" s="1"/>
      <c r="I1147" s="1"/>
      <c r="J1147" s="3">
        <v>1618.0</v>
      </c>
    </row>
    <row r="1148">
      <c r="A1148" s="3">
        <v>2600.0</v>
      </c>
      <c r="B1148" s="3">
        <v>2585.0</v>
      </c>
      <c r="C1148" s="1"/>
      <c r="D1148" s="3">
        <v>1.0</v>
      </c>
      <c r="E1148" s="1" t="s">
        <v>380</v>
      </c>
      <c r="F1148" s="3">
        <v>8.0</v>
      </c>
      <c r="G1148" s="3">
        <v>1.0</v>
      </c>
      <c r="H1148" s="1"/>
      <c r="I1148" s="1"/>
      <c r="J1148" s="3">
        <v>1618.0</v>
      </c>
    </row>
    <row r="1149">
      <c r="A1149" s="3">
        <v>2601.0</v>
      </c>
      <c r="B1149" s="3">
        <v>2586.0</v>
      </c>
      <c r="C1149" s="1"/>
      <c r="D1149" s="3">
        <v>1.0</v>
      </c>
      <c r="E1149" s="1" t="s">
        <v>380</v>
      </c>
      <c r="F1149" s="3">
        <v>7.0</v>
      </c>
      <c r="G1149" s="3">
        <v>1.0</v>
      </c>
      <c r="H1149" s="1"/>
      <c r="I1149" s="1"/>
      <c r="J1149" s="3">
        <v>1618.0</v>
      </c>
    </row>
    <row r="1150">
      <c r="A1150" s="3">
        <v>2602.0</v>
      </c>
      <c r="B1150" s="3">
        <v>2587.0</v>
      </c>
      <c r="C1150" s="1"/>
      <c r="D1150" s="3">
        <v>1.0</v>
      </c>
      <c r="E1150" s="1" t="s">
        <v>380</v>
      </c>
      <c r="F1150" s="3">
        <v>6.0</v>
      </c>
      <c r="G1150" s="3">
        <v>1.0</v>
      </c>
      <c r="H1150" s="1"/>
      <c r="I1150" s="1"/>
      <c r="J1150" s="3">
        <v>1618.0</v>
      </c>
    </row>
    <row r="1151">
      <c r="A1151" s="3">
        <v>2603.0</v>
      </c>
      <c r="B1151" s="3">
        <v>2588.0</v>
      </c>
      <c r="C1151" s="1"/>
      <c r="D1151" s="3">
        <v>1.0</v>
      </c>
      <c r="E1151" s="1" t="s">
        <v>380</v>
      </c>
      <c r="F1151" s="3">
        <v>5.0</v>
      </c>
      <c r="G1151" s="3">
        <v>1.0</v>
      </c>
      <c r="H1151" s="1"/>
      <c r="I1151" s="1"/>
      <c r="J1151" s="3">
        <v>1618.0</v>
      </c>
    </row>
    <row r="1152">
      <c r="A1152" s="3">
        <v>2604.0</v>
      </c>
      <c r="B1152" s="3">
        <v>2589.0</v>
      </c>
      <c r="C1152" s="1"/>
      <c r="D1152" s="3">
        <v>1.0</v>
      </c>
      <c r="E1152" s="1" t="s">
        <v>380</v>
      </c>
      <c r="F1152" s="3">
        <v>4.0</v>
      </c>
      <c r="G1152" s="3">
        <v>1.0</v>
      </c>
      <c r="H1152" s="1"/>
      <c r="I1152" s="1"/>
      <c r="J1152" s="3">
        <v>1618.0</v>
      </c>
    </row>
    <row r="1153">
      <c r="A1153" s="3">
        <v>2605.0</v>
      </c>
      <c r="B1153" s="3">
        <v>2590.0</v>
      </c>
      <c r="C1153" s="1"/>
      <c r="D1153" s="3">
        <v>1.0</v>
      </c>
      <c r="E1153" s="1" t="s">
        <v>380</v>
      </c>
      <c r="F1153" s="3">
        <v>3.0</v>
      </c>
      <c r="G1153" s="3">
        <v>1.0</v>
      </c>
      <c r="H1153" s="1"/>
      <c r="I1153" s="1"/>
      <c r="J1153" s="3">
        <v>1618.0</v>
      </c>
    </row>
    <row r="1154">
      <c r="A1154" s="3">
        <v>2606.0</v>
      </c>
      <c r="B1154" s="3">
        <v>2591.0</v>
      </c>
      <c r="C1154" s="1"/>
      <c r="D1154" s="3">
        <v>1.0</v>
      </c>
      <c r="E1154" s="1" t="s">
        <v>380</v>
      </c>
      <c r="F1154" s="3">
        <v>2.0</v>
      </c>
      <c r="G1154" s="3">
        <v>1.0</v>
      </c>
      <c r="H1154" s="1"/>
      <c r="I1154" s="1"/>
      <c r="J1154" s="3">
        <v>1618.0</v>
      </c>
    </row>
    <row r="1155">
      <c r="A1155" s="3">
        <v>2607.0</v>
      </c>
      <c r="B1155" s="3">
        <v>2592.0</v>
      </c>
      <c r="C1155" s="1"/>
      <c r="D1155" s="3">
        <v>1.0</v>
      </c>
      <c r="E1155" s="1" t="s">
        <v>380</v>
      </c>
      <c r="F1155" s="3">
        <v>1.0</v>
      </c>
      <c r="G1155" s="3">
        <v>1.0</v>
      </c>
      <c r="H1155" s="1"/>
      <c r="I1155" s="1"/>
      <c r="J1155" s="3">
        <v>1618.0</v>
      </c>
    </row>
    <row r="1156">
      <c r="A1156" s="3">
        <v>2608.0</v>
      </c>
      <c r="B1156" s="3">
        <v>2593.0</v>
      </c>
      <c r="C1156" s="1"/>
      <c r="D1156" s="3">
        <v>1.0</v>
      </c>
      <c r="E1156" s="1" t="s">
        <v>427</v>
      </c>
      <c r="F1156" s="3">
        <v>8.0</v>
      </c>
      <c r="G1156" s="3">
        <v>1.0</v>
      </c>
      <c r="H1156" s="1"/>
      <c r="I1156" s="1"/>
      <c r="J1156" s="3">
        <v>1618.0</v>
      </c>
    </row>
    <row r="1157">
      <c r="A1157" s="3">
        <v>2609.0</v>
      </c>
      <c r="B1157" s="3">
        <v>2594.0</v>
      </c>
      <c r="C1157" s="1"/>
      <c r="D1157" s="3">
        <v>1.0</v>
      </c>
      <c r="E1157" s="1" t="s">
        <v>406</v>
      </c>
      <c r="F1157" s="3">
        <v>8.0</v>
      </c>
      <c r="G1157" s="3">
        <v>1.0</v>
      </c>
      <c r="H1157" s="1"/>
      <c r="I1157" s="1"/>
      <c r="J1157" s="3">
        <v>1618.0</v>
      </c>
    </row>
    <row r="1158">
      <c r="A1158" s="3">
        <v>2610.0</v>
      </c>
      <c r="B1158" s="3">
        <v>2595.0</v>
      </c>
      <c r="C1158" s="1"/>
      <c r="D1158" s="3">
        <v>1.0</v>
      </c>
      <c r="E1158" s="1" t="s">
        <v>435</v>
      </c>
      <c r="F1158" s="3">
        <v>1.0</v>
      </c>
      <c r="G1158" s="3">
        <v>1.0</v>
      </c>
      <c r="H1158" s="1"/>
      <c r="I1158" s="1"/>
      <c r="J1158" s="3">
        <v>1618.0</v>
      </c>
    </row>
    <row r="1159">
      <c r="A1159" s="3">
        <v>2611.0</v>
      </c>
      <c r="B1159" s="3">
        <v>2596.0</v>
      </c>
      <c r="C1159" s="1"/>
      <c r="D1159" s="3">
        <v>1.0</v>
      </c>
      <c r="E1159" s="1" t="s">
        <v>433</v>
      </c>
      <c r="F1159" s="3">
        <v>3.0</v>
      </c>
      <c r="G1159" s="3">
        <v>1.0</v>
      </c>
      <c r="H1159" s="1"/>
      <c r="I1159" s="1"/>
      <c r="J1159" s="3">
        <v>1618.0</v>
      </c>
    </row>
    <row r="1160">
      <c r="A1160" s="3">
        <v>2612.0</v>
      </c>
      <c r="B1160" s="3">
        <v>2597.0</v>
      </c>
      <c r="C1160" s="1"/>
      <c r="D1160" s="3">
        <v>1.0</v>
      </c>
      <c r="E1160" s="1" t="s">
        <v>408</v>
      </c>
      <c r="F1160" s="3">
        <v>4.0</v>
      </c>
      <c r="G1160" s="3">
        <v>1.0</v>
      </c>
      <c r="H1160" s="1"/>
      <c r="I1160" s="1"/>
      <c r="J1160" s="3">
        <v>1618.0</v>
      </c>
    </row>
    <row r="1161">
      <c r="A1161" s="3">
        <v>2613.0</v>
      </c>
      <c r="B1161" s="3">
        <v>2598.0</v>
      </c>
      <c r="C1161" s="1"/>
      <c r="D1161" s="3">
        <v>1.0</v>
      </c>
      <c r="E1161" s="1" t="s">
        <v>408</v>
      </c>
      <c r="F1161" s="3">
        <v>5.0</v>
      </c>
      <c r="G1161" s="3">
        <v>1.0</v>
      </c>
      <c r="H1161" s="1"/>
      <c r="I1161" s="1"/>
      <c r="J1161" s="3">
        <v>1618.0</v>
      </c>
    </row>
    <row r="1162">
      <c r="A1162" s="3">
        <v>2614.0</v>
      </c>
      <c r="B1162" s="3">
        <v>2599.0</v>
      </c>
      <c r="C1162" s="1"/>
      <c r="D1162" s="3">
        <v>1.0</v>
      </c>
      <c r="E1162" s="1" t="s">
        <v>408</v>
      </c>
      <c r="F1162" s="3">
        <v>6.0</v>
      </c>
      <c r="G1162" s="3">
        <v>1.0</v>
      </c>
      <c r="H1162" s="1"/>
      <c r="I1162" s="1"/>
      <c r="J1162" s="3">
        <v>1618.0</v>
      </c>
    </row>
    <row r="1163">
      <c r="A1163" s="3">
        <v>2615.0</v>
      </c>
      <c r="B1163" s="3">
        <v>2600.0</v>
      </c>
      <c r="C1163" s="1"/>
      <c r="D1163" s="3">
        <v>1.0</v>
      </c>
      <c r="E1163" s="1" t="s">
        <v>408</v>
      </c>
      <c r="F1163" s="3">
        <v>7.0</v>
      </c>
      <c r="G1163" s="3">
        <v>1.0</v>
      </c>
      <c r="H1163" s="1"/>
      <c r="I1163" s="1"/>
      <c r="J1163" s="3">
        <v>1618.0</v>
      </c>
    </row>
    <row r="1164">
      <c r="A1164" s="3">
        <v>2616.0</v>
      </c>
      <c r="B1164" s="3">
        <v>2601.0</v>
      </c>
      <c r="C1164" s="1"/>
      <c r="D1164" s="3">
        <v>1.0</v>
      </c>
      <c r="E1164" s="1" t="s">
        <v>408</v>
      </c>
      <c r="F1164" s="3">
        <v>8.0</v>
      </c>
      <c r="G1164" s="3">
        <v>1.0</v>
      </c>
      <c r="H1164" s="1"/>
      <c r="I1164" s="1"/>
      <c r="J1164" s="3">
        <v>1618.0</v>
      </c>
    </row>
    <row r="1165">
      <c r="A1165" s="3">
        <v>2617.0</v>
      </c>
      <c r="B1165" s="3">
        <v>2602.0</v>
      </c>
      <c r="C1165" s="1"/>
      <c r="D1165" s="3">
        <v>1.0</v>
      </c>
      <c r="E1165" s="1" t="s">
        <v>408</v>
      </c>
      <c r="F1165" s="3">
        <v>9.0</v>
      </c>
      <c r="G1165" s="3">
        <v>1.0</v>
      </c>
      <c r="H1165" s="1"/>
      <c r="I1165" s="1"/>
      <c r="J1165" s="3">
        <v>1618.0</v>
      </c>
    </row>
    <row r="1166">
      <c r="A1166" s="3">
        <v>2618.0</v>
      </c>
      <c r="B1166" s="3">
        <v>2603.0</v>
      </c>
      <c r="C1166" s="1"/>
      <c r="D1166" s="3">
        <v>1.0</v>
      </c>
      <c r="E1166" s="1" t="s">
        <v>408</v>
      </c>
      <c r="F1166" s="3">
        <v>10.0</v>
      </c>
      <c r="G1166" s="3">
        <v>1.0</v>
      </c>
      <c r="H1166" s="1"/>
      <c r="I1166" s="1"/>
      <c r="J1166" s="3">
        <v>1618.0</v>
      </c>
    </row>
    <row r="1167">
      <c r="A1167" s="3">
        <v>2619.0</v>
      </c>
      <c r="B1167" s="3">
        <v>2604.0</v>
      </c>
      <c r="C1167" s="1"/>
      <c r="D1167" s="3">
        <v>1.0</v>
      </c>
      <c r="E1167" s="1" t="s">
        <v>436</v>
      </c>
      <c r="F1167" s="3">
        <v>11.0</v>
      </c>
      <c r="G1167" s="3">
        <v>0.0</v>
      </c>
      <c r="H1167" s="1"/>
      <c r="I1167" s="1"/>
      <c r="J1167" s="3">
        <v>1618.0</v>
      </c>
    </row>
    <row r="1168">
      <c r="A1168" s="3">
        <v>2620.0</v>
      </c>
      <c r="B1168" s="3">
        <v>2605.0</v>
      </c>
      <c r="C1168" s="1"/>
      <c r="D1168" s="3">
        <v>1.0</v>
      </c>
      <c r="E1168" s="1" t="s">
        <v>436</v>
      </c>
      <c r="F1168" s="3">
        <v>10.0</v>
      </c>
      <c r="G1168" s="3">
        <v>0.0</v>
      </c>
      <c r="H1168" s="1"/>
      <c r="I1168" s="1"/>
      <c r="J1168" s="3">
        <v>1618.0</v>
      </c>
    </row>
    <row r="1169">
      <c r="A1169" s="3">
        <v>2621.0</v>
      </c>
      <c r="B1169" s="3">
        <v>2606.0</v>
      </c>
      <c r="C1169" s="1"/>
      <c r="D1169" s="3">
        <v>1.0</v>
      </c>
      <c r="E1169" s="1" t="s">
        <v>436</v>
      </c>
      <c r="F1169" s="3">
        <v>9.0</v>
      </c>
      <c r="G1169" s="3">
        <v>0.0</v>
      </c>
      <c r="H1169" s="1"/>
      <c r="I1169" s="1"/>
      <c r="J1169" s="3">
        <v>1618.0</v>
      </c>
    </row>
    <row r="1170">
      <c r="A1170" s="3">
        <v>2622.0</v>
      </c>
      <c r="B1170" s="3">
        <v>2607.0</v>
      </c>
      <c r="C1170" s="1"/>
      <c r="D1170" s="3">
        <v>1.0</v>
      </c>
      <c r="E1170" s="1" t="s">
        <v>436</v>
      </c>
      <c r="F1170" s="3">
        <v>8.0</v>
      </c>
      <c r="G1170" s="3">
        <v>0.0</v>
      </c>
      <c r="H1170" s="1"/>
      <c r="I1170" s="1"/>
      <c r="J1170" s="3">
        <v>1618.0</v>
      </c>
    </row>
    <row r="1171">
      <c r="A1171" s="3">
        <v>2623.0</v>
      </c>
      <c r="B1171" s="3">
        <v>2608.0</v>
      </c>
      <c r="C1171" s="1"/>
      <c r="D1171" s="3">
        <v>1.0</v>
      </c>
      <c r="E1171" s="1" t="s">
        <v>436</v>
      </c>
      <c r="F1171" s="3">
        <v>7.0</v>
      </c>
      <c r="G1171" s="3">
        <v>0.0</v>
      </c>
      <c r="H1171" s="1"/>
      <c r="I1171" s="1"/>
      <c r="J1171" s="3">
        <v>1618.0</v>
      </c>
    </row>
    <row r="1172">
      <c r="A1172" s="3">
        <v>2624.0</v>
      </c>
      <c r="B1172" s="3">
        <v>2609.0</v>
      </c>
      <c r="C1172" s="1"/>
      <c r="D1172" s="3">
        <v>1.0</v>
      </c>
      <c r="E1172" s="1" t="s">
        <v>346</v>
      </c>
      <c r="F1172" s="3">
        <v>29.0</v>
      </c>
      <c r="G1172" s="3">
        <v>1.0</v>
      </c>
      <c r="H1172" s="1"/>
      <c r="I1172" s="1"/>
      <c r="J1172" s="3">
        <v>1618.0</v>
      </c>
    </row>
    <row r="1173">
      <c r="A1173" s="3">
        <v>2625.0</v>
      </c>
      <c r="B1173" s="3">
        <v>2610.0</v>
      </c>
      <c r="C1173" s="1"/>
      <c r="D1173" s="3">
        <v>1.0</v>
      </c>
      <c r="E1173" s="1" t="s">
        <v>346</v>
      </c>
      <c r="F1173" s="1" t="s">
        <v>437</v>
      </c>
      <c r="G1173" s="3">
        <v>1.0</v>
      </c>
      <c r="H1173" s="1"/>
      <c r="I1173" s="1"/>
      <c r="J1173" s="3">
        <v>1618.0</v>
      </c>
    </row>
    <row r="1174">
      <c r="A1174" s="3">
        <v>2626.0</v>
      </c>
      <c r="B1174" s="3">
        <v>2611.0</v>
      </c>
      <c r="C1174" s="1"/>
      <c r="D1174" s="3">
        <v>1.0</v>
      </c>
      <c r="E1174" s="1" t="s">
        <v>348</v>
      </c>
      <c r="F1174" s="1" t="s">
        <v>355</v>
      </c>
      <c r="G1174" s="3">
        <v>1.0</v>
      </c>
      <c r="H1174" s="1"/>
      <c r="I1174" s="1"/>
      <c r="J1174" s="3">
        <v>1618.0</v>
      </c>
    </row>
    <row r="1175">
      <c r="A1175" s="3">
        <v>2627.0</v>
      </c>
      <c r="B1175" s="3">
        <v>2612.0</v>
      </c>
      <c r="C1175" s="1"/>
      <c r="D1175" s="3">
        <v>1.0</v>
      </c>
      <c r="E1175" s="1" t="s">
        <v>438</v>
      </c>
      <c r="F1175" s="1"/>
      <c r="G1175" s="3">
        <v>1.0</v>
      </c>
      <c r="H1175" s="1"/>
      <c r="I1175" s="1"/>
      <c r="J1175" s="3">
        <v>1618.0</v>
      </c>
    </row>
    <row r="1176">
      <c r="A1176" s="3">
        <v>2628.0</v>
      </c>
      <c r="B1176" s="3">
        <v>2613.0</v>
      </c>
      <c r="C1176" s="1"/>
      <c r="D1176" s="3">
        <v>1.0</v>
      </c>
      <c r="E1176" s="1" t="s">
        <v>439</v>
      </c>
      <c r="F1176" s="1"/>
      <c r="G1176" s="3">
        <v>1.0</v>
      </c>
      <c r="H1176" s="1"/>
      <c r="I1176" s="1"/>
      <c r="J1176" s="3">
        <v>1618.0</v>
      </c>
    </row>
    <row r="1177">
      <c r="A1177" s="3">
        <v>2629.0</v>
      </c>
      <c r="B1177" s="3">
        <v>2614.0</v>
      </c>
      <c r="C1177" s="1"/>
      <c r="D1177" s="3">
        <v>1.0</v>
      </c>
      <c r="E1177" s="1" t="s">
        <v>440</v>
      </c>
      <c r="F1177" s="3">
        <v>2.0</v>
      </c>
      <c r="G1177" s="3">
        <v>1.0</v>
      </c>
      <c r="H1177" s="1"/>
      <c r="I1177" s="1"/>
      <c r="J1177" s="3">
        <v>1618.0</v>
      </c>
    </row>
    <row r="1178">
      <c r="A1178" s="3">
        <v>2630.0</v>
      </c>
      <c r="B1178" s="3">
        <v>2615.0</v>
      </c>
      <c r="C1178" s="1"/>
      <c r="D1178" s="3">
        <v>1.0</v>
      </c>
      <c r="E1178" s="1" t="s">
        <v>440</v>
      </c>
      <c r="F1178" s="3">
        <v>1.0</v>
      </c>
      <c r="G1178" s="3">
        <v>1.0</v>
      </c>
      <c r="H1178" s="1"/>
      <c r="I1178" s="1"/>
      <c r="J1178" s="3">
        <v>1618.0</v>
      </c>
    </row>
    <row r="1179">
      <c r="A1179" s="3">
        <v>2631.0</v>
      </c>
      <c r="B1179" s="3">
        <v>2616.0</v>
      </c>
      <c r="C1179" s="1"/>
      <c r="D1179" s="3">
        <v>1.0</v>
      </c>
      <c r="E1179" s="1" t="s">
        <v>344</v>
      </c>
      <c r="F1179" s="3">
        <v>3.0</v>
      </c>
      <c r="G1179" s="3">
        <v>1.0</v>
      </c>
      <c r="H1179" s="1"/>
      <c r="I1179" s="1"/>
      <c r="J1179" s="3">
        <v>1618.0</v>
      </c>
    </row>
    <row r="1180">
      <c r="A1180" s="3">
        <v>2632.0</v>
      </c>
      <c r="B1180" s="3">
        <v>2617.0</v>
      </c>
      <c r="C1180" s="1"/>
      <c r="D1180" s="3">
        <v>1.0</v>
      </c>
      <c r="E1180" s="1" t="s">
        <v>441</v>
      </c>
      <c r="F1180" s="3">
        <v>1.0</v>
      </c>
      <c r="G1180" s="3">
        <v>1.0</v>
      </c>
      <c r="H1180" s="1"/>
      <c r="I1180" s="1"/>
      <c r="J1180" s="3">
        <v>1618.0</v>
      </c>
    </row>
    <row r="1181">
      <c r="A1181" s="3">
        <v>2633.0</v>
      </c>
      <c r="B1181" s="3">
        <v>2618.0</v>
      </c>
      <c r="C1181" s="1"/>
      <c r="D1181" s="3">
        <v>1.0</v>
      </c>
      <c r="E1181" s="1" t="s">
        <v>442</v>
      </c>
      <c r="F1181" s="3">
        <v>1.0</v>
      </c>
      <c r="G1181" s="3">
        <v>1.0</v>
      </c>
      <c r="H1181" s="1"/>
      <c r="I1181" s="1"/>
      <c r="J1181" s="3">
        <v>1618.0</v>
      </c>
    </row>
    <row r="1182">
      <c r="A1182" s="3">
        <v>2634.0</v>
      </c>
      <c r="B1182" s="3">
        <v>2619.0</v>
      </c>
      <c r="C1182" s="1"/>
      <c r="D1182" s="3">
        <v>1.0</v>
      </c>
      <c r="E1182" s="1" t="s">
        <v>393</v>
      </c>
      <c r="F1182" s="1" t="s">
        <v>388</v>
      </c>
      <c r="G1182" s="3">
        <v>1.0</v>
      </c>
      <c r="H1182" s="1"/>
      <c r="I1182" s="1"/>
      <c r="J1182" s="3">
        <v>1618.0</v>
      </c>
    </row>
    <row r="1183">
      <c r="A1183" s="3">
        <v>2635.0</v>
      </c>
      <c r="B1183" s="3">
        <v>2620.0</v>
      </c>
      <c r="C1183" s="1"/>
      <c r="D1183" s="3">
        <v>1.0</v>
      </c>
      <c r="E1183" s="1" t="s">
        <v>404</v>
      </c>
      <c r="F1183" s="3">
        <v>1.0</v>
      </c>
      <c r="G1183" s="3">
        <v>1.0</v>
      </c>
      <c r="H1183" s="1"/>
      <c r="I1183" s="1"/>
      <c r="J1183" s="3">
        <v>1618.0</v>
      </c>
    </row>
    <row r="1184">
      <c r="A1184" s="3">
        <v>2636.0</v>
      </c>
      <c r="B1184" s="3">
        <v>2621.0</v>
      </c>
      <c r="C1184" s="1"/>
      <c r="D1184" s="3">
        <v>1.0</v>
      </c>
      <c r="E1184" s="1" t="s">
        <v>404</v>
      </c>
      <c r="F1184" s="3">
        <v>2.0</v>
      </c>
      <c r="G1184" s="3">
        <v>1.0</v>
      </c>
      <c r="H1184" s="1"/>
      <c r="I1184" s="1"/>
      <c r="J1184" s="3">
        <v>1618.0</v>
      </c>
    </row>
    <row r="1185">
      <c r="A1185" s="3">
        <v>2637.0</v>
      </c>
      <c r="B1185" s="3">
        <v>2622.0</v>
      </c>
      <c r="C1185" s="1"/>
      <c r="D1185" s="3">
        <v>1.0</v>
      </c>
      <c r="E1185" s="1" t="s">
        <v>404</v>
      </c>
      <c r="F1185" s="3">
        <v>20.0</v>
      </c>
      <c r="G1185" s="3">
        <v>1.0</v>
      </c>
      <c r="H1185" s="1"/>
      <c r="I1185" s="1"/>
      <c r="J1185" s="3">
        <v>1618.0</v>
      </c>
    </row>
    <row r="1186">
      <c r="A1186" s="3">
        <v>2638.0</v>
      </c>
      <c r="B1186" s="3">
        <v>2623.0</v>
      </c>
      <c r="C1186" s="1"/>
      <c r="D1186" s="3">
        <v>1.0</v>
      </c>
      <c r="E1186" s="1" t="s">
        <v>443</v>
      </c>
      <c r="F1186" s="3">
        <v>1.0</v>
      </c>
      <c r="G1186" s="3">
        <v>1.0</v>
      </c>
      <c r="H1186" s="1"/>
      <c r="I1186" s="1"/>
      <c r="J1186" s="3">
        <v>1618.0</v>
      </c>
    </row>
    <row r="1187">
      <c r="A1187" s="3">
        <v>2639.0</v>
      </c>
      <c r="B1187" s="3">
        <v>2624.0</v>
      </c>
      <c r="C1187" s="1"/>
      <c r="D1187" s="3">
        <v>1.0</v>
      </c>
      <c r="E1187" s="1" t="s">
        <v>395</v>
      </c>
      <c r="F1187" s="3">
        <v>1.0</v>
      </c>
      <c r="G1187" s="3">
        <v>1.0</v>
      </c>
      <c r="H1187" s="1"/>
      <c r="I1187" s="1"/>
      <c r="J1187" s="3">
        <v>1618.0</v>
      </c>
    </row>
    <row r="1188">
      <c r="A1188" s="3">
        <v>2640.0</v>
      </c>
      <c r="B1188" s="3">
        <v>2625.0</v>
      </c>
      <c r="C1188" s="1"/>
      <c r="D1188" s="3">
        <v>1.0</v>
      </c>
      <c r="E1188" s="1" t="s">
        <v>435</v>
      </c>
      <c r="F1188" s="1" t="s">
        <v>355</v>
      </c>
      <c r="G1188" s="3">
        <v>1.0</v>
      </c>
      <c r="H1188" s="1"/>
      <c r="I1188" s="1"/>
      <c r="J1188" s="3">
        <v>1618.0</v>
      </c>
    </row>
    <row r="1189">
      <c r="A1189" s="3">
        <v>2641.0</v>
      </c>
      <c r="B1189" s="3">
        <v>2626.0</v>
      </c>
      <c r="C1189" s="1"/>
      <c r="D1189" s="3">
        <v>1.0</v>
      </c>
      <c r="E1189" s="1" t="s">
        <v>444</v>
      </c>
      <c r="F1189" s="3">
        <v>1.0</v>
      </c>
      <c r="G1189" s="3">
        <v>1.0</v>
      </c>
      <c r="H1189" s="1"/>
      <c r="I1189" s="1"/>
      <c r="J1189" s="3">
        <v>1618.0</v>
      </c>
    </row>
    <row r="1190">
      <c r="A1190" s="3">
        <v>2642.0</v>
      </c>
      <c r="B1190" s="3">
        <v>2627.0</v>
      </c>
      <c r="C1190" s="1"/>
      <c r="D1190" s="3">
        <v>1.0</v>
      </c>
      <c r="E1190" s="1" t="s">
        <v>445</v>
      </c>
      <c r="F1190" s="3">
        <v>2.0</v>
      </c>
      <c r="G1190" s="3">
        <v>1.0</v>
      </c>
      <c r="H1190" s="1"/>
      <c r="I1190" s="1"/>
      <c r="J1190" s="3">
        <v>1618.0</v>
      </c>
    </row>
    <row r="1191">
      <c r="A1191" s="3">
        <v>2221.0</v>
      </c>
      <c r="B1191" s="3">
        <v>65.0</v>
      </c>
      <c r="C1191" s="3">
        <v>70.0</v>
      </c>
      <c r="D1191" s="3">
        <v>2.0</v>
      </c>
      <c r="E1191" s="1" t="s">
        <v>148</v>
      </c>
      <c r="F1191" s="1" t="s">
        <v>24</v>
      </c>
      <c r="G1191" s="3">
        <v>1.0</v>
      </c>
      <c r="H1191" s="3">
        <v>0.0</v>
      </c>
      <c r="I1191" s="4">
        <v>41094.0</v>
      </c>
      <c r="J1191" s="3">
        <v>836.0</v>
      </c>
    </row>
    <row r="1192">
      <c r="A1192" s="3">
        <v>2675.0</v>
      </c>
      <c r="B1192" s="3">
        <v>2660.0</v>
      </c>
      <c r="C1192" s="1"/>
      <c r="D1192" s="3">
        <v>1.0</v>
      </c>
      <c r="E1192" s="2" t="s">
        <v>446</v>
      </c>
      <c r="F1192" s="1"/>
      <c r="G1192" s="3">
        <v>1.0</v>
      </c>
      <c r="H1192" s="1"/>
      <c r="I1192" s="1"/>
      <c r="J1192" s="3">
        <v>1618.0</v>
      </c>
    </row>
    <row r="1193">
      <c r="A1193" s="3">
        <v>2643.0</v>
      </c>
      <c r="B1193" s="3">
        <v>2628.0</v>
      </c>
      <c r="C1193" s="1"/>
      <c r="D1193" s="3">
        <v>1.0</v>
      </c>
      <c r="E1193" s="1" t="s">
        <v>445</v>
      </c>
      <c r="F1193" s="3">
        <v>1.0</v>
      </c>
      <c r="G1193" s="3">
        <v>1.0</v>
      </c>
      <c r="H1193" s="1"/>
      <c r="I1193" s="1"/>
      <c r="J1193" s="3">
        <v>1618.0</v>
      </c>
    </row>
    <row r="1194">
      <c r="A1194" s="3">
        <v>2644.0</v>
      </c>
      <c r="B1194" s="3">
        <v>2629.0</v>
      </c>
      <c r="C1194" s="1"/>
      <c r="D1194" s="3">
        <v>1.0</v>
      </c>
      <c r="E1194" s="1" t="s">
        <v>445</v>
      </c>
      <c r="F1194" s="3">
        <v>3.0</v>
      </c>
      <c r="G1194" s="3">
        <v>1.0</v>
      </c>
      <c r="H1194" s="1"/>
      <c r="I1194" s="1"/>
      <c r="J1194" s="3">
        <v>1618.0</v>
      </c>
    </row>
    <row r="1195">
      <c r="A1195" s="3">
        <v>2645.0</v>
      </c>
      <c r="B1195" s="3">
        <v>2630.0</v>
      </c>
      <c r="C1195" s="1"/>
      <c r="D1195" s="3">
        <v>1.0</v>
      </c>
      <c r="E1195" s="1" t="s">
        <v>433</v>
      </c>
      <c r="F1195" s="3">
        <v>1.0</v>
      </c>
      <c r="G1195" s="3">
        <v>1.0</v>
      </c>
      <c r="H1195" s="1"/>
      <c r="I1195" s="1"/>
      <c r="J1195" s="3">
        <v>1618.0</v>
      </c>
    </row>
    <row r="1196">
      <c r="A1196" s="3">
        <v>2646.0</v>
      </c>
      <c r="B1196" s="3">
        <v>2631.0</v>
      </c>
      <c r="C1196" s="1"/>
      <c r="D1196" s="3">
        <v>1.0</v>
      </c>
      <c r="E1196" s="1" t="s">
        <v>447</v>
      </c>
      <c r="F1196" s="1"/>
      <c r="G1196" s="3">
        <v>1.0</v>
      </c>
      <c r="H1196" s="1"/>
      <c r="I1196" s="1"/>
      <c r="J1196" s="3">
        <v>1618.0</v>
      </c>
    </row>
    <row r="1197">
      <c r="A1197" s="3">
        <v>2647.0</v>
      </c>
      <c r="B1197" s="3">
        <v>2632.0</v>
      </c>
      <c r="C1197" s="1"/>
      <c r="D1197" s="3">
        <v>1.0</v>
      </c>
      <c r="E1197" s="1" t="s">
        <v>448</v>
      </c>
      <c r="F1197" s="3">
        <v>1.0</v>
      </c>
      <c r="G1197" s="3">
        <v>1.0</v>
      </c>
      <c r="H1197" s="1"/>
      <c r="I1197" s="1"/>
      <c r="J1197" s="3">
        <v>1618.0</v>
      </c>
    </row>
    <row r="1198">
      <c r="A1198" s="3">
        <v>2648.0</v>
      </c>
      <c r="B1198" s="3">
        <v>2633.0</v>
      </c>
      <c r="C1198" s="1"/>
      <c r="D1198" s="3">
        <v>1.0</v>
      </c>
      <c r="E1198" s="1" t="s">
        <v>449</v>
      </c>
      <c r="F1198" s="1"/>
      <c r="G1198" s="3">
        <v>1.0</v>
      </c>
      <c r="H1198" s="1"/>
      <c r="I1198" s="1"/>
      <c r="J1198" s="3">
        <v>1618.0</v>
      </c>
    </row>
    <row r="1199">
      <c r="A1199" s="3">
        <v>2649.0</v>
      </c>
      <c r="B1199" s="3">
        <v>2634.0</v>
      </c>
      <c r="C1199" s="1"/>
      <c r="D1199" s="3">
        <v>1.0</v>
      </c>
      <c r="E1199" s="1" t="s">
        <v>450</v>
      </c>
      <c r="F1199" s="3">
        <v>1.0</v>
      </c>
      <c r="G1199" s="3">
        <v>1.0</v>
      </c>
      <c r="H1199" s="1"/>
      <c r="I1199" s="1"/>
      <c r="J1199" s="3">
        <v>1618.0</v>
      </c>
    </row>
    <row r="1200">
      <c r="A1200" s="3">
        <v>2650.0</v>
      </c>
      <c r="B1200" s="3">
        <v>2635.0</v>
      </c>
      <c r="C1200" s="1"/>
      <c r="D1200" s="3">
        <v>1.0</v>
      </c>
      <c r="E1200" s="1" t="s">
        <v>363</v>
      </c>
      <c r="F1200" s="3">
        <v>7.0</v>
      </c>
      <c r="G1200" s="3">
        <v>1.0</v>
      </c>
      <c r="H1200" s="1"/>
      <c r="I1200" s="1"/>
      <c r="J1200" s="3">
        <v>1618.0</v>
      </c>
    </row>
    <row r="1201">
      <c r="A1201" s="3">
        <v>2651.0</v>
      </c>
      <c r="B1201" s="3">
        <v>2636.0</v>
      </c>
      <c r="C1201" s="1"/>
      <c r="D1201" s="3">
        <v>1.0</v>
      </c>
      <c r="E1201" s="1" t="s">
        <v>363</v>
      </c>
      <c r="F1201" s="3">
        <v>8.0</v>
      </c>
      <c r="G1201" s="3">
        <v>1.0</v>
      </c>
      <c r="H1201" s="1"/>
      <c r="I1201" s="1"/>
      <c r="J1201" s="3">
        <v>1618.0</v>
      </c>
    </row>
    <row r="1202">
      <c r="A1202" s="3">
        <v>2652.0</v>
      </c>
      <c r="B1202" s="3">
        <v>2637.0</v>
      </c>
      <c r="C1202" s="1"/>
      <c r="D1202" s="3">
        <v>1.0</v>
      </c>
      <c r="E1202" s="1" t="s">
        <v>363</v>
      </c>
      <c r="F1202" s="3">
        <v>9.0</v>
      </c>
      <c r="G1202" s="3">
        <v>1.0</v>
      </c>
      <c r="H1202" s="1"/>
      <c r="I1202" s="1"/>
      <c r="J1202" s="3">
        <v>1618.0</v>
      </c>
    </row>
    <row r="1203">
      <c r="A1203" s="3">
        <v>2653.0</v>
      </c>
      <c r="B1203" s="3">
        <v>2638.0</v>
      </c>
      <c r="C1203" s="1"/>
      <c r="D1203" s="3">
        <v>1.0</v>
      </c>
      <c r="E1203" s="1" t="s">
        <v>363</v>
      </c>
      <c r="F1203" s="3">
        <v>10.0</v>
      </c>
      <c r="G1203" s="3">
        <v>1.0</v>
      </c>
      <c r="H1203" s="1"/>
      <c r="I1203" s="1"/>
      <c r="J1203" s="3">
        <v>1618.0</v>
      </c>
    </row>
    <row r="1204">
      <c r="A1204" s="3">
        <v>2654.0</v>
      </c>
      <c r="B1204" s="3">
        <v>2639.0</v>
      </c>
      <c r="C1204" s="1"/>
      <c r="D1204" s="3">
        <v>1.0</v>
      </c>
      <c r="E1204" s="1" t="s">
        <v>363</v>
      </c>
      <c r="F1204" s="3">
        <v>11.0</v>
      </c>
      <c r="G1204" s="3">
        <v>1.0</v>
      </c>
      <c r="H1204" s="1"/>
      <c r="I1204" s="1"/>
      <c r="J1204" s="3">
        <v>1618.0</v>
      </c>
    </row>
    <row r="1205">
      <c r="A1205" s="3">
        <v>2655.0</v>
      </c>
      <c r="B1205" s="3">
        <v>2640.0</v>
      </c>
      <c r="C1205" s="1"/>
      <c r="D1205" s="3">
        <v>1.0</v>
      </c>
      <c r="E1205" s="2" t="s">
        <v>451</v>
      </c>
      <c r="F1205" s="1"/>
      <c r="G1205" s="3">
        <v>1.0</v>
      </c>
      <c r="H1205" s="1"/>
      <c r="I1205" s="1"/>
      <c r="J1205" s="3">
        <v>1618.0</v>
      </c>
    </row>
    <row r="1206">
      <c r="A1206" s="3">
        <v>2656.0</v>
      </c>
      <c r="B1206" s="3">
        <v>2641.0</v>
      </c>
      <c r="C1206" s="1"/>
      <c r="D1206" s="3">
        <v>1.0</v>
      </c>
      <c r="E1206" s="1" t="s">
        <v>452</v>
      </c>
      <c r="F1206" s="3">
        <v>1.0</v>
      </c>
      <c r="G1206" s="3">
        <v>1.0</v>
      </c>
      <c r="H1206" s="1"/>
      <c r="I1206" s="1"/>
      <c r="J1206" s="3">
        <v>1618.0</v>
      </c>
    </row>
    <row r="1207">
      <c r="A1207" s="3">
        <v>2657.0</v>
      </c>
      <c r="B1207" s="3">
        <v>2642.0</v>
      </c>
      <c r="C1207" s="1"/>
      <c r="D1207" s="3">
        <v>1.0</v>
      </c>
      <c r="E1207" s="1" t="s">
        <v>452</v>
      </c>
      <c r="F1207" s="3">
        <v>2.0</v>
      </c>
      <c r="G1207" s="3">
        <v>1.0</v>
      </c>
      <c r="H1207" s="1"/>
      <c r="I1207" s="1"/>
      <c r="J1207" s="3">
        <v>1618.0</v>
      </c>
    </row>
    <row r="1208">
      <c r="A1208" s="3">
        <v>2658.0</v>
      </c>
      <c r="B1208" s="3">
        <v>2643.0</v>
      </c>
      <c r="C1208" s="1"/>
      <c r="D1208" s="3">
        <v>1.0</v>
      </c>
      <c r="E1208" s="1" t="s">
        <v>406</v>
      </c>
      <c r="F1208" s="1" t="s">
        <v>355</v>
      </c>
      <c r="G1208" s="3">
        <v>1.0</v>
      </c>
      <c r="H1208" s="1"/>
      <c r="I1208" s="1"/>
      <c r="J1208" s="3">
        <v>1618.0</v>
      </c>
    </row>
    <row r="1209">
      <c r="A1209" s="3">
        <v>2659.0</v>
      </c>
      <c r="B1209" s="3">
        <v>2644.0</v>
      </c>
      <c r="C1209" s="1"/>
      <c r="D1209" s="3">
        <v>1.0</v>
      </c>
      <c r="E1209" s="1" t="s">
        <v>453</v>
      </c>
      <c r="F1209" s="1"/>
      <c r="G1209" s="3">
        <v>1.0</v>
      </c>
      <c r="H1209" s="1"/>
      <c r="I1209" s="1"/>
      <c r="J1209" s="3">
        <v>1618.0</v>
      </c>
    </row>
    <row r="1210">
      <c r="A1210" s="3">
        <v>2660.0</v>
      </c>
      <c r="B1210" s="3">
        <v>2645.0</v>
      </c>
      <c r="C1210" s="1"/>
      <c r="D1210" s="3">
        <v>1.0</v>
      </c>
      <c r="E1210" s="1" t="s">
        <v>454</v>
      </c>
      <c r="F1210" s="3">
        <v>1.0</v>
      </c>
      <c r="G1210" s="3">
        <v>1.0</v>
      </c>
      <c r="H1210" s="1"/>
      <c r="I1210" s="1"/>
      <c r="J1210" s="3">
        <v>1618.0</v>
      </c>
    </row>
    <row r="1211">
      <c r="A1211" s="3">
        <v>2661.0</v>
      </c>
      <c r="B1211" s="3">
        <v>2646.0</v>
      </c>
      <c r="C1211" s="1"/>
      <c r="D1211" s="3">
        <v>1.0</v>
      </c>
      <c r="E1211" s="1" t="s">
        <v>454</v>
      </c>
      <c r="F1211" s="1" t="s">
        <v>355</v>
      </c>
      <c r="G1211" s="3">
        <v>1.0</v>
      </c>
      <c r="H1211" s="1"/>
      <c r="I1211" s="1"/>
      <c r="J1211" s="3">
        <v>1618.0</v>
      </c>
    </row>
    <row r="1212">
      <c r="A1212" s="3">
        <v>2662.0</v>
      </c>
      <c r="B1212" s="3">
        <v>2647.0</v>
      </c>
      <c r="C1212" s="1"/>
      <c r="D1212" s="3">
        <v>1.0</v>
      </c>
      <c r="E1212" s="1" t="s">
        <v>454</v>
      </c>
      <c r="F1212" s="1" t="s">
        <v>388</v>
      </c>
      <c r="G1212" s="3">
        <v>1.0</v>
      </c>
      <c r="H1212" s="1"/>
      <c r="I1212" s="1"/>
      <c r="J1212" s="3">
        <v>1618.0</v>
      </c>
    </row>
    <row r="1213">
      <c r="A1213" s="3">
        <v>2663.0</v>
      </c>
      <c r="B1213" s="3">
        <v>2648.0</v>
      </c>
      <c r="C1213" s="1"/>
      <c r="D1213" s="3">
        <v>1.0</v>
      </c>
      <c r="E1213" s="1" t="s">
        <v>454</v>
      </c>
      <c r="F1213" s="1" t="s">
        <v>389</v>
      </c>
      <c r="G1213" s="3">
        <v>1.0</v>
      </c>
      <c r="H1213" s="1"/>
      <c r="I1213" s="1"/>
      <c r="J1213" s="3">
        <v>1618.0</v>
      </c>
    </row>
    <row r="1214">
      <c r="A1214" s="3">
        <v>2664.0</v>
      </c>
      <c r="B1214" s="3">
        <v>2649.0</v>
      </c>
      <c r="C1214" s="1"/>
      <c r="D1214" s="3">
        <v>1.0</v>
      </c>
      <c r="E1214" s="1" t="s">
        <v>454</v>
      </c>
      <c r="F1214" s="1" t="s">
        <v>455</v>
      </c>
      <c r="G1214" s="3">
        <v>1.0</v>
      </c>
      <c r="H1214" s="1"/>
      <c r="I1214" s="1"/>
      <c r="J1214" s="3">
        <v>1618.0</v>
      </c>
    </row>
    <row r="1215">
      <c r="A1215" s="3">
        <v>2665.0</v>
      </c>
      <c r="B1215" s="3">
        <v>2650.0</v>
      </c>
      <c r="C1215" s="1"/>
      <c r="D1215" s="3">
        <v>1.0</v>
      </c>
      <c r="E1215" s="1" t="s">
        <v>454</v>
      </c>
      <c r="F1215" s="1" t="s">
        <v>456</v>
      </c>
      <c r="G1215" s="3">
        <v>1.0</v>
      </c>
      <c r="H1215" s="1"/>
      <c r="I1215" s="1"/>
      <c r="J1215" s="3">
        <v>1618.0</v>
      </c>
    </row>
    <row r="1216">
      <c r="A1216" s="3">
        <v>2666.0</v>
      </c>
      <c r="B1216" s="3">
        <v>2651.0</v>
      </c>
      <c r="C1216" s="1"/>
      <c r="D1216" s="3">
        <v>1.0</v>
      </c>
      <c r="E1216" s="1" t="s">
        <v>454</v>
      </c>
      <c r="F1216" s="3">
        <v>2.0</v>
      </c>
      <c r="G1216" s="3">
        <v>1.0</v>
      </c>
      <c r="H1216" s="1"/>
      <c r="I1216" s="1"/>
      <c r="J1216" s="3">
        <v>1618.0</v>
      </c>
    </row>
    <row r="1217">
      <c r="A1217" s="3">
        <v>2667.0</v>
      </c>
      <c r="B1217" s="3">
        <v>2652.0</v>
      </c>
      <c r="C1217" s="1"/>
      <c r="D1217" s="3">
        <v>1.0</v>
      </c>
      <c r="E1217" s="1" t="s">
        <v>454</v>
      </c>
      <c r="F1217" s="3">
        <v>3.0</v>
      </c>
      <c r="G1217" s="3">
        <v>1.0</v>
      </c>
      <c r="H1217" s="1"/>
      <c r="I1217" s="1"/>
      <c r="J1217" s="3">
        <v>1618.0</v>
      </c>
    </row>
    <row r="1218">
      <c r="A1218" s="3">
        <v>2668.0</v>
      </c>
      <c r="B1218" s="3">
        <v>2653.0</v>
      </c>
      <c r="C1218" s="1"/>
      <c r="D1218" s="3">
        <v>1.0</v>
      </c>
      <c r="E1218" s="1" t="s">
        <v>454</v>
      </c>
      <c r="F1218" s="3">
        <v>4.0</v>
      </c>
      <c r="G1218" s="3">
        <v>1.0</v>
      </c>
      <c r="H1218" s="1"/>
      <c r="I1218" s="1"/>
      <c r="J1218" s="3">
        <v>1618.0</v>
      </c>
    </row>
    <row r="1219">
      <c r="A1219" s="3">
        <v>2669.0</v>
      </c>
      <c r="B1219" s="3">
        <v>2654.0</v>
      </c>
      <c r="C1219" s="1"/>
      <c r="D1219" s="3">
        <v>1.0</v>
      </c>
      <c r="E1219" s="1" t="s">
        <v>454</v>
      </c>
      <c r="F1219" s="3">
        <v>5.0</v>
      </c>
      <c r="G1219" s="3">
        <v>1.0</v>
      </c>
      <c r="H1219" s="1"/>
      <c r="I1219" s="1"/>
      <c r="J1219" s="3">
        <v>1618.0</v>
      </c>
    </row>
    <row r="1220">
      <c r="A1220" s="3">
        <v>2670.0</v>
      </c>
      <c r="B1220" s="3">
        <v>2655.0</v>
      </c>
      <c r="C1220" s="1"/>
      <c r="D1220" s="3">
        <v>1.0</v>
      </c>
      <c r="E1220" s="1" t="s">
        <v>457</v>
      </c>
      <c r="F1220" s="3">
        <v>1.0</v>
      </c>
      <c r="G1220" s="3">
        <v>1.0</v>
      </c>
      <c r="H1220" s="1"/>
      <c r="I1220" s="1"/>
      <c r="J1220" s="3">
        <v>1618.0</v>
      </c>
    </row>
    <row r="1221">
      <c r="A1221" s="3">
        <v>2671.0</v>
      </c>
      <c r="B1221" s="3">
        <v>2656.0</v>
      </c>
      <c r="C1221" s="1"/>
      <c r="D1221" s="3">
        <v>1.0</v>
      </c>
      <c r="E1221" s="1" t="s">
        <v>458</v>
      </c>
      <c r="F1221" s="3">
        <v>1.0</v>
      </c>
      <c r="G1221" s="3">
        <v>1.0</v>
      </c>
      <c r="H1221" s="1"/>
      <c r="I1221" s="1"/>
      <c r="J1221" s="3">
        <v>1618.0</v>
      </c>
    </row>
    <row r="1222">
      <c r="A1222" s="3">
        <v>2672.0</v>
      </c>
      <c r="B1222" s="3">
        <v>2657.0</v>
      </c>
      <c r="C1222" s="1"/>
      <c r="D1222" s="3">
        <v>1.0</v>
      </c>
      <c r="E1222" s="1" t="s">
        <v>454</v>
      </c>
      <c r="F1222" s="3">
        <v>6.0</v>
      </c>
      <c r="G1222" s="3">
        <v>1.0</v>
      </c>
      <c r="H1222" s="1"/>
      <c r="I1222" s="1"/>
      <c r="J1222" s="3">
        <v>1618.0</v>
      </c>
    </row>
    <row r="1223">
      <c r="A1223" s="3">
        <v>2673.0</v>
      </c>
      <c r="B1223" s="3">
        <v>2658.0</v>
      </c>
      <c r="C1223" s="1"/>
      <c r="D1223" s="3">
        <v>1.0</v>
      </c>
      <c r="E1223" s="1" t="s">
        <v>459</v>
      </c>
      <c r="F1223" s="3">
        <v>1.0</v>
      </c>
      <c r="G1223" s="3">
        <v>1.0</v>
      </c>
      <c r="H1223" s="1"/>
      <c r="I1223" s="1"/>
      <c r="J1223" s="3">
        <v>1618.0</v>
      </c>
    </row>
    <row r="1224">
      <c r="A1224" s="3">
        <v>2674.0</v>
      </c>
      <c r="B1224" s="3">
        <v>2659.0</v>
      </c>
      <c r="C1224" s="1"/>
      <c r="D1224" s="3">
        <v>1.0</v>
      </c>
      <c r="E1224" s="1" t="s">
        <v>460</v>
      </c>
      <c r="F1224" s="3">
        <v>1.0</v>
      </c>
      <c r="G1224" s="3">
        <v>1.0</v>
      </c>
      <c r="H1224" s="1"/>
      <c r="I1224" s="1"/>
      <c r="J1224" s="3">
        <v>1618.0</v>
      </c>
    </row>
    <row r="1225">
      <c r="A1225" s="3">
        <v>2676.0</v>
      </c>
      <c r="B1225" s="3">
        <v>2661.0</v>
      </c>
      <c r="C1225" s="1"/>
      <c r="D1225" s="3">
        <v>1.0</v>
      </c>
      <c r="E1225" s="1" t="s">
        <v>461</v>
      </c>
      <c r="F1225" s="3">
        <v>1.0</v>
      </c>
      <c r="G1225" s="3">
        <v>1.0</v>
      </c>
      <c r="H1225" s="1"/>
      <c r="I1225" s="1"/>
      <c r="J1225" s="3">
        <v>1618.0</v>
      </c>
    </row>
    <row r="1226">
      <c r="A1226" s="3">
        <v>2677.0</v>
      </c>
      <c r="B1226" s="3">
        <v>2662.0</v>
      </c>
      <c r="C1226" s="1"/>
      <c r="D1226" s="3">
        <v>1.0</v>
      </c>
      <c r="E1226" s="1" t="s">
        <v>461</v>
      </c>
      <c r="F1226" s="3">
        <v>2.0</v>
      </c>
      <c r="G1226" s="3">
        <v>1.0</v>
      </c>
      <c r="H1226" s="1"/>
      <c r="I1226" s="1"/>
      <c r="J1226" s="3">
        <v>1618.0</v>
      </c>
    </row>
    <row r="1227">
      <c r="A1227" s="3">
        <v>2678.0</v>
      </c>
      <c r="B1227" s="3">
        <v>2663.0</v>
      </c>
      <c r="C1227" s="1"/>
      <c r="D1227" s="3">
        <v>1.0</v>
      </c>
      <c r="E1227" s="1" t="s">
        <v>461</v>
      </c>
      <c r="F1227" s="3">
        <v>3.0</v>
      </c>
      <c r="G1227" s="3">
        <v>1.0</v>
      </c>
      <c r="H1227" s="1"/>
      <c r="I1227" s="1"/>
      <c r="J1227" s="3">
        <v>1618.0</v>
      </c>
    </row>
    <row r="1228">
      <c r="A1228" s="3">
        <v>2679.0</v>
      </c>
      <c r="B1228" s="3">
        <v>2664.0</v>
      </c>
      <c r="C1228" s="1"/>
      <c r="D1228" s="3">
        <v>1.0</v>
      </c>
      <c r="E1228" s="1" t="s">
        <v>461</v>
      </c>
      <c r="F1228" s="3">
        <v>4.0</v>
      </c>
      <c r="G1228" s="3">
        <v>1.0</v>
      </c>
      <c r="H1228" s="1"/>
      <c r="I1228" s="1"/>
      <c r="J1228" s="3">
        <v>1618.0</v>
      </c>
    </row>
    <row r="1229">
      <c r="A1229" s="3">
        <v>2680.0</v>
      </c>
      <c r="B1229" s="3">
        <v>2665.0</v>
      </c>
      <c r="C1229" s="1"/>
      <c r="D1229" s="3">
        <v>1.0</v>
      </c>
      <c r="E1229" s="1" t="s">
        <v>461</v>
      </c>
      <c r="F1229" s="3">
        <v>5.0</v>
      </c>
      <c r="G1229" s="3">
        <v>1.0</v>
      </c>
      <c r="H1229" s="1"/>
      <c r="I1229" s="1"/>
      <c r="J1229" s="3">
        <v>1618.0</v>
      </c>
    </row>
    <row r="1230">
      <c r="A1230" s="3">
        <v>2681.0</v>
      </c>
      <c r="B1230" s="3">
        <v>2666.0</v>
      </c>
      <c r="C1230" s="1"/>
      <c r="D1230" s="3">
        <v>1.0</v>
      </c>
      <c r="E1230" s="1" t="s">
        <v>379</v>
      </c>
      <c r="F1230" s="3">
        <v>2.0</v>
      </c>
      <c r="G1230" s="3">
        <v>1.0</v>
      </c>
      <c r="H1230" s="1"/>
      <c r="I1230" s="1"/>
      <c r="J1230" s="3">
        <v>1618.0</v>
      </c>
    </row>
    <row r="1231">
      <c r="A1231" s="3">
        <v>2682.0</v>
      </c>
      <c r="B1231" s="3">
        <v>2667.0</v>
      </c>
      <c r="C1231" s="1"/>
      <c r="D1231" s="3">
        <v>1.0</v>
      </c>
      <c r="E1231" s="1" t="s">
        <v>379</v>
      </c>
      <c r="F1231" s="3">
        <v>3.0</v>
      </c>
      <c r="G1231" s="3">
        <v>1.0</v>
      </c>
      <c r="H1231" s="1"/>
      <c r="I1231" s="1"/>
      <c r="J1231" s="3">
        <v>1618.0</v>
      </c>
    </row>
    <row r="1232">
      <c r="A1232" s="3">
        <v>2683.0</v>
      </c>
      <c r="B1232" s="3">
        <v>2668.0</v>
      </c>
      <c r="C1232" s="1"/>
      <c r="D1232" s="3">
        <v>1.0</v>
      </c>
      <c r="E1232" s="1" t="s">
        <v>379</v>
      </c>
      <c r="F1232" s="3">
        <v>4.0</v>
      </c>
      <c r="G1232" s="3">
        <v>1.0</v>
      </c>
      <c r="H1232" s="1"/>
      <c r="I1232" s="1"/>
      <c r="J1232" s="3">
        <v>1618.0</v>
      </c>
    </row>
    <row r="1233">
      <c r="A1233" s="3">
        <v>2684.0</v>
      </c>
      <c r="B1233" s="3">
        <v>2669.0</v>
      </c>
      <c r="C1233" s="1"/>
      <c r="D1233" s="3">
        <v>1.0</v>
      </c>
      <c r="E1233" s="1" t="s">
        <v>462</v>
      </c>
      <c r="F1233" s="1"/>
      <c r="G1233" s="3">
        <v>1.0</v>
      </c>
      <c r="H1233" s="1"/>
      <c r="I1233" s="1"/>
      <c r="J1233" s="3">
        <v>1618.0</v>
      </c>
    </row>
    <row r="1234">
      <c r="A1234" s="3">
        <v>2685.0</v>
      </c>
      <c r="B1234" s="3">
        <v>2670.0</v>
      </c>
      <c r="C1234" s="1"/>
      <c r="D1234" s="3">
        <v>1.0</v>
      </c>
      <c r="E1234" s="1" t="s">
        <v>346</v>
      </c>
      <c r="F1234" s="1" t="s">
        <v>367</v>
      </c>
      <c r="G1234" s="3">
        <v>1.0</v>
      </c>
      <c r="H1234" s="1"/>
      <c r="I1234" s="1"/>
      <c r="J1234" s="3">
        <v>1618.0</v>
      </c>
    </row>
    <row r="1235">
      <c r="A1235" s="3">
        <v>2686.0</v>
      </c>
      <c r="B1235" s="3">
        <v>2671.0</v>
      </c>
      <c r="C1235" s="1"/>
      <c r="D1235" s="3">
        <v>1.0</v>
      </c>
      <c r="E1235" s="1" t="s">
        <v>344</v>
      </c>
      <c r="F1235" s="3">
        <v>2.0</v>
      </c>
      <c r="G1235" s="3">
        <v>1.0</v>
      </c>
      <c r="H1235" s="1"/>
      <c r="I1235" s="1"/>
      <c r="J1235" s="3">
        <v>1618.0</v>
      </c>
    </row>
    <row r="1236">
      <c r="A1236" s="3">
        <v>2687.0</v>
      </c>
      <c r="B1236" s="3">
        <v>2672.0</v>
      </c>
      <c r="C1236" s="1"/>
      <c r="D1236" s="3">
        <v>1.0</v>
      </c>
      <c r="E1236" s="1" t="s">
        <v>380</v>
      </c>
      <c r="F1236" s="3">
        <v>13.0</v>
      </c>
      <c r="G1236" s="3">
        <v>1.0</v>
      </c>
      <c r="H1236" s="1"/>
      <c r="I1236" s="1"/>
      <c r="J1236" s="3">
        <v>1618.0</v>
      </c>
    </row>
    <row r="1237">
      <c r="A1237" s="3">
        <v>2688.0</v>
      </c>
      <c r="B1237" s="3">
        <v>2673.0</v>
      </c>
      <c r="C1237" s="1"/>
      <c r="D1237" s="3">
        <v>1.0</v>
      </c>
      <c r="E1237" s="1" t="s">
        <v>380</v>
      </c>
      <c r="F1237" s="3">
        <v>14.0</v>
      </c>
      <c r="G1237" s="3">
        <v>1.0</v>
      </c>
      <c r="H1237" s="1"/>
      <c r="I1237" s="1"/>
      <c r="J1237" s="3">
        <v>1618.0</v>
      </c>
    </row>
    <row r="1238">
      <c r="A1238" s="3">
        <v>2689.0</v>
      </c>
      <c r="B1238" s="3">
        <v>2674.0</v>
      </c>
      <c r="C1238" s="1"/>
      <c r="D1238" s="3">
        <v>1.0</v>
      </c>
      <c r="E1238" s="1" t="s">
        <v>380</v>
      </c>
      <c r="F1238" s="3">
        <v>15.0</v>
      </c>
      <c r="G1238" s="3">
        <v>1.0</v>
      </c>
      <c r="H1238" s="1"/>
      <c r="I1238" s="1"/>
      <c r="J1238" s="3">
        <v>1618.0</v>
      </c>
    </row>
    <row r="1239">
      <c r="A1239" s="3">
        <v>2690.0</v>
      </c>
      <c r="B1239" s="3">
        <v>2675.0</v>
      </c>
      <c r="C1239" s="1"/>
      <c r="D1239" s="3">
        <v>1.0</v>
      </c>
      <c r="E1239" s="1" t="s">
        <v>380</v>
      </c>
      <c r="F1239" s="3">
        <v>16.0</v>
      </c>
      <c r="G1239" s="3">
        <v>1.0</v>
      </c>
      <c r="H1239" s="1"/>
      <c r="I1239" s="1"/>
      <c r="J1239" s="3">
        <v>1618.0</v>
      </c>
    </row>
    <row r="1240">
      <c r="A1240" s="3">
        <v>2691.0</v>
      </c>
      <c r="B1240" s="3">
        <v>2676.0</v>
      </c>
      <c r="C1240" s="1"/>
      <c r="D1240" s="3">
        <v>1.0</v>
      </c>
      <c r="E1240" s="1" t="s">
        <v>380</v>
      </c>
      <c r="F1240" s="3">
        <v>17.0</v>
      </c>
      <c r="G1240" s="3">
        <v>1.0</v>
      </c>
      <c r="H1240" s="1"/>
      <c r="I1240" s="1"/>
      <c r="J1240" s="3">
        <v>1618.0</v>
      </c>
    </row>
    <row r="1241">
      <c r="A1241" s="3">
        <v>2692.0</v>
      </c>
      <c r="B1241" s="3">
        <v>2677.0</v>
      </c>
      <c r="C1241" s="1"/>
      <c r="D1241" s="3">
        <v>1.0</v>
      </c>
      <c r="E1241" s="1" t="s">
        <v>380</v>
      </c>
      <c r="F1241" s="3">
        <v>19.0</v>
      </c>
      <c r="G1241" s="3">
        <v>1.0</v>
      </c>
      <c r="H1241" s="1"/>
      <c r="I1241" s="1"/>
      <c r="J1241" s="3">
        <v>1618.0</v>
      </c>
    </row>
    <row r="1242">
      <c r="A1242" s="3">
        <v>2693.0</v>
      </c>
      <c r="B1242" s="3">
        <v>2678.0</v>
      </c>
      <c r="C1242" s="1"/>
      <c r="D1242" s="3">
        <v>1.0</v>
      </c>
      <c r="E1242" s="1" t="s">
        <v>463</v>
      </c>
      <c r="F1242" s="3">
        <v>1.0</v>
      </c>
      <c r="G1242" s="3">
        <v>1.0</v>
      </c>
      <c r="H1242" s="1"/>
      <c r="I1242" s="1"/>
      <c r="J1242" s="3">
        <v>1618.0</v>
      </c>
    </row>
    <row r="1243">
      <c r="A1243" s="3">
        <v>2694.0</v>
      </c>
      <c r="B1243" s="3">
        <v>2679.0</v>
      </c>
      <c r="C1243" s="1"/>
      <c r="D1243" s="3">
        <v>1.0</v>
      </c>
      <c r="E1243" s="1" t="s">
        <v>463</v>
      </c>
      <c r="F1243" s="3">
        <v>2.0</v>
      </c>
      <c r="G1243" s="3">
        <v>1.0</v>
      </c>
      <c r="H1243" s="1"/>
      <c r="I1243" s="1"/>
      <c r="J1243" s="3">
        <v>1618.0</v>
      </c>
    </row>
    <row r="1244">
      <c r="A1244" s="3">
        <v>2695.0</v>
      </c>
      <c r="B1244" s="3">
        <v>2680.0</v>
      </c>
      <c r="C1244" s="1"/>
      <c r="D1244" s="3">
        <v>1.0</v>
      </c>
      <c r="E1244" s="1" t="s">
        <v>464</v>
      </c>
      <c r="F1244" s="3">
        <v>1.0</v>
      </c>
      <c r="G1244" s="3">
        <v>1.0</v>
      </c>
      <c r="H1244" s="1"/>
      <c r="I1244" s="1"/>
      <c r="J1244" s="3">
        <v>1618.0</v>
      </c>
    </row>
    <row r="1245">
      <c r="A1245" s="3">
        <v>2696.0</v>
      </c>
      <c r="B1245" s="3">
        <v>2681.0</v>
      </c>
      <c r="C1245" s="1"/>
      <c r="D1245" s="3">
        <v>1.0</v>
      </c>
      <c r="E1245" s="1" t="s">
        <v>464</v>
      </c>
      <c r="F1245" s="3">
        <v>2.0</v>
      </c>
      <c r="G1245" s="3">
        <v>1.0</v>
      </c>
      <c r="H1245" s="1"/>
      <c r="I1245" s="1"/>
      <c r="J1245" s="3">
        <v>1618.0</v>
      </c>
    </row>
    <row r="1246">
      <c r="A1246" s="3">
        <v>2697.0</v>
      </c>
      <c r="B1246" s="3">
        <v>2682.0</v>
      </c>
      <c r="C1246" s="1"/>
      <c r="D1246" s="3">
        <v>1.0</v>
      </c>
      <c r="E1246" s="1" t="s">
        <v>464</v>
      </c>
      <c r="F1246" s="3">
        <v>3.0</v>
      </c>
      <c r="G1246" s="3">
        <v>0.0</v>
      </c>
      <c r="H1246" s="1"/>
      <c r="I1246" s="1"/>
      <c r="J1246" s="3">
        <v>1618.0</v>
      </c>
    </row>
    <row r="1247">
      <c r="A1247" s="3">
        <v>2698.0</v>
      </c>
      <c r="B1247" s="3">
        <v>2683.0</v>
      </c>
      <c r="C1247" s="1"/>
      <c r="D1247" s="3">
        <v>1.0</v>
      </c>
      <c r="E1247" s="1" t="s">
        <v>464</v>
      </c>
      <c r="F1247" s="3">
        <v>4.0</v>
      </c>
      <c r="G1247" s="3">
        <v>1.0</v>
      </c>
      <c r="H1247" s="1"/>
      <c r="I1247" s="1"/>
      <c r="J1247" s="3">
        <v>1618.0</v>
      </c>
    </row>
    <row r="1248">
      <c r="A1248" s="3">
        <v>2699.0</v>
      </c>
      <c r="B1248" s="3">
        <v>2684.0</v>
      </c>
      <c r="C1248" s="1"/>
      <c r="D1248" s="3">
        <v>1.0</v>
      </c>
      <c r="E1248" s="1" t="s">
        <v>464</v>
      </c>
      <c r="F1248" s="3">
        <v>5.0</v>
      </c>
      <c r="G1248" s="3">
        <v>1.0</v>
      </c>
      <c r="H1248" s="1"/>
      <c r="I1248" s="1"/>
      <c r="J1248" s="3">
        <v>1618.0</v>
      </c>
    </row>
    <row r="1249">
      <c r="A1249" s="3">
        <v>2700.0</v>
      </c>
      <c r="B1249" s="3">
        <v>2685.0</v>
      </c>
      <c r="C1249" s="1"/>
      <c r="D1249" s="3">
        <v>1.0</v>
      </c>
      <c r="E1249" s="1" t="s">
        <v>464</v>
      </c>
      <c r="F1249" s="3">
        <v>6.0</v>
      </c>
      <c r="G1249" s="3">
        <v>1.0</v>
      </c>
      <c r="H1249" s="1"/>
      <c r="I1249" s="1"/>
      <c r="J1249" s="3">
        <v>1618.0</v>
      </c>
    </row>
    <row r="1250">
      <c r="A1250" s="3">
        <v>2701.0</v>
      </c>
      <c r="B1250" s="3">
        <v>2686.0</v>
      </c>
      <c r="C1250" s="1"/>
      <c r="D1250" s="3">
        <v>1.0</v>
      </c>
      <c r="E1250" s="1" t="s">
        <v>464</v>
      </c>
      <c r="F1250" s="3">
        <v>7.0</v>
      </c>
      <c r="G1250" s="3">
        <v>1.0</v>
      </c>
      <c r="H1250" s="1"/>
      <c r="I1250" s="1"/>
      <c r="J1250" s="3">
        <v>1618.0</v>
      </c>
    </row>
    <row r="1251">
      <c r="A1251" s="3">
        <v>2702.0</v>
      </c>
      <c r="B1251" s="3">
        <v>2687.0</v>
      </c>
      <c r="C1251" s="1"/>
      <c r="D1251" s="3">
        <v>1.0</v>
      </c>
      <c r="E1251" s="1" t="s">
        <v>464</v>
      </c>
      <c r="F1251" s="3">
        <v>8.0</v>
      </c>
      <c r="G1251" s="3">
        <v>1.0</v>
      </c>
      <c r="H1251" s="1"/>
      <c r="I1251" s="1"/>
      <c r="J1251" s="3">
        <v>1618.0</v>
      </c>
    </row>
    <row r="1252">
      <c r="A1252" s="3">
        <v>2703.0</v>
      </c>
      <c r="B1252" s="3">
        <v>2688.0</v>
      </c>
      <c r="C1252" s="1"/>
      <c r="D1252" s="3">
        <v>1.0</v>
      </c>
      <c r="E1252" s="1" t="s">
        <v>464</v>
      </c>
      <c r="F1252" s="3">
        <v>9.0</v>
      </c>
      <c r="G1252" s="3">
        <v>1.0</v>
      </c>
      <c r="H1252" s="1"/>
      <c r="I1252" s="1"/>
      <c r="J1252" s="3">
        <v>1618.0</v>
      </c>
    </row>
    <row r="1253">
      <c r="A1253" s="3">
        <v>2704.0</v>
      </c>
      <c r="B1253" s="3">
        <v>2689.0</v>
      </c>
      <c r="C1253" s="1"/>
      <c r="D1253" s="3">
        <v>1.0</v>
      </c>
      <c r="E1253" s="1" t="s">
        <v>464</v>
      </c>
      <c r="F1253" s="3">
        <v>10.0</v>
      </c>
      <c r="G1253" s="3">
        <v>1.0</v>
      </c>
      <c r="H1253" s="1"/>
      <c r="I1253" s="1"/>
      <c r="J1253" s="3">
        <v>1618.0</v>
      </c>
    </row>
    <row r="1254">
      <c r="A1254" s="3">
        <v>2705.0</v>
      </c>
      <c r="B1254" s="3">
        <v>2690.0</v>
      </c>
      <c r="C1254" s="1"/>
      <c r="D1254" s="3">
        <v>1.0</v>
      </c>
      <c r="E1254" s="1" t="s">
        <v>464</v>
      </c>
      <c r="F1254" s="3">
        <v>11.0</v>
      </c>
      <c r="G1254" s="3">
        <v>1.0</v>
      </c>
      <c r="H1254" s="1"/>
      <c r="I1254" s="1"/>
      <c r="J1254" s="3">
        <v>1618.0</v>
      </c>
    </row>
    <row r="1255">
      <c r="A1255" s="3">
        <v>2706.0</v>
      </c>
      <c r="B1255" s="3">
        <v>2691.0</v>
      </c>
      <c r="C1255" s="1"/>
      <c r="D1255" s="3">
        <v>1.0</v>
      </c>
      <c r="E1255" s="1" t="s">
        <v>464</v>
      </c>
      <c r="F1255" s="3">
        <v>12.0</v>
      </c>
      <c r="G1255" s="3">
        <v>1.0</v>
      </c>
      <c r="H1255" s="1"/>
      <c r="I1255" s="1"/>
      <c r="J1255" s="3">
        <v>1618.0</v>
      </c>
    </row>
    <row r="1256">
      <c r="A1256" s="3">
        <v>2707.0</v>
      </c>
      <c r="B1256" s="3">
        <v>2692.0</v>
      </c>
      <c r="C1256" s="1"/>
      <c r="D1256" s="3">
        <v>1.0</v>
      </c>
      <c r="E1256" s="1" t="s">
        <v>465</v>
      </c>
      <c r="F1256" s="3">
        <v>1.0</v>
      </c>
      <c r="G1256" s="3">
        <v>1.0</v>
      </c>
      <c r="H1256" s="1"/>
      <c r="I1256" s="1"/>
      <c r="J1256" s="3">
        <v>1618.0</v>
      </c>
    </row>
    <row r="1257">
      <c r="A1257" s="3">
        <v>2708.0</v>
      </c>
      <c r="B1257" s="3">
        <v>2693.0</v>
      </c>
      <c r="C1257" s="1"/>
      <c r="D1257" s="3">
        <v>1.0</v>
      </c>
      <c r="E1257" s="1" t="s">
        <v>465</v>
      </c>
      <c r="F1257" s="3">
        <v>2.0</v>
      </c>
      <c r="G1257" s="3">
        <v>1.0</v>
      </c>
      <c r="H1257" s="1"/>
      <c r="I1257" s="1"/>
      <c r="J1257" s="3">
        <v>1618.0</v>
      </c>
    </row>
    <row r="1258">
      <c r="A1258" s="3">
        <v>2709.0</v>
      </c>
      <c r="B1258" s="3">
        <v>2694.0</v>
      </c>
      <c r="C1258" s="1"/>
      <c r="D1258" s="3">
        <v>1.0</v>
      </c>
      <c r="E1258" s="1" t="s">
        <v>465</v>
      </c>
      <c r="F1258" s="3">
        <v>3.0</v>
      </c>
      <c r="G1258" s="3">
        <v>1.0</v>
      </c>
      <c r="H1258" s="1"/>
      <c r="I1258" s="1"/>
      <c r="J1258" s="3">
        <v>1618.0</v>
      </c>
    </row>
    <row r="1259">
      <c r="A1259" s="3">
        <v>2710.0</v>
      </c>
      <c r="B1259" s="3">
        <v>2695.0</v>
      </c>
      <c r="C1259" s="1"/>
      <c r="D1259" s="3">
        <v>1.0</v>
      </c>
      <c r="E1259" s="1" t="s">
        <v>465</v>
      </c>
      <c r="F1259" s="3">
        <v>4.0</v>
      </c>
      <c r="G1259" s="3">
        <v>1.0</v>
      </c>
      <c r="H1259" s="1"/>
      <c r="I1259" s="1"/>
      <c r="J1259" s="3">
        <v>1618.0</v>
      </c>
    </row>
    <row r="1260">
      <c r="A1260" s="3">
        <v>2711.0</v>
      </c>
      <c r="B1260" s="3">
        <v>2696.0</v>
      </c>
      <c r="C1260" s="1"/>
      <c r="D1260" s="3">
        <v>1.0</v>
      </c>
      <c r="E1260" s="1" t="s">
        <v>465</v>
      </c>
      <c r="F1260" s="3">
        <v>5.0</v>
      </c>
      <c r="G1260" s="3">
        <v>1.0</v>
      </c>
      <c r="H1260" s="1"/>
      <c r="I1260" s="1"/>
      <c r="J1260" s="3">
        <v>1618.0</v>
      </c>
    </row>
    <row r="1261">
      <c r="A1261" s="3">
        <v>2712.0</v>
      </c>
      <c r="B1261" s="3">
        <v>2697.0</v>
      </c>
      <c r="C1261" s="1"/>
      <c r="D1261" s="3">
        <v>1.0</v>
      </c>
      <c r="E1261" s="1" t="s">
        <v>465</v>
      </c>
      <c r="F1261" s="3">
        <v>6.0</v>
      </c>
      <c r="G1261" s="3">
        <v>1.0</v>
      </c>
      <c r="H1261" s="1"/>
      <c r="I1261" s="1"/>
      <c r="J1261" s="3">
        <v>1618.0</v>
      </c>
    </row>
    <row r="1262">
      <c r="A1262" s="3">
        <v>2713.0</v>
      </c>
      <c r="B1262" s="3">
        <v>2698.0</v>
      </c>
      <c r="C1262" s="1"/>
      <c r="D1262" s="3">
        <v>1.0</v>
      </c>
      <c r="E1262" s="1" t="s">
        <v>466</v>
      </c>
      <c r="F1262" s="3">
        <v>1.0</v>
      </c>
      <c r="G1262" s="3">
        <v>1.0</v>
      </c>
      <c r="H1262" s="1"/>
      <c r="I1262" s="1"/>
      <c r="J1262" s="3">
        <v>1618.0</v>
      </c>
    </row>
    <row r="1263">
      <c r="A1263" s="3">
        <v>2714.0</v>
      </c>
      <c r="B1263" s="3">
        <v>2699.0</v>
      </c>
      <c r="C1263" s="1"/>
      <c r="D1263" s="3">
        <v>1.0</v>
      </c>
      <c r="E1263" s="1" t="s">
        <v>466</v>
      </c>
      <c r="F1263" s="3">
        <v>2.0</v>
      </c>
      <c r="G1263" s="3">
        <v>1.0</v>
      </c>
      <c r="H1263" s="1"/>
      <c r="I1263" s="1"/>
      <c r="J1263" s="3">
        <v>1618.0</v>
      </c>
    </row>
    <row r="1264">
      <c r="A1264" s="3">
        <v>2715.0</v>
      </c>
      <c r="B1264" s="3">
        <v>2700.0</v>
      </c>
      <c r="C1264" s="1"/>
      <c r="D1264" s="3">
        <v>1.0</v>
      </c>
      <c r="E1264" s="1" t="s">
        <v>466</v>
      </c>
      <c r="F1264" s="3">
        <v>3.0</v>
      </c>
      <c r="G1264" s="3">
        <v>1.0</v>
      </c>
      <c r="H1264" s="1"/>
      <c r="I1264" s="1"/>
      <c r="J1264" s="3">
        <v>1618.0</v>
      </c>
    </row>
    <row r="1265">
      <c r="A1265" s="3">
        <v>2716.0</v>
      </c>
      <c r="B1265" s="3">
        <v>2701.0</v>
      </c>
      <c r="C1265" s="1"/>
      <c r="D1265" s="3">
        <v>1.0</v>
      </c>
      <c r="E1265" s="1" t="s">
        <v>466</v>
      </c>
      <c r="F1265" s="3">
        <v>4.0</v>
      </c>
      <c r="G1265" s="3">
        <v>1.0</v>
      </c>
      <c r="H1265" s="1"/>
      <c r="I1265" s="1"/>
      <c r="J1265" s="3">
        <v>1618.0</v>
      </c>
    </row>
    <row r="1266">
      <c r="A1266" s="3">
        <v>2717.0</v>
      </c>
      <c r="B1266" s="3">
        <v>2702.0</v>
      </c>
      <c r="C1266" s="1"/>
      <c r="D1266" s="3">
        <v>1.0</v>
      </c>
      <c r="E1266" s="1" t="s">
        <v>466</v>
      </c>
      <c r="F1266" s="3">
        <v>5.0</v>
      </c>
      <c r="G1266" s="3">
        <v>1.0</v>
      </c>
      <c r="H1266" s="1"/>
      <c r="I1266" s="1"/>
      <c r="J1266" s="3">
        <v>1618.0</v>
      </c>
    </row>
    <row r="1267">
      <c r="A1267" s="3">
        <v>2718.0</v>
      </c>
      <c r="B1267" s="3">
        <v>2703.0</v>
      </c>
      <c r="C1267" s="1"/>
      <c r="D1267" s="3">
        <v>1.0</v>
      </c>
      <c r="E1267" s="1" t="s">
        <v>467</v>
      </c>
      <c r="F1267" s="3">
        <v>1.0</v>
      </c>
      <c r="G1267" s="3">
        <v>1.0</v>
      </c>
      <c r="H1267" s="1"/>
      <c r="I1267" s="1"/>
      <c r="J1267" s="3">
        <v>1618.0</v>
      </c>
    </row>
    <row r="1268">
      <c r="A1268" s="3">
        <v>2719.0</v>
      </c>
      <c r="B1268" s="3">
        <v>2704.0</v>
      </c>
      <c r="C1268" s="1"/>
      <c r="D1268" s="3">
        <v>1.0</v>
      </c>
      <c r="E1268" s="1" t="s">
        <v>468</v>
      </c>
      <c r="F1268" s="3">
        <v>2.0</v>
      </c>
      <c r="G1268" s="3">
        <v>0.0</v>
      </c>
      <c r="H1268" s="1"/>
      <c r="I1268" s="1"/>
      <c r="J1268" s="3">
        <v>1618.0</v>
      </c>
    </row>
    <row r="1269">
      <c r="A1269" s="3">
        <v>2720.0</v>
      </c>
      <c r="B1269" s="3">
        <v>2705.0</v>
      </c>
      <c r="C1269" s="1"/>
      <c r="D1269" s="3">
        <v>1.0</v>
      </c>
      <c r="E1269" s="1" t="s">
        <v>467</v>
      </c>
      <c r="F1269" s="3">
        <v>3.0</v>
      </c>
      <c r="G1269" s="3">
        <v>1.0</v>
      </c>
      <c r="H1269" s="1"/>
      <c r="I1269" s="1"/>
      <c r="J1269" s="3">
        <v>1618.0</v>
      </c>
    </row>
    <row r="1270">
      <c r="A1270" s="3">
        <v>2721.0</v>
      </c>
      <c r="B1270" s="3">
        <v>2706.0</v>
      </c>
      <c r="C1270" s="1"/>
      <c r="D1270" s="3">
        <v>1.0</v>
      </c>
      <c r="E1270" s="1" t="s">
        <v>469</v>
      </c>
      <c r="F1270" s="3">
        <v>1.0</v>
      </c>
      <c r="G1270" s="3">
        <v>1.0</v>
      </c>
      <c r="H1270" s="1"/>
      <c r="I1270" s="1"/>
      <c r="J1270" s="3">
        <v>1618.0</v>
      </c>
    </row>
    <row r="1271">
      <c r="A1271" s="3">
        <v>2722.0</v>
      </c>
      <c r="B1271" s="3">
        <v>2707.0</v>
      </c>
      <c r="C1271" s="1"/>
      <c r="D1271" s="3">
        <v>1.0</v>
      </c>
      <c r="E1271" s="1" t="s">
        <v>469</v>
      </c>
      <c r="F1271" s="1" t="s">
        <v>355</v>
      </c>
      <c r="G1271" s="3">
        <v>1.0</v>
      </c>
      <c r="H1271" s="1"/>
      <c r="I1271" s="1"/>
      <c r="J1271" s="3">
        <v>1618.0</v>
      </c>
    </row>
    <row r="1272">
      <c r="A1272" s="3">
        <v>2723.0</v>
      </c>
      <c r="B1272" s="3">
        <v>2708.0</v>
      </c>
      <c r="C1272" s="1"/>
      <c r="D1272" s="3">
        <v>1.0</v>
      </c>
      <c r="E1272" s="1" t="s">
        <v>469</v>
      </c>
      <c r="F1272" s="3">
        <v>2.0</v>
      </c>
      <c r="G1272" s="3">
        <v>1.0</v>
      </c>
      <c r="H1272" s="1"/>
      <c r="I1272" s="1"/>
      <c r="J1272" s="3">
        <v>1618.0</v>
      </c>
    </row>
    <row r="1273">
      <c r="A1273" s="3">
        <v>2724.0</v>
      </c>
      <c r="B1273" s="3">
        <v>2709.0</v>
      </c>
      <c r="C1273" s="1"/>
      <c r="D1273" s="3">
        <v>1.0</v>
      </c>
      <c r="E1273" s="1" t="s">
        <v>469</v>
      </c>
      <c r="F1273" s="3">
        <v>3.0</v>
      </c>
      <c r="G1273" s="3">
        <v>1.0</v>
      </c>
      <c r="H1273" s="1"/>
      <c r="I1273" s="1"/>
      <c r="J1273" s="3">
        <v>1618.0</v>
      </c>
    </row>
    <row r="1274">
      <c r="A1274" s="3">
        <v>2725.0</v>
      </c>
      <c r="B1274" s="3">
        <v>2710.0</v>
      </c>
      <c r="C1274" s="1"/>
      <c r="D1274" s="3">
        <v>1.0</v>
      </c>
      <c r="E1274" s="1" t="s">
        <v>404</v>
      </c>
      <c r="F1274" s="3">
        <v>3.0</v>
      </c>
      <c r="G1274" s="3">
        <v>1.0</v>
      </c>
      <c r="H1274" s="1"/>
      <c r="I1274" s="1"/>
      <c r="J1274" s="3">
        <v>1618.0</v>
      </c>
    </row>
    <row r="1275">
      <c r="A1275" s="3">
        <v>2726.0</v>
      </c>
      <c r="B1275" s="3">
        <v>2711.0</v>
      </c>
      <c r="C1275" s="1"/>
      <c r="D1275" s="3">
        <v>1.0</v>
      </c>
      <c r="E1275" s="1" t="s">
        <v>404</v>
      </c>
      <c r="F1275" s="3">
        <v>4.0</v>
      </c>
      <c r="G1275" s="3">
        <v>1.0</v>
      </c>
      <c r="H1275" s="1"/>
      <c r="I1275" s="1"/>
      <c r="J1275" s="3">
        <v>1618.0</v>
      </c>
    </row>
    <row r="1276">
      <c r="A1276" s="3">
        <v>2727.0</v>
      </c>
      <c r="B1276" s="3">
        <v>2712.0</v>
      </c>
      <c r="C1276" s="1"/>
      <c r="D1276" s="3">
        <v>1.0</v>
      </c>
      <c r="E1276" s="1" t="s">
        <v>404</v>
      </c>
      <c r="F1276" s="3">
        <v>5.0</v>
      </c>
      <c r="G1276" s="3">
        <v>1.0</v>
      </c>
      <c r="H1276" s="1"/>
      <c r="I1276" s="1"/>
      <c r="J1276" s="3">
        <v>1618.0</v>
      </c>
    </row>
    <row r="1277">
      <c r="A1277" s="3">
        <v>2728.0</v>
      </c>
      <c r="B1277" s="3">
        <v>2713.0</v>
      </c>
      <c r="C1277" s="1"/>
      <c r="D1277" s="3">
        <v>1.0</v>
      </c>
      <c r="E1277" s="1" t="s">
        <v>404</v>
      </c>
      <c r="F1277" s="3">
        <v>6.0</v>
      </c>
      <c r="G1277" s="3">
        <v>1.0</v>
      </c>
      <c r="H1277" s="1"/>
      <c r="I1277" s="1"/>
      <c r="J1277" s="3">
        <v>1618.0</v>
      </c>
    </row>
    <row r="1278">
      <c r="A1278" s="3">
        <v>2729.0</v>
      </c>
      <c r="B1278" s="3">
        <v>2714.0</v>
      </c>
      <c r="C1278" s="1"/>
      <c r="D1278" s="3">
        <v>1.0</v>
      </c>
      <c r="E1278" s="1" t="s">
        <v>404</v>
      </c>
      <c r="F1278" s="3">
        <v>7.0</v>
      </c>
      <c r="G1278" s="3">
        <v>1.0</v>
      </c>
      <c r="H1278" s="1"/>
      <c r="I1278" s="1"/>
      <c r="J1278" s="3">
        <v>1618.0</v>
      </c>
    </row>
    <row r="1279">
      <c r="A1279" s="3">
        <v>2730.0</v>
      </c>
      <c r="B1279" s="3">
        <v>2715.0</v>
      </c>
      <c r="C1279" s="1"/>
      <c r="D1279" s="3">
        <v>1.0</v>
      </c>
      <c r="E1279" s="1" t="s">
        <v>404</v>
      </c>
      <c r="F1279" s="3">
        <v>8.0</v>
      </c>
      <c r="G1279" s="3">
        <v>1.0</v>
      </c>
      <c r="H1279" s="1"/>
      <c r="I1279" s="1"/>
      <c r="J1279" s="3">
        <v>1618.0</v>
      </c>
    </row>
    <row r="1280">
      <c r="A1280" s="3">
        <v>2731.0</v>
      </c>
      <c r="B1280" s="3">
        <v>2716.0</v>
      </c>
      <c r="C1280" s="1"/>
      <c r="D1280" s="3">
        <v>1.0</v>
      </c>
      <c r="E1280" s="1" t="s">
        <v>404</v>
      </c>
      <c r="F1280" s="1" t="s">
        <v>470</v>
      </c>
      <c r="G1280" s="3">
        <v>1.0</v>
      </c>
      <c r="H1280" s="1"/>
      <c r="I1280" s="1"/>
      <c r="J1280" s="3">
        <v>1618.0</v>
      </c>
    </row>
    <row r="1281">
      <c r="A1281" s="3">
        <v>2732.0</v>
      </c>
      <c r="B1281" s="3">
        <v>2717.0</v>
      </c>
      <c r="C1281" s="1"/>
      <c r="D1281" s="3">
        <v>1.0</v>
      </c>
      <c r="E1281" s="1" t="s">
        <v>404</v>
      </c>
      <c r="F1281" s="3">
        <v>9.0</v>
      </c>
      <c r="G1281" s="3">
        <v>1.0</v>
      </c>
      <c r="H1281" s="1"/>
      <c r="I1281" s="1"/>
      <c r="J1281" s="3">
        <v>1618.0</v>
      </c>
    </row>
    <row r="1282">
      <c r="A1282" s="3">
        <v>2733.0</v>
      </c>
      <c r="B1282" s="3">
        <v>2718.0</v>
      </c>
      <c r="C1282" s="1"/>
      <c r="D1282" s="3">
        <v>1.0</v>
      </c>
      <c r="E1282" s="1" t="s">
        <v>404</v>
      </c>
      <c r="F1282" s="3">
        <v>10.0</v>
      </c>
      <c r="G1282" s="3">
        <v>1.0</v>
      </c>
      <c r="H1282" s="1"/>
      <c r="I1282" s="1"/>
      <c r="J1282" s="3">
        <v>1618.0</v>
      </c>
    </row>
    <row r="1283">
      <c r="A1283" s="3">
        <v>2734.0</v>
      </c>
      <c r="B1283" s="3">
        <v>2719.0</v>
      </c>
      <c r="C1283" s="1"/>
      <c r="D1283" s="3">
        <v>1.0</v>
      </c>
      <c r="E1283" s="1" t="s">
        <v>404</v>
      </c>
      <c r="F1283" s="3">
        <v>11.0</v>
      </c>
      <c r="G1283" s="3">
        <v>1.0</v>
      </c>
      <c r="H1283" s="1"/>
      <c r="I1283" s="1"/>
      <c r="J1283" s="3">
        <v>1618.0</v>
      </c>
    </row>
    <row r="1284">
      <c r="A1284" s="3">
        <v>2735.0</v>
      </c>
      <c r="B1284" s="3">
        <v>2720.0</v>
      </c>
      <c r="C1284" s="1"/>
      <c r="D1284" s="3">
        <v>1.0</v>
      </c>
      <c r="E1284" s="1" t="s">
        <v>404</v>
      </c>
      <c r="F1284" s="3">
        <v>12.0</v>
      </c>
      <c r="G1284" s="3">
        <v>1.0</v>
      </c>
      <c r="H1284" s="1"/>
      <c r="I1284" s="1"/>
      <c r="J1284" s="3">
        <v>1618.0</v>
      </c>
    </row>
    <row r="1285">
      <c r="A1285" s="3">
        <v>2736.0</v>
      </c>
      <c r="B1285" s="3">
        <v>2721.0</v>
      </c>
      <c r="C1285" s="1"/>
      <c r="D1285" s="3">
        <v>1.0</v>
      </c>
      <c r="E1285" s="1" t="s">
        <v>404</v>
      </c>
      <c r="F1285" s="3">
        <v>13.0</v>
      </c>
      <c r="G1285" s="3">
        <v>1.0</v>
      </c>
      <c r="H1285" s="1"/>
      <c r="I1285" s="1"/>
      <c r="J1285" s="3">
        <v>1618.0</v>
      </c>
    </row>
    <row r="1286">
      <c r="A1286" s="3">
        <v>2737.0</v>
      </c>
      <c r="B1286" s="3">
        <v>2722.0</v>
      </c>
      <c r="C1286" s="1"/>
      <c r="D1286" s="3">
        <v>1.0</v>
      </c>
      <c r="E1286" s="1" t="s">
        <v>404</v>
      </c>
      <c r="F1286" s="3">
        <v>14.0</v>
      </c>
      <c r="G1286" s="3">
        <v>1.0</v>
      </c>
      <c r="H1286" s="1"/>
      <c r="I1286" s="1"/>
      <c r="J1286" s="3">
        <v>1618.0</v>
      </c>
    </row>
    <row r="1287">
      <c r="A1287" s="3">
        <v>2738.0</v>
      </c>
      <c r="B1287" s="3">
        <v>2723.0</v>
      </c>
      <c r="C1287" s="1"/>
      <c r="D1287" s="3">
        <v>1.0</v>
      </c>
      <c r="E1287" s="1" t="s">
        <v>404</v>
      </c>
      <c r="F1287" s="3">
        <v>15.0</v>
      </c>
      <c r="G1287" s="3">
        <v>1.0</v>
      </c>
      <c r="H1287" s="1"/>
      <c r="I1287" s="1"/>
      <c r="J1287" s="3">
        <v>1618.0</v>
      </c>
    </row>
    <row r="1288">
      <c r="A1288" s="3">
        <v>2739.0</v>
      </c>
      <c r="B1288" s="3">
        <v>2724.0</v>
      </c>
      <c r="C1288" s="1"/>
      <c r="D1288" s="3">
        <v>1.0</v>
      </c>
      <c r="E1288" s="1" t="s">
        <v>404</v>
      </c>
      <c r="F1288" s="3">
        <v>16.0</v>
      </c>
      <c r="G1288" s="3">
        <v>1.0</v>
      </c>
      <c r="H1288" s="1"/>
      <c r="I1288" s="1"/>
      <c r="J1288" s="3">
        <v>1618.0</v>
      </c>
    </row>
    <row r="1289">
      <c r="A1289" s="3">
        <v>2740.0</v>
      </c>
      <c r="B1289" s="3">
        <v>2725.0</v>
      </c>
      <c r="C1289" s="1"/>
      <c r="D1289" s="3">
        <v>1.0</v>
      </c>
      <c r="E1289" s="1" t="s">
        <v>404</v>
      </c>
      <c r="F1289" s="3">
        <v>17.0</v>
      </c>
      <c r="G1289" s="3">
        <v>1.0</v>
      </c>
      <c r="H1289" s="1"/>
      <c r="I1289" s="1"/>
      <c r="J1289" s="3">
        <v>1618.0</v>
      </c>
    </row>
    <row r="1290">
      <c r="A1290" s="3">
        <v>2741.0</v>
      </c>
      <c r="B1290" s="3">
        <v>2726.0</v>
      </c>
      <c r="C1290" s="1"/>
      <c r="D1290" s="3">
        <v>1.0</v>
      </c>
      <c r="E1290" s="1" t="s">
        <v>404</v>
      </c>
      <c r="F1290" s="1" t="s">
        <v>471</v>
      </c>
      <c r="G1290" s="3">
        <v>1.0</v>
      </c>
      <c r="H1290" s="1"/>
      <c r="I1290" s="1"/>
      <c r="J1290" s="3">
        <v>1618.0</v>
      </c>
    </row>
    <row r="1291">
      <c r="A1291" s="3">
        <v>2742.0</v>
      </c>
      <c r="B1291" s="3">
        <v>2727.0</v>
      </c>
      <c r="C1291" s="1"/>
      <c r="D1291" s="3">
        <v>1.0</v>
      </c>
      <c r="E1291" s="1" t="s">
        <v>404</v>
      </c>
      <c r="F1291" s="3">
        <v>18.0</v>
      </c>
      <c r="G1291" s="3">
        <v>1.0</v>
      </c>
      <c r="H1291" s="1"/>
      <c r="I1291" s="1"/>
      <c r="J1291" s="3">
        <v>1618.0</v>
      </c>
    </row>
    <row r="1292">
      <c r="A1292" s="3">
        <v>2743.0</v>
      </c>
      <c r="B1292" s="3">
        <v>2728.0</v>
      </c>
      <c r="C1292" s="1"/>
      <c r="D1292" s="3">
        <v>1.0</v>
      </c>
      <c r="E1292" s="1" t="s">
        <v>404</v>
      </c>
      <c r="F1292" s="3">
        <v>19.0</v>
      </c>
      <c r="G1292" s="3">
        <v>1.0</v>
      </c>
      <c r="H1292" s="1"/>
      <c r="I1292" s="1"/>
      <c r="J1292" s="3">
        <v>1618.0</v>
      </c>
    </row>
    <row r="1293">
      <c r="A1293" s="3">
        <v>1074.0</v>
      </c>
      <c r="B1293" s="3">
        <v>1074.0</v>
      </c>
      <c r="C1293" s="3">
        <v>301.0</v>
      </c>
      <c r="D1293" s="3">
        <v>1.0</v>
      </c>
      <c r="E1293" s="1" t="s">
        <v>110</v>
      </c>
      <c r="F1293" s="1" t="s">
        <v>27</v>
      </c>
      <c r="G1293" s="3">
        <v>1.0</v>
      </c>
      <c r="H1293" s="3">
        <v>0.0</v>
      </c>
      <c r="I1293" s="1"/>
      <c r="J1293" s="3">
        <v>836.0</v>
      </c>
    </row>
    <row r="1294">
      <c r="A1294" s="3">
        <v>1075.0</v>
      </c>
      <c r="B1294" s="3">
        <v>1075.0</v>
      </c>
      <c r="C1294" s="3">
        <v>314.0</v>
      </c>
      <c r="D1294" s="3">
        <v>1.0</v>
      </c>
      <c r="E1294" s="1" t="s">
        <v>110</v>
      </c>
      <c r="F1294" s="1" t="s">
        <v>472</v>
      </c>
      <c r="G1294" s="3">
        <v>1.0</v>
      </c>
      <c r="H1294" s="3">
        <v>0.0</v>
      </c>
      <c r="I1294" s="1"/>
      <c r="J1294" s="3">
        <v>836.0</v>
      </c>
    </row>
    <row r="1295">
      <c r="A1295" s="3">
        <v>1076.0</v>
      </c>
      <c r="B1295" s="3">
        <v>1076.0</v>
      </c>
      <c r="C1295" s="3">
        <v>313.0</v>
      </c>
      <c r="D1295" s="3">
        <v>1.0</v>
      </c>
      <c r="E1295" s="1" t="s">
        <v>110</v>
      </c>
      <c r="F1295" s="1" t="s">
        <v>284</v>
      </c>
      <c r="G1295" s="3">
        <v>1.0</v>
      </c>
      <c r="H1295" s="3">
        <v>0.0</v>
      </c>
      <c r="I1295" s="1"/>
      <c r="J1295" s="3">
        <v>836.0</v>
      </c>
    </row>
    <row r="1296">
      <c r="A1296" s="3">
        <v>1077.0</v>
      </c>
      <c r="B1296" s="3">
        <v>1077.0</v>
      </c>
      <c r="C1296" s="3">
        <v>312.0</v>
      </c>
      <c r="D1296" s="3">
        <v>1.0</v>
      </c>
      <c r="E1296" s="1" t="s">
        <v>110</v>
      </c>
      <c r="F1296" s="1" t="s">
        <v>473</v>
      </c>
      <c r="G1296" s="3">
        <v>1.0</v>
      </c>
      <c r="H1296" s="3">
        <v>0.0</v>
      </c>
      <c r="I1296" s="1"/>
      <c r="J1296" s="3">
        <v>836.0</v>
      </c>
    </row>
    <row r="1297">
      <c r="A1297" s="3">
        <v>1078.0</v>
      </c>
      <c r="B1297" s="3">
        <v>1078.0</v>
      </c>
      <c r="C1297" s="3">
        <v>0.0</v>
      </c>
      <c r="D1297" s="3">
        <v>1.0</v>
      </c>
      <c r="E1297" s="1" t="s">
        <v>110</v>
      </c>
      <c r="F1297" s="1" t="s">
        <v>474</v>
      </c>
      <c r="G1297" s="3">
        <v>1.0</v>
      </c>
      <c r="H1297" s="3">
        <v>0.0</v>
      </c>
      <c r="I1297" s="1"/>
      <c r="J1297" s="3">
        <v>836.0</v>
      </c>
    </row>
    <row r="1298">
      <c r="A1298" s="3">
        <v>1079.0</v>
      </c>
      <c r="B1298" s="3">
        <v>1079.0</v>
      </c>
      <c r="C1298" s="3">
        <v>300.0</v>
      </c>
      <c r="D1298" s="3">
        <v>1.0</v>
      </c>
      <c r="E1298" s="1" t="s">
        <v>110</v>
      </c>
      <c r="F1298" s="1" t="s">
        <v>26</v>
      </c>
      <c r="G1298" s="3">
        <v>1.0</v>
      </c>
      <c r="H1298" s="3">
        <v>0.0</v>
      </c>
      <c r="I1298" s="1"/>
      <c r="J1298" s="3">
        <v>836.0</v>
      </c>
    </row>
    <row r="1299">
      <c r="A1299" s="3">
        <v>1080.0</v>
      </c>
      <c r="B1299" s="3">
        <v>1080.0</v>
      </c>
      <c r="C1299" s="3">
        <v>0.0</v>
      </c>
      <c r="D1299" s="3">
        <v>1.0</v>
      </c>
      <c r="E1299" s="1" t="s">
        <v>110</v>
      </c>
      <c r="F1299" s="1" t="s">
        <v>475</v>
      </c>
      <c r="G1299" s="3">
        <v>1.0</v>
      </c>
      <c r="H1299" s="3">
        <v>0.0</v>
      </c>
      <c r="I1299" s="1"/>
      <c r="J1299" s="3">
        <v>836.0</v>
      </c>
    </row>
    <row r="1300">
      <c r="A1300" s="3">
        <v>1081.0</v>
      </c>
      <c r="B1300" s="3">
        <v>1081.0</v>
      </c>
      <c r="C1300" s="3">
        <v>306.0</v>
      </c>
      <c r="D1300" s="3">
        <v>1.0</v>
      </c>
      <c r="E1300" s="1" t="s">
        <v>110</v>
      </c>
      <c r="F1300" s="1" t="s">
        <v>155</v>
      </c>
      <c r="G1300" s="3">
        <v>1.0</v>
      </c>
      <c r="H1300" s="3">
        <v>0.0</v>
      </c>
      <c r="I1300" s="1"/>
      <c r="J1300" s="3">
        <v>836.0</v>
      </c>
    </row>
    <row r="1301">
      <c r="A1301" s="3">
        <v>1082.0</v>
      </c>
      <c r="B1301" s="3">
        <v>1082.0</v>
      </c>
      <c r="C1301" s="3">
        <v>311.0</v>
      </c>
      <c r="D1301" s="3">
        <v>1.0</v>
      </c>
      <c r="E1301" s="1" t="s">
        <v>110</v>
      </c>
      <c r="F1301" s="1" t="s">
        <v>272</v>
      </c>
      <c r="G1301" s="3">
        <v>1.0</v>
      </c>
      <c r="H1301" s="3">
        <v>0.0</v>
      </c>
      <c r="I1301" s="1"/>
      <c r="J1301" s="3">
        <v>836.0</v>
      </c>
    </row>
    <row r="1302">
      <c r="A1302" s="3">
        <v>1083.0</v>
      </c>
      <c r="B1302" s="3">
        <v>1083.0</v>
      </c>
      <c r="C1302" s="3">
        <v>310.0</v>
      </c>
      <c r="D1302" s="3">
        <v>1.0</v>
      </c>
      <c r="E1302" s="1" t="s">
        <v>110</v>
      </c>
      <c r="F1302" s="1" t="s">
        <v>128</v>
      </c>
      <c r="G1302" s="3">
        <v>1.0</v>
      </c>
      <c r="H1302" s="3">
        <v>0.0</v>
      </c>
      <c r="I1302" s="1"/>
      <c r="J1302" s="3">
        <v>836.0</v>
      </c>
    </row>
    <row r="1303">
      <c r="A1303" s="3">
        <v>1084.0</v>
      </c>
      <c r="B1303" s="3">
        <v>1084.0</v>
      </c>
      <c r="C1303" s="3">
        <v>0.0</v>
      </c>
      <c r="D1303" s="3">
        <v>1.0</v>
      </c>
      <c r="E1303" s="1" t="s">
        <v>110</v>
      </c>
      <c r="F1303" s="1" t="s">
        <v>476</v>
      </c>
      <c r="G1303" s="3">
        <v>1.0</v>
      </c>
      <c r="H1303" s="3">
        <v>0.0</v>
      </c>
      <c r="I1303" s="1"/>
      <c r="J1303" s="3">
        <v>836.0</v>
      </c>
    </row>
    <row r="1304">
      <c r="A1304" s="3">
        <v>1085.0</v>
      </c>
      <c r="B1304" s="3">
        <v>1085.0</v>
      </c>
      <c r="C1304" s="3">
        <v>299.0</v>
      </c>
      <c r="D1304" s="3">
        <v>1.0</v>
      </c>
      <c r="E1304" s="1" t="s">
        <v>110</v>
      </c>
      <c r="F1304" s="1" t="s">
        <v>25</v>
      </c>
      <c r="G1304" s="3">
        <v>1.0</v>
      </c>
      <c r="H1304" s="3">
        <v>0.0</v>
      </c>
      <c r="I1304" s="1"/>
      <c r="J1304" s="3">
        <v>836.0</v>
      </c>
    </row>
    <row r="1305">
      <c r="A1305" s="3">
        <v>1086.0</v>
      </c>
      <c r="B1305" s="3">
        <v>1086.0</v>
      </c>
      <c r="C1305" s="3">
        <v>308.0</v>
      </c>
      <c r="D1305" s="3">
        <v>1.0</v>
      </c>
      <c r="E1305" s="1" t="s">
        <v>110</v>
      </c>
      <c r="F1305" s="1" t="s">
        <v>11</v>
      </c>
      <c r="G1305" s="3">
        <v>1.0</v>
      </c>
      <c r="H1305" s="3">
        <v>0.0</v>
      </c>
      <c r="I1305" s="1"/>
      <c r="J1305" s="3">
        <v>836.0</v>
      </c>
    </row>
    <row r="1306">
      <c r="A1306" s="3">
        <v>1087.0</v>
      </c>
      <c r="B1306" s="3">
        <v>1087.0</v>
      </c>
      <c r="C1306" s="3">
        <v>298.0</v>
      </c>
      <c r="D1306" s="3">
        <v>1.0</v>
      </c>
      <c r="E1306" s="1" t="s">
        <v>110</v>
      </c>
      <c r="F1306" s="1" t="s">
        <v>24</v>
      </c>
      <c r="G1306" s="3">
        <v>1.0</v>
      </c>
      <c r="H1306" s="3">
        <v>0.0</v>
      </c>
      <c r="I1306" s="1"/>
      <c r="J1306" s="3">
        <v>836.0</v>
      </c>
    </row>
    <row r="1307">
      <c r="A1307" s="3">
        <v>1088.0</v>
      </c>
      <c r="B1307" s="3">
        <v>1088.0</v>
      </c>
      <c r="C1307" s="3">
        <v>0.0</v>
      </c>
      <c r="D1307" s="3">
        <v>1.0</v>
      </c>
      <c r="E1307" s="1" t="s">
        <v>110</v>
      </c>
      <c r="F1307" s="1" t="s">
        <v>477</v>
      </c>
      <c r="G1307" s="3">
        <v>1.0</v>
      </c>
      <c r="H1307" s="3">
        <v>0.0</v>
      </c>
      <c r="I1307" s="1"/>
      <c r="J1307" s="3">
        <v>836.0</v>
      </c>
    </row>
    <row r="1308">
      <c r="A1308" s="3">
        <v>1089.0</v>
      </c>
      <c r="B1308" s="3">
        <v>1089.0</v>
      </c>
      <c r="C1308" s="3">
        <v>309.0</v>
      </c>
      <c r="D1308" s="3">
        <v>1.0</v>
      </c>
      <c r="E1308" s="1" t="s">
        <v>110</v>
      </c>
      <c r="F1308" s="1" t="s">
        <v>127</v>
      </c>
      <c r="G1308" s="3">
        <v>1.0</v>
      </c>
      <c r="H1308" s="3">
        <v>0.0</v>
      </c>
      <c r="I1308" s="1"/>
      <c r="J1308" s="3">
        <v>836.0</v>
      </c>
    </row>
    <row r="1309">
      <c r="A1309" s="3">
        <v>1090.0</v>
      </c>
      <c r="B1309" s="3">
        <v>1090.0</v>
      </c>
      <c r="C1309" s="3">
        <v>297.0</v>
      </c>
      <c r="D1309" s="3">
        <v>1.0</v>
      </c>
      <c r="E1309" s="2" t="s">
        <v>478</v>
      </c>
      <c r="F1309" s="1"/>
      <c r="G1309" s="3">
        <v>1.0</v>
      </c>
      <c r="H1309" s="3">
        <v>0.0</v>
      </c>
      <c r="I1309" s="1"/>
      <c r="J1309" s="3">
        <v>836.0</v>
      </c>
    </row>
    <row r="1310">
      <c r="A1310" s="3">
        <v>1091.0</v>
      </c>
      <c r="B1310" s="3">
        <v>1091.0</v>
      </c>
      <c r="C1310" s="3">
        <v>307.0</v>
      </c>
      <c r="D1310" s="3">
        <v>1.0</v>
      </c>
      <c r="E1310" s="1" t="s">
        <v>110</v>
      </c>
      <c r="F1310" s="3">
        <v>2.0</v>
      </c>
      <c r="G1310" s="3">
        <v>1.0</v>
      </c>
      <c r="H1310" s="3">
        <v>0.0</v>
      </c>
      <c r="I1310" s="1"/>
      <c r="J1310" s="3">
        <v>836.0</v>
      </c>
    </row>
    <row r="1311">
      <c r="A1311" s="3">
        <v>1092.0</v>
      </c>
      <c r="B1311" s="3">
        <v>1092.0</v>
      </c>
      <c r="C1311" s="3">
        <v>316.0</v>
      </c>
      <c r="D1311" s="3">
        <v>1.0</v>
      </c>
      <c r="E1311" s="1" t="s">
        <v>479</v>
      </c>
      <c r="F1311" s="3">
        <v>4.0</v>
      </c>
      <c r="G1311" s="3">
        <v>1.0</v>
      </c>
      <c r="H1311" s="3">
        <v>0.0</v>
      </c>
      <c r="I1311" s="1"/>
      <c r="J1311" s="3">
        <v>836.0</v>
      </c>
    </row>
    <row r="1312">
      <c r="A1312" s="3">
        <v>1093.0</v>
      </c>
      <c r="B1312" s="3">
        <v>1093.0</v>
      </c>
      <c r="C1312" s="3">
        <v>317.0</v>
      </c>
      <c r="D1312" s="3">
        <v>1.0</v>
      </c>
      <c r="E1312" s="1" t="s">
        <v>479</v>
      </c>
      <c r="F1312" s="3">
        <v>5.0</v>
      </c>
      <c r="G1312" s="3">
        <v>1.0</v>
      </c>
      <c r="H1312" s="3">
        <v>0.0</v>
      </c>
      <c r="I1312" s="1"/>
      <c r="J1312" s="3">
        <v>836.0</v>
      </c>
    </row>
    <row r="1313">
      <c r="A1313" s="3">
        <v>1094.0</v>
      </c>
      <c r="B1313" s="3">
        <v>1094.0</v>
      </c>
      <c r="C1313" s="3">
        <v>328.0</v>
      </c>
      <c r="D1313" s="3">
        <v>1.0</v>
      </c>
      <c r="E1313" s="1" t="s">
        <v>480</v>
      </c>
      <c r="F1313" s="3">
        <v>3.0</v>
      </c>
      <c r="G1313" s="3">
        <v>1.0</v>
      </c>
      <c r="H1313" s="3">
        <v>0.0</v>
      </c>
      <c r="I1313" s="1"/>
      <c r="J1313" s="3">
        <v>836.0</v>
      </c>
    </row>
    <row r="1314">
      <c r="A1314" s="3">
        <v>1095.0</v>
      </c>
      <c r="B1314" s="3">
        <v>1095.0</v>
      </c>
      <c r="C1314" s="3">
        <v>327.0</v>
      </c>
      <c r="D1314" s="3">
        <v>1.0</v>
      </c>
      <c r="E1314" s="1" t="s">
        <v>480</v>
      </c>
      <c r="F1314" s="3">
        <v>2.0</v>
      </c>
      <c r="G1314" s="3">
        <v>1.0</v>
      </c>
      <c r="H1314" s="3">
        <v>0.0</v>
      </c>
      <c r="I1314" s="1"/>
      <c r="J1314" s="3">
        <v>836.0</v>
      </c>
    </row>
    <row r="1315">
      <c r="A1315" s="3">
        <v>1096.0</v>
      </c>
      <c r="B1315" s="3">
        <v>1096.0</v>
      </c>
      <c r="C1315" s="3">
        <v>329.0</v>
      </c>
      <c r="D1315" s="3">
        <v>1.0</v>
      </c>
      <c r="E1315" s="1" t="s">
        <v>480</v>
      </c>
      <c r="F1315" s="3">
        <v>4.0</v>
      </c>
      <c r="G1315" s="3">
        <v>1.0</v>
      </c>
      <c r="H1315" s="3">
        <v>0.0</v>
      </c>
      <c r="I1315" s="1"/>
      <c r="J1315" s="3">
        <v>836.0</v>
      </c>
    </row>
    <row r="1316">
      <c r="A1316" s="3">
        <v>1097.0</v>
      </c>
      <c r="B1316" s="3">
        <v>1097.0</v>
      </c>
      <c r="C1316" s="3">
        <v>326.0</v>
      </c>
      <c r="D1316" s="3">
        <v>1.0</v>
      </c>
      <c r="E1316" s="1" t="s">
        <v>480</v>
      </c>
      <c r="F1316" s="3">
        <v>1.0</v>
      </c>
      <c r="G1316" s="3">
        <v>1.0</v>
      </c>
      <c r="H1316" s="3">
        <v>0.0</v>
      </c>
      <c r="I1316" s="1"/>
      <c r="J1316" s="3">
        <v>836.0</v>
      </c>
    </row>
    <row r="1317">
      <c r="A1317" s="3">
        <v>1098.0</v>
      </c>
      <c r="B1317" s="3">
        <v>1098.0</v>
      </c>
      <c r="C1317" s="3">
        <v>331.0</v>
      </c>
      <c r="D1317" s="3">
        <v>1.0</v>
      </c>
      <c r="E1317" s="1" t="s">
        <v>480</v>
      </c>
      <c r="F1317" s="3">
        <v>6.0</v>
      </c>
      <c r="G1317" s="3">
        <v>1.0</v>
      </c>
      <c r="H1317" s="3">
        <v>0.0</v>
      </c>
      <c r="I1317" s="1"/>
      <c r="J1317" s="3">
        <v>836.0</v>
      </c>
    </row>
    <row r="1318">
      <c r="A1318" s="3">
        <v>1099.0</v>
      </c>
      <c r="B1318" s="3">
        <v>1099.0</v>
      </c>
      <c r="C1318" s="3">
        <v>330.0</v>
      </c>
      <c r="D1318" s="3">
        <v>1.0</v>
      </c>
      <c r="E1318" s="1" t="s">
        <v>480</v>
      </c>
      <c r="F1318" s="3">
        <v>5.0</v>
      </c>
      <c r="G1318" s="3">
        <v>1.0</v>
      </c>
      <c r="H1318" s="3">
        <v>0.0</v>
      </c>
      <c r="I1318" s="1"/>
      <c r="J1318" s="3">
        <v>836.0</v>
      </c>
    </row>
    <row r="1319">
      <c r="A1319" s="3">
        <v>1100.0</v>
      </c>
      <c r="B1319" s="3">
        <v>1100.0</v>
      </c>
      <c r="C1319" s="3">
        <v>332.0</v>
      </c>
      <c r="D1319" s="3">
        <v>1.0</v>
      </c>
      <c r="E1319" s="1" t="s">
        <v>480</v>
      </c>
      <c r="F1319" s="3">
        <v>7.0</v>
      </c>
      <c r="G1319" s="3">
        <v>1.0</v>
      </c>
      <c r="H1319" s="3">
        <v>0.0</v>
      </c>
      <c r="I1319" s="1"/>
      <c r="J1319" s="3">
        <v>836.0</v>
      </c>
    </row>
    <row r="1320">
      <c r="A1320" s="3">
        <v>1101.0</v>
      </c>
      <c r="B1320" s="3">
        <v>1101.0</v>
      </c>
      <c r="C1320" s="3">
        <v>334.0</v>
      </c>
      <c r="D1320" s="3">
        <v>1.0</v>
      </c>
      <c r="E1320" s="1" t="s">
        <v>480</v>
      </c>
      <c r="F1320" s="3">
        <v>9.0</v>
      </c>
      <c r="G1320" s="3">
        <v>1.0</v>
      </c>
      <c r="H1320" s="3">
        <v>0.0</v>
      </c>
      <c r="I1320" s="1"/>
      <c r="J1320" s="3">
        <v>836.0</v>
      </c>
    </row>
    <row r="1321">
      <c r="A1321" s="3">
        <v>1102.0</v>
      </c>
      <c r="B1321" s="3">
        <v>1102.0</v>
      </c>
      <c r="C1321" s="3">
        <v>333.0</v>
      </c>
      <c r="D1321" s="3">
        <v>1.0</v>
      </c>
      <c r="E1321" s="1" t="s">
        <v>480</v>
      </c>
      <c r="F1321" s="3">
        <v>8.0</v>
      </c>
      <c r="G1321" s="3">
        <v>1.0</v>
      </c>
      <c r="H1321" s="3">
        <v>0.0</v>
      </c>
      <c r="I1321" s="1"/>
      <c r="J1321" s="3">
        <v>836.0</v>
      </c>
    </row>
    <row r="1322">
      <c r="A1322" s="3">
        <v>1103.0</v>
      </c>
      <c r="B1322" s="3">
        <v>1103.0</v>
      </c>
      <c r="C1322" s="3">
        <v>335.0</v>
      </c>
      <c r="D1322" s="3">
        <v>1.0</v>
      </c>
      <c r="E1322" s="1" t="s">
        <v>480</v>
      </c>
      <c r="F1322" s="3">
        <v>10.0</v>
      </c>
      <c r="G1322" s="3">
        <v>1.0</v>
      </c>
      <c r="H1322" s="3">
        <v>0.0</v>
      </c>
      <c r="I1322" s="1"/>
      <c r="J1322" s="3">
        <v>836.0</v>
      </c>
    </row>
    <row r="1323">
      <c r="A1323" s="3">
        <v>1104.0</v>
      </c>
      <c r="B1323" s="3">
        <v>1104.0</v>
      </c>
      <c r="C1323" s="3">
        <v>336.0</v>
      </c>
      <c r="D1323" s="3">
        <v>1.0</v>
      </c>
      <c r="E1323" s="1" t="s">
        <v>480</v>
      </c>
      <c r="F1323" s="3">
        <v>11.0</v>
      </c>
      <c r="G1323" s="3">
        <v>1.0</v>
      </c>
      <c r="H1323" s="3">
        <v>0.0</v>
      </c>
      <c r="I1323" s="1"/>
      <c r="J1323" s="3">
        <v>836.0</v>
      </c>
    </row>
    <row r="1324">
      <c r="A1324" s="3">
        <v>1105.0</v>
      </c>
      <c r="B1324" s="3">
        <v>1105.0</v>
      </c>
      <c r="C1324" s="3">
        <v>322.0</v>
      </c>
      <c r="D1324" s="3">
        <v>1.0</v>
      </c>
      <c r="E1324" s="2" t="s">
        <v>481</v>
      </c>
      <c r="F1324" s="1"/>
      <c r="G1324" s="3">
        <v>1.0</v>
      </c>
      <c r="H1324" s="3">
        <v>0.0</v>
      </c>
      <c r="I1324" s="1"/>
      <c r="J1324" s="3">
        <v>836.0</v>
      </c>
    </row>
    <row r="1325">
      <c r="A1325" s="3">
        <v>1107.0</v>
      </c>
      <c r="B1325" s="3">
        <v>1107.0</v>
      </c>
      <c r="C1325" s="3">
        <v>353.0</v>
      </c>
      <c r="D1325" s="3">
        <v>1.0</v>
      </c>
      <c r="E1325" s="1" t="s">
        <v>482</v>
      </c>
      <c r="F1325" s="1"/>
      <c r="G1325" s="3">
        <v>1.0</v>
      </c>
      <c r="H1325" s="3">
        <v>0.0</v>
      </c>
      <c r="I1325" s="1"/>
      <c r="J1325" s="3">
        <v>836.0</v>
      </c>
    </row>
    <row r="1326">
      <c r="A1326" s="3">
        <v>1108.0</v>
      </c>
      <c r="B1326" s="3">
        <v>1108.0</v>
      </c>
      <c r="C1326" s="3">
        <v>648.0</v>
      </c>
      <c r="D1326" s="3">
        <v>1.0</v>
      </c>
      <c r="E1326" s="2" t="s">
        <v>483</v>
      </c>
      <c r="F1326" s="1"/>
      <c r="G1326" s="3">
        <v>1.0</v>
      </c>
      <c r="H1326" s="3">
        <v>0.0</v>
      </c>
      <c r="I1326" s="1"/>
      <c r="J1326" s="3">
        <v>836.0</v>
      </c>
    </row>
    <row r="1327">
      <c r="A1327" s="3">
        <v>1109.0</v>
      </c>
      <c r="B1327" s="3">
        <v>1109.0</v>
      </c>
      <c r="C1327" s="3">
        <v>358.0</v>
      </c>
      <c r="D1327" s="3">
        <v>1.0</v>
      </c>
      <c r="E1327" s="1" t="s">
        <v>328</v>
      </c>
      <c r="F1327" s="3">
        <v>1.0</v>
      </c>
      <c r="G1327" s="3">
        <v>1.0</v>
      </c>
      <c r="H1327" s="3">
        <v>0.0</v>
      </c>
      <c r="I1327" s="1"/>
      <c r="J1327" s="3">
        <v>836.0</v>
      </c>
    </row>
    <row r="1328">
      <c r="A1328" s="3">
        <v>1110.0</v>
      </c>
      <c r="B1328" s="3">
        <v>1110.0</v>
      </c>
      <c r="C1328" s="3">
        <v>809.0</v>
      </c>
      <c r="D1328" s="3">
        <v>1.0</v>
      </c>
      <c r="E1328" s="1" t="s">
        <v>328</v>
      </c>
      <c r="F1328" s="3">
        <v>3.0</v>
      </c>
      <c r="G1328" s="3">
        <v>1.0</v>
      </c>
      <c r="H1328" s="3">
        <v>0.0</v>
      </c>
      <c r="I1328" s="1"/>
      <c r="J1328" s="3">
        <v>836.0</v>
      </c>
    </row>
    <row r="1329">
      <c r="A1329" s="3">
        <v>1111.0</v>
      </c>
      <c r="B1329" s="3">
        <v>1111.0</v>
      </c>
      <c r="C1329" s="3">
        <v>808.0</v>
      </c>
      <c r="D1329" s="3">
        <v>1.0</v>
      </c>
      <c r="E1329" s="1" t="s">
        <v>328</v>
      </c>
      <c r="F1329" s="3">
        <v>2.0</v>
      </c>
      <c r="G1329" s="3">
        <v>1.0</v>
      </c>
      <c r="H1329" s="3">
        <v>0.0</v>
      </c>
      <c r="I1329" s="1"/>
      <c r="J1329" s="3">
        <v>836.0</v>
      </c>
    </row>
    <row r="1330">
      <c r="A1330" s="3">
        <v>1112.0</v>
      </c>
      <c r="B1330" s="3">
        <v>1112.0</v>
      </c>
      <c r="C1330" s="3">
        <v>810.0</v>
      </c>
      <c r="D1330" s="3">
        <v>1.0</v>
      </c>
      <c r="E1330" s="1" t="s">
        <v>328</v>
      </c>
      <c r="F1330" s="3">
        <v>4.0</v>
      </c>
      <c r="G1330" s="3">
        <v>1.0</v>
      </c>
      <c r="H1330" s="3">
        <v>0.0</v>
      </c>
      <c r="I1330" s="1"/>
      <c r="J1330" s="3">
        <v>836.0</v>
      </c>
    </row>
    <row r="1331">
      <c r="A1331" s="3">
        <v>1113.0</v>
      </c>
      <c r="B1331" s="3">
        <v>1113.0</v>
      </c>
      <c r="C1331" s="3">
        <v>811.0</v>
      </c>
      <c r="D1331" s="3">
        <v>1.0</v>
      </c>
      <c r="E1331" s="1" t="s">
        <v>328</v>
      </c>
      <c r="F1331" s="3">
        <v>5.0</v>
      </c>
      <c r="G1331" s="3">
        <v>1.0</v>
      </c>
      <c r="H1331" s="3">
        <v>0.0</v>
      </c>
      <c r="I1331" s="1"/>
      <c r="J1331" s="3">
        <v>836.0</v>
      </c>
    </row>
    <row r="1332">
      <c r="A1332" s="3">
        <v>1114.0</v>
      </c>
      <c r="B1332" s="3">
        <v>1114.0</v>
      </c>
      <c r="C1332" s="3">
        <v>884.0</v>
      </c>
      <c r="D1332" s="3">
        <v>1.0</v>
      </c>
      <c r="E1332" s="1" t="s">
        <v>328</v>
      </c>
      <c r="F1332" s="3">
        <v>6.0</v>
      </c>
      <c r="G1332" s="3">
        <v>1.0</v>
      </c>
      <c r="H1332" s="3">
        <v>0.0</v>
      </c>
      <c r="I1332" s="1"/>
      <c r="J1332" s="3">
        <v>836.0</v>
      </c>
    </row>
    <row r="1333">
      <c r="A1333" s="3">
        <v>1115.0</v>
      </c>
      <c r="B1333" s="3">
        <v>1115.0</v>
      </c>
      <c r="C1333" s="3">
        <v>885.0</v>
      </c>
      <c r="D1333" s="3">
        <v>1.0</v>
      </c>
      <c r="E1333" s="1" t="s">
        <v>328</v>
      </c>
      <c r="F1333" s="3">
        <v>7.0</v>
      </c>
      <c r="G1333" s="3">
        <v>1.0</v>
      </c>
      <c r="H1333" s="3">
        <v>0.0</v>
      </c>
      <c r="I1333" s="1"/>
      <c r="J1333" s="3">
        <v>836.0</v>
      </c>
    </row>
    <row r="1334">
      <c r="A1334" s="3">
        <v>1116.0</v>
      </c>
      <c r="B1334" s="3">
        <v>1116.0</v>
      </c>
      <c r="C1334" s="3">
        <v>890.0</v>
      </c>
      <c r="D1334" s="3">
        <v>1.0</v>
      </c>
      <c r="E1334" s="1" t="s">
        <v>328</v>
      </c>
      <c r="F1334" s="3">
        <v>12.0</v>
      </c>
      <c r="G1334" s="3">
        <v>1.0</v>
      </c>
      <c r="H1334" s="3">
        <v>0.0</v>
      </c>
      <c r="I1334" s="1"/>
      <c r="J1334" s="3">
        <v>836.0</v>
      </c>
    </row>
    <row r="1335">
      <c r="A1335" s="3">
        <v>1117.0</v>
      </c>
      <c r="B1335" s="3">
        <v>1117.0</v>
      </c>
      <c r="C1335" s="3">
        <v>892.0</v>
      </c>
      <c r="D1335" s="3">
        <v>1.0</v>
      </c>
      <c r="E1335" s="1" t="s">
        <v>328</v>
      </c>
      <c r="F1335" s="3">
        <v>14.0</v>
      </c>
      <c r="G1335" s="3">
        <v>1.0</v>
      </c>
      <c r="H1335" s="3">
        <v>0.0</v>
      </c>
      <c r="I1335" s="1"/>
      <c r="J1335" s="3">
        <v>836.0</v>
      </c>
    </row>
    <row r="1336">
      <c r="A1336" s="3">
        <v>1118.0</v>
      </c>
      <c r="B1336" s="3">
        <v>1118.0</v>
      </c>
      <c r="C1336" s="3">
        <v>897.0</v>
      </c>
      <c r="D1336" s="3">
        <v>1.0</v>
      </c>
      <c r="E1336" s="1" t="s">
        <v>328</v>
      </c>
      <c r="F1336" s="3">
        <v>19.0</v>
      </c>
      <c r="G1336" s="3">
        <v>1.0</v>
      </c>
      <c r="H1336" s="3">
        <v>0.0</v>
      </c>
      <c r="I1336" s="1"/>
      <c r="J1336" s="3">
        <v>836.0</v>
      </c>
    </row>
    <row r="1337">
      <c r="A1337" s="3">
        <v>1119.0</v>
      </c>
      <c r="B1337" s="3">
        <v>1119.0</v>
      </c>
      <c r="C1337" s="3">
        <v>893.0</v>
      </c>
      <c r="D1337" s="3">
        <v>1.0</v>
      </c>
      <c r="E1337" s="1" t="s">
        <v>328</v>
      </c>
      <c r="F1337" s="3">
        <v>15.0</v>
      </c>
      <c r="G1337" s="3">
        <v>1.0</v>
      </c>
      <c r="H1337" s="3">
        <v>0.0</v>
      </c>
      <c r="I1337" s="1"/>
      <c r="J1337" s="3">
        <v>836.0</v>
      </c>
    </row>
    <row r="1338">
      <c r="A1338" s="3">
        <v>1120.0</v>
      </c>
      <c r="B1338" s="3">
        <v>1120.0</v>
      </c>
      <c r="C1338" s="3">
        <v>894.0</v>
      </c>
      <c r="D1338" s="3">
        <v>1.0</v>
      </c>
      <c r="E1338" s="1" t="s">
        <v>328</v>
      </c>
      <c r="F1338" s="3">
        <v>16.0</v>
      </c>
      <c r="G1338" s="3">
        <v>1.0</v>
      </c>
      <c r="H1338" s="3">
        <v>0.0</v>
      </c>
      <c r="I1338" s="1"/>
      <c r="J1338" s="3">
        <v>836.0</v>
      </c>
    </row>
    <row r="1339">
      <c r="A1339" s="3">
        <v>1121.0</v>
      </c>
      <c r="B1339" s="3">
        <v>1121.0</v>
      </c>
      <c r="C1339" s="3">
        <v>901.0</v>
      </c>
      <c r="D1339" s="3">
        <v>1.0</v>
      </c>
      <c r="E1339" s="1" t="s">
        <v>328</v>
      </c>
      <c r="F1339" s="3">
        <v>22.0</v>
      </c>
      <c r="G1339" s="3">
        <v>1.0</v>
      </c>
      <c r="H1339" s="3">
        <v>0.0</v>
      </c>
      <c r="I1339" s="1"/>
      <c r="J1339" s="3">
        <v>836.0</v>
      </c>
    </row>
    <row r="1340">
      <c r="A1340" s="3">
        <v>1122.0</v>
      </c>
      <c r="B1340" s="3">
        <v>1122.0</v>
      </c>
      <c r="C1340" s="3">
        <v>891.0</v>
      </c>
      <c r="D1340" s="3">
        <v>1.0</v>
      </c>
      <c r="E1340" s="1" t="s">
        <v>328</v>
      </c>
      <c r="F1340" s="3">
        <v>13.0</v>
      </c>
      <c r="G1340" s="3">
        <v>1.0</v>
      </c>
      <c r="H1340" s="3">
        <v>0.0</v>
      </c>
      <c r="I1340" s="1"/>
      <c r="J1340" s="3">
        <v>836.0</v>
      </c>
    </row>
    <row r="1341">
      <c r="A1341" s="3">
        <v>1123.0</v>
      </c>
      <c r="B1341" s="3">
        <v>1123.0</v>
      </c>
      <c r="C1341" s="3">
        <v>888.0</v>
      </c>
      <c r="D1341" s="3">
        <v>1.0</v>
      </c>
      <c r="E1341" s="1" t="s">
        <v>328</v>
      </c>
      <c r="F1341" s="3">
        <v>10.0</v>
      </c>
      <c r="G1341" s="3">
        <v>1.0</v>
      </c>
      <c r="H1341" s="3">
        <v>0.0</v>
      </c>
      <c r="I1341" s="1"/>
      <c r="J1341" s="3">
        <v>836.0</v>
      </c>
    </row>
    <row r="1342">
      <c r="A1342" s="3">
        <v>1124.0</v>
      </c>
      <c r="B1342" s="3">
        <v>1124.0</v>
      </c>
      <c r="C1342" s="3">
        <v>887.0</v>
      </c>
      <c r="D1342" s="3">
        <v>1.0</v>
      </c>
      <c r="E1342" s="1" t="s">
        <v>328</v>
      </c>
      <c r="F1342" s="3">
        <v>9.0</v>
      </c>
      <c r="G1342" s="3">
        <v>1.0</v>
      </c>
      <c r="H1342" s="3">
        <v>0.0</v>
      </c>
      <c r="I1342" s="1"/>
      <c r="J1342" s="3">
        <v>836.0</v>
      </c>
    </row>
    <row r="1343">
      <c r="A1343" s="3">
        <v>1125.0</v>
      </c>
      <c r="B1343" s="3">
        <v>1125.0</v>
      </c>
      <c r="C1343" s="3">
        <v>889.0</v>
      </c>
      <c r="D1343" s="3">
        <v>1.0</v>
      </c>
      <c r="E1343" s="1" t="s">
        <v>328</v>
      </c>
      <c r="F1343" s="3">
        <v>11.0</v>
      </c>
      <c r="G1343" s="3">
        <v>1.0</v>
      </c>
      <c r="H1343" s="3">
        <v>0.0</v>
      </c>
      <c r="I1343" s="1"/>
      <c r="J1343" s="3">
        <v>836.0</v>
      </c>
    </row>
    <row r="1344">
      <c r="A1344" s="3">
        <v>1126.0</v>
      </c>
      <c r="B1344" s="3">
        <v>1126.0</v>
      </c>
      <c r="C1344" s="3">
        <v>902.0</v>
      </c>
      <c r="D1344" s="3">
        <v>1.0</v>
      </c>
      <c r="E1344" s="1" t="s">
        <v>328</v>
      </c>
      <c r="F1344" s="3">
        <v>23.0</v>
      </c>
      <c r="G1344" s="3">
        <v>1.0</v>
      </c>
      <c r="H1344" s="3">
        <v>0.0</v>
      </c>
      <c r="I1344" s="1"/>
      <c r="J1344" s="3">
        <v>836.0</v>
      </c>
    </row>
    <row r="1345">
      <c r="A1345" s="3">
        <v>1127.0</v>
      </c>
      <c r="B1345" s="3">
        <v>1127.0</v>
      </c>
      <c r="C1345" s="3">
        <v>896.0</v>
      </c>
      <c r="D1345" s="3">
        <v>1.0</v>
      </c>
      <c r="E1345" s="1" t="s">
        <v>328</v>
      </c>
      <c r="F1345" s="3">
        <v>18.0</v>
      </c>
      <c r="G1345" s="3">
        <v>1.0</v>
      </c>
      <c r="H1345" s="3">
        <v>0.0</v>
      </c>
      <c r="I1345" s="1"/>
      <c r="J1345" s="3">
        <v>836.0</v>
      </c>
    </row>
    <row r="1346">
      <c r="A1346" s="3">
        <v>1128.0</v>
      </c>
      <c r="B1346" s="3">
        <v>1128.0</v>
      </c>
      <c r="C1346" s="3">
        <v>899.0</v>
      </c>
      <c r="D1346" s="3">
        <v>1.0</v>
      </c>
      <c r="E1346" s="1" t="s">
        <v>328</v>
      </c>
      <c r="F1346" s="3">
        <v>20.0</v>
      </c>
      <c r="G1346" s="3">
        <v>1.0</v>
      </c>
      <c r="H1346" s="3">
        <v>0.0</v>
      </c>
      <c r="I1346" s="1"/>
      <c r="J1346" s="3">
        <v>836.0</v>
      </c>
    </row>
    <row r="1347">
      <c r="A1347" s="3">
        <v>1129.0</v>
      </c>
      <c r="B1347" s="3">
        <v>1129.0</v>
      </c>
      <c r="C1347" s="3">
        <v>898.0</v>
      </c>
      <c r="D1347" s="3">
        <v>1.0</v>
      </c>
      <c r="E1347" s="1" t="s">
        <v>328</v>
      </c>
      <c r="F1347" s="3">
        <v>21.0</v>
      </c>
      <c r="G1347" s="3">
        <v>1.0</v>
      </c>
      <c r="H1347" s="3">
        <v>0.0</v>
      </c>
      <c r="I1347" s="1"/>
      <c r="J1347" s="3">
        <v>836.0</v>
      </c>
    </row>
    <row r="1348">
      <c r="A1348" s="3">
        <v>1130.0</v>
      </c>
      <c r="B1348" s="3">
        <v>1130.0</v>
      </c>
      <c r="C1348" s="3">
        <v>895.0</v>
      </c>
      <c r="D1348" s="3">
        <v>1.0</v>
      </c>
      <c r="E1348" s="1" t="s">
        <v>328</v>
      </c>
      <c r="F1348" s="3">
        <v>17.0</v>
      </c>
      <c r="G1348" s="3">
        <v>1.0</v>
      </c>
      <c r="H1348" s="3">
        <v>0.0</v>
      </c>
      <c r="I1348" s="1"/>
      <c r="J1348" s="3">
        <v>836.0</v>
      </c>
    </row>
    <row r="1349">
      <c r="A1349" s="3">
        <v>1131.0</v>
      </c>
      <c r="B1349" s="3">
        <v>1131.0</v>
      </c>
      <c r="C1349" s="3">
        <v>886.0</v>
      </c>
      <c r="D1349" s="3">
        <v>1.0</v>
      </c>
      <c r="E1349" s="1" t="s">
        <v>328</v>
      </c>
      <c r="F1349" s="3">
        <v>8.0</v>
      </c>
      <c r="G1349" s="3">
        <v>1.0</v>
      </c>
      <c r="H1349" s="3">
        <v>0.0</v>
      </c>
      <c r="I1349" s="1"/>
      <c r="J1349" s="3">
        <v>836.0</v>
      </c>
    </row>
    <row r="1350">
      <c r="A1350" s="3">
        <v>1132.0</v>
      </c>
      <c r="B1350" s="3">
        <v>1132.0</v>
      </c>
      <c r="C1350" s="3">
        <v>1041.0</v>
      </c>
      <c r="D1350" s="3">
        <v>1.0</v>
      </c>
      <c r="E1350" s="1" t="s">
        <v>484</v>
      </c>
      <c r="F1350" s="1"/>
      <c r="G1350" s="3">
        <v>1.0</v>
      </c>
      <c r="H1350" s="3">
        <v>0.0</v>
      </c>
      <c r="I1350" s="1"/>
      <c r="J1350" s="3">
        <v>836.0</v>
      </c>
    </row>
    <row r="1351">
      <c r="A1351" s="3">
        <v>1133.0</v>
      </c>
      <c r="B1351" s="3">
        <v>1133.0</v>
      </c>
      <c r="C1351" s="3">
        <v>904.0</v>
      </c>
      <c r="D1351" s="3">
        <v>1.0</v>
      </c>
      <c r="E1351" s="1" t="s">
        <v>328</v>
      </c>
      <c r="F1351" s="3">
        <v>25.0</v>
      </c>
      <c r="G1351" s="3">
        <v>1.0</v>
      </c>
      <c r="H1351" s="3">
        <v>0.0</v>
      </c>
      <c r="I1351" s="1"/>
      <c r="J1351" s="3">
        <v>836.0</v>
      </c>
    </row>
    <row r="1352">
      <c r="A1352" s="3">
        <v>1134.0</v>
      </c>
      <c r="B1352" s="3">
        <v>1134.0</v>
      </c>
      <c r="C1352" s="3">
        <v>905.0</v>
      </c>
      <c r="D1352" s="3">
        <v>1.0</v>
      </c>
      <c r="E1352" s="1" t="s">
        <v>328</v>
      </c>
      <c r="F1352" s="3">
        <v>26.0</v>
      </c>
      <c r="G1352" s="3">
        <v>1.0</v>
      </c>
      <c r="H1352" s="3">
        <v>0.0</v>
      </c>
      <c r="I1352" s="1"/>
      <c r="J1352" s="3">
        <v>836.0</v>
      </c>
    </row>
    <row r="1353">
      <c r="A1353" s="3">
        <v>1135.0</v>
      </c>
      <c r="B1353" s="3">
        <v>1135.0</v>
      </c>
      <c r="C1353" s="3">
        <v>903.0</v>
      </c>
      <c r="D1353" s="3">
        <v>1.0</v>
      </c>
      <c r="E1353" s="1" t="s">
        <v>328</v>
      </c>
      <c r="F1353" s="3">
        <v>24.0</v>
      </c>
      <c r="G1353" s="3">
        <v>1.0</v>
      </c>
      <c r="H1353" s="3">
        <v>0.0</v>
      </c>
      <c r="I1353" s="1"/>
      <c r="J1353" s="3">
        <v>836.0</v>
      </c>
    </row>
    <row r="1354">
      <c r="A1354" s="3">
        <v>1136.0</v>
      </c>
      <c r="B1354" s="3">
        <v>1136.0</v>
      </c>
      <c r="C1354" s="3">
        <v>906.0</v>
      </c>
      <c r="D1354" s="3">
        <v>1.0</v>
      </c>
      <c r="E1354" s="1" t="s">
        <v>328</v>
      </c>
      <c r="F1354" s="3">
        <v>27.0</v>
      </c>
      <c r="G1354" s="3">
        <v>1.0</v>
      </c>
      <c r="H1354" s="3">
        <v>0.0</v>
      </c>
      <c r="I1354" s="1"/>
      <c r="J1354" s="3">
        <v>836.0</v>
      </c>
    </row>
    <row r="1355">
      <c r="A1355" s="3">
        <v>1137.0</v>
      </c>
      <c r="B1355" s="3">
        <v>1137.0</v>
      </c>
      <c r="C1355" s="3">
        <v>909.0</v>
      </c>
      <c r="D1355" s="3">
        <v>1.0</v>
      </c>
      <c r="E1355" s="1" t="s">
        <v>328</v>
      </c>
      <c r="F1355" s="3">
        <v>30.0</v>
      </c>
      <c r="G1355" s="3">
        <v>1.0</v>
      </c>
      <c r="H1355" s="3">
        <v>0.0</v>
      </c>
      <c r="I1355" s="1"/>
      <c r="J1355" s="3">
        <v>836.0</v>
      </c>
    </row>
    <row r="1356">
      <c r="A1356" s="3">
        <v>1138.0</v>
      </c>
      <c r="B1356" s="3">
        <v>1138.0</v>
      </c>
      <c r="C1356" s="3">
        <v>910.0</v>
      </c>
      <c r="D1356" s="3">
        <v>1.0</v>
      </c>
      <c r="E1356" s="1" t="s">
        <v>328</v>
      </c>
      <c r="F1356" s="3">
        <v>31.0</v>
      </c>
      <c r="G1356" s="3">
        <v>1.0</v>
      </c>
      <c r="H1356" s="3">
        <v>0.0</v>
      </c>
      <c r="I1356" s="1"/>
      <c r="J1356" s="3">
        <v>836.0</v>
      </c>
    </row>
    <row r="1357">
      <c r="A1357" s="3">
        <v>1139.0</v>
      </c>
      <c r="B1357" s="3">
        <v>1139.0</v>
      </c>
      <c r="C1357" s="3">
        <v>907.0</v>
      </c>
      <c r="D1357" s="3">
        <v>1.0</v>
      </c>
      <c r="E1357" s="1" t="s">
        <v>328</v>
      </c>
      <c r="F1357" s="3">
        <v>28.0</v>
      </c>
      <c r="G1357" s="3">
        <v>1.0</v>
      </c>
      <c r="H1357" s="3">
        <v>0.0</v>
      </c>
      <c r="I1357" s="1"/>
      <c r="J1357" s="3">
        <v>836.0</v>
      </c>
    </row>
    <row r="1358">
      <c r="A1358" s="3">
        <v>1140.0</v>
      </c>
      <c r="B1358" s="3">
        <v>1140.0</v>
      </c>
      <c r="C1358" s="3">
        <v>908.0</v>
      </c>
      <c r="D1358" s="3">
        <v>1.0</v>
      </c>
      <c r="E1358" s="1" t="s">
        <v>328</v>
      </c>
      <c r="F1358" s="3">
        <v>29.0</v>
      </c>
      <c r="G1358" s="3">
        <v>1.0</v>
      </c>
      <c r="H1358" s="3">
        <v>0.0</v>
      </c>
      <c r="I1358" s="1"/>
      <c r="J1358" s="3">
        <v>836.0</v>
      </c>
    </row>
    <row r="1359">
      <c r="A1359" s="3">
        <v>1141.0</v>
      </c>
      <c r="B1359" s="3">
        <v>1141.0</v>
      </c>
      <c r="C1359" s="3">
        <v>911.0</v>
      </c>
      <c r="D1359" s="3">
        <v>1.0</v>
      </c>
      <c r="E1359" s="1" t="s">
        <v>328</v>
      </c>
      <c r="F1359" s="3">
        <v>32.0</v>
      </c>
      <c r="G1359" s="3">
        <v>1.0</v>
      </c>
      <c r="H1359" s="3">
        <v>0.0</v>
      </c>
      <c r="I1359" s="1"/>
      <c r="J1359" s="3">
        <v>836.0</v>
      </c>
    </row>
    <row r="1360">
      <c r="A1360" s="3">
        <v>1142.0</v>
      </c>
      <c r="B1360" s="3">
        <v>1142.0</v>
      </c>
      <c r="C1360" s="3">
        <v>915.0</v>
      </c>
      <c r="D1360" s="3">
        <v>1.0</v>
      </c>
      <c r="E1360" s="1" t="s">
        <v>328</v>
      </c>
      <c r="F1360" s="3">
        <v>36.0</v>
      </c>
      <c r="G1360" s="3">
        <v>1.0</v>
      </c>
      <c r="H1360" s="3">
        <v>0.0</v>
      </c>
      <c r="I1360" s="1"/>
      <c r="J1360" s="3">
        <v>836.0</v>
      </c>
    </row>
    <row r="1361">
      <c r="A1361" s="3">
        <v>1143.0</v>
      </c>
      <c r="B1361" s="3">
        <v>1143.0</v>
      </c>
      <c r="C1361" s="3">
        <v>914.0</v>
      </c>
      <c r="D1361" s="3">
        <v>1.0</v>
      </c>
      <c r="E1361" s="1" t="s">
        <v>328</v>
      </c>
      <c r="F1361" s="3">
        <v>35.0</v>
      </c>
      <c r="G1361" s="3">
        <v>1.0</v>
      </c>
      <c r="H1361" s="3">
        <v>0.0</v>
      </c>
      <c r="I1361" s="1"/>
      <c r="J1361" s="3">
        <v>836.0</v>
      </c>
    </row>
    <row r="1362">
      <c r="A1362" s="3">
        <v>1144.0</v>
      </c>
      <c r="B1362" s="3">
        <v>1144.0</v>
      </c>
      <c r="C1362" s="3">
        <v>916.0</v>
      </c>
      <c r="D1362" s="3">
        <v>1.0</v>
      </c>
      <c r="E1362" s="1" t="s">
        <v>328</v>
      </c>
      <c r="F1362" s="3">
        <v>37.0</v>
      </c>
      <c r="G1362" s="3">
        <v>1.0</v>
      </c>
      <c r="H1362" s="3">
        <v>0.0</v>
      </c>
      <c r="I1362" s="1"/>
      <c r="J1362" s="3">
        <v>836.0</v>
      </c>
    </row>
    <row r="1363">
      <c r="A1363" s="3">
        <v>1145.0</v>
      </c>
      <c r="B1363" s="3">
        <v>1145.0</v>
      </c>
      <c r="C1363" s="3">
        <v>913.0</v>
      </c>
      <c r="D1363" s="3">
        <v>1.0</v>
      </c>
      <c r="E1363" s="1" t="s">
        <v>328</v>
      </c>
      <c r="F1363" s="3">
        <v>34.0</v>
      </c>
      <c r="G1363" s="3">
        <v>1.0</v>
      </c>
      <c r="H1363" s="3">
        <v>0.0</v>
      </c>
      <c r="I1363" s="1"/>
      <c r="J1363" s="3">
        <v>836.0</v>
      </c>
    </row>
    <row r="1364">
      <c r="A1364" s="3">
        <v>1146.0</v>
      </c>
      <c r="B1364" s="3">
        <v>1146.0</v>
      </c>
      <c r="C1364" s="3">
        <v>917.0</v>
      </c>
      <c r="D1364" s="3">
        <v>1.0</v>
      </c>
      <c r="E1364" s="1" t="s">
        <v>328</v>
      </c>
      <c r="F1364" s="3">
        <v>38.0</v>
      </c>
      <c r="G1364" s="3">
        <v>1.0</v>
      </c>
      <c r="H1364" s="3">
        <v>0.0</v>
      </c>
      <c r="I1364" s="1"/>
      <c r="J1364" s="3">
        <v>836.0</v>
      </c>
    </row>
    <row r="1365">
      <c r="A1365" s="3">
        <v>1147.0</v>
      </c>
      <c r="B1365" s="3">
        <v>1147.0</v>
      </c>
      <c r="C1365" s="3">
        <v>912.0</v>
      </c>
      <c r="D1365" s="3">
        <v>1.0</v>
      </c>
      <c r="E1365" s="1" t="s">
        <v>328</v>
      </c>
      <c r="F1365" s="3">
        <v>33.0</v>
      </c>
      <c r="G1365" s="3">
        <v>1.0</v>
      </c>
      <c r="H1365" s="3">
        <v>0.0</v>
      </c>
      <c r="I1365" s="1"/>
      <c r="J1365" s="3">
        <v>836.0</v>
      </c>
    </row>
    <row r="1366">
      <c r="A1366" s="3">
        <v>1148.0</v>
      </c>
      <c r="B1366" s="3">
        <v>1148.0</v>
      </c>
      <c r="C1366" s="3">
        <v>0.0</v>
      </c>
      <c r="D1366" s="3">
        <v>1.0</v>
      </c>
      <c r="E1366" s="1" t="s">
        <v>485</v>
      </c>
      <c r="F1366" s="1" t="s">
        <v>93</v>
      </c>
      <c r="G1366" s="3">
        <v>1.0</v>
      </c>
      <c r="H1366" s="3">
        <v>0.0</v>
      </c>
      <c r="I1366" s="1"/>
      <c r="J1366" s="3">
        <v>836.0</v>
      </c>
    </row>
    <row r="1367">
      <c r="A1367" s="3">
        <v>1149.0</v>
      </c>
      <c r="B1367" s="3">
        <v>1149.0</v>
      </c>
      <c r="C1367" s="3">
        <v>656.0</v>
      </c>
      <c r="D1367" s="3">
        <v>1.0</v>
      </c>
      <c r="E1367" s="1" t="s">
        <v>485</v>
      </c>
      <c r="F1367" s="3">
        <v>1.0</v>
      </c>
      <c r="G1367" s="3">
        <v>1.0</v>
      </c>
      <c r="H1367" s="3">
        <v>0.0</v>
      </c>
      <c r="I1367" s="1"/>
      <c r="J1367" s="3">
        <v>836.0</v>
      </c>
    </row>
    <row r="1368">
      <c r="A1368" s="3">
        <v>1150.0</v>
      </c>
      <c r="B1368" s="3">
        <v>1150.0</v>
      </c>
      <c r="C1368" s="3">
        <v>0.0</v>
      </c>
      <c r="D1368" s="3">
        <v>1.0</v>
      </c>
      <c r="E1368" s="1" t="s">
        <v>113</v>
      </c>
      <c r="F1368" s="3">
        <v>5.0</v>
      </c>
      <c r="G1368" s="3">
        <v>1.0</v>
      </c>
      <c r="H1368" s="3">
        <v>0.0</v>
      </c>
      <c r="I1368" s="1"/>
      <c r="J1368" s="3">
        <v>836.0</v>
      </c>
    </row>
    <row r="1369">
      <c r="A1369" s="3">
        <v>1151.0</v>
      </c>
      <c r="B1369" s="3">
        <v>1151.0</v>
      </c>
      <c r="C1369" s="3">
        <v>649.0</v>
      </c>
      <c r="D1369" s="3">
        <v>1.0</v>
      </c>
      <c r="E1369" s="1" t="s">
        <v>113</v>
      </c>
      <c r="F1369" s="3">
        <v>1.0</v>
      </c>
      <c r="G1369" s="3">
        <v>1.0</v>
      </c>
      <c r="H1369" s="3">
        <v>0.0</v>
      </c>
      <c r="I1369" s="1"/>
      <c r="J1369" s="3">
        <v>836.0</v>
      </c>
    </row>
    <row r="1370">
      <c r="A1370" s="3">
        <v>1152.0</v>
      </c>
      <c r="B1370" s="3">
        <v>1152.0</v>
      </c>
      <c r="C1370" s="3">
        <v>650.0</v>
      </c>
      <c r="D1370" s="3">
        <v>1.0</v>
      </c>
      <c r="E1370" s="1" t="s">
        <v>113</v>
      </c>
      <c r="F1370" s="3">
        <v>2.0</v>
      </c>
      <c r="G1370" s="3">
        <v>1.0</v>
      </c>
      <c r="H1370" s="3">
        <v>0.0</v>
      </c>
      <c r="I1370" s="1"/>
      <c r="J1370" s="3">
        <v>836.0</v>
      </c>
    </row>
    <row r="1371">
      <c r="A1371" s="3">
        <v>1153.0</v>
      </c>
      <c r="B1371" s="3">
        <v>1153.0</v>
      </c>
      <c r="C1371" s="3">
        <v>651.0</v>
      </c>
      <c r="D1371" s="3">
        <v>1.0</v>
      </c>
      <c r="E1371" s="1" t="s">
        <v>113</v>
      </c>
      <c r="F1371" s="3">
        <v>3.0</v>
      </c>
      <c r="G1371" s="3">
        <v>1.0</v>
      </c>
      <c r="H1371" s="3">
        <v>0.0</v>
      </c>
      <c r="I1371" s="1"/>
      <c r="J1371" s="3">
        <v>836.0</v>
      </c>
    </row>
    <row r="1372">
      <c r="A1372" s="3">
        <v>1156.0</v>
      </c>
      <c r="B1372" s="3">
        <v>1156.0</v>
      </c>
      <c r="C1372" s="3">
        <v>494.0</v>
      </c>
      <c r="D1372" s="3">
        <v>1.0</v>
      </c>
      <c r="E1372" s="2" t="s">
        <v>486</v>
      </c>
      <c r="F1372" s="1"/>
      <c r="G1372" s="3">
        <v>1.0</v>
      </c>
      <c r="H1372" s="3">
        <v>0.0</v>
      </c>
      <c r="I1372" s="1"/>
      <c r="J1372" s="3">
        <v>836.0</v>
      </c>
    </row>
    <row r="1373">
      <c r="A1373" s="3">
        <v>1157.0</v>
      </c>
      <c r="B1373" s="3">
        <v>1157.0</v>
      </c>
      <c r="C1373" s="3">
        <v>516.0</v>
      </c>
      <c r="D1373" s="3">
        <v>1.0</v>
      </c>
      <c r="E1373" s="1" t="s">
        <v>487</v>
      </c>
      <c r="F1373" s="1" t="s">
        <v>37</v>
      </c>
      <c r="G1373" s="3">
        <v>1.0</v>
      </c>
      <c r="H1373" s="3">
        <v>0.0</v>
      </c>
      <c r="I1373" s="1"/>
      <c r="J1373" s="3">
        <v>836.0</v>
      </c>
    </row>
    <row r="1374">
      <c r="A1374" s="3">
        <v>1158.0</v>
      </c>
      <c r="B1374" s="3">
        <v>1158.0</v>
      </c>
      <c r="C1374" s="3">
        <v>515.0</v>
      </c>
      <c r="D1374" s="3">
        <v>1.0</v>
      </c>
      <c r="E1374" s="1" t="s">
        <v>487</v>
      </c>
      <c r="F1374" s="1" t="s">
        <v>126</v>
      </c>
      <c r="G1374" s="3">
        <v>1.0</v>
      </c>
      <c r="H1374" s="3">
        <v>0.0</v>
      </c>
      <c r="I1374" s="1"/>
      <c r="J1374" s="3">
        <v>836.0</v>
      </c>
    </row>
    <row r="1375">
      <c r="A1375" s="3">
        <v>1159.0</v>
      </c>
      <c r="B1375" s="3">
        <v>1159.0</v>
      </c>
      <c r="C1375" s="3">
        <v>514.0</v>
      </c>
      <c r="D1375" s="3">
        <v>1.0</v>
      </c>
      <c r="E1375" s="1" t="s">
        <v>487</v>
      </c>
      <c r="F1375" s="1" t="s">
        <v>35</v>
      </c>
      <c r="G1375" s="3">
        <v>1.0</v>
      </c>
      <c r="H1375" s="3">
        <v>0.0</v>
      </c>
      <c r="I1375" s="1"/>
      <c r="J1375" s="3">
        <v>836.0</v>
      </c>
    </row>
    <row r="1376">
      <c r="A1376" s="3">
        <v>1160.0</v>
      </c>
      <c r="B1376" s="3">
        <v>1160.0</v>
      </c>
      <c r="C1376" s="3">
        <v>795.0</v>
      </c>
      <c r="D1376" s="3">
        <v>1.0</v>
      </c>
      <c r="E1376" s="1" t="s">
        <v>487</v>
      </c>
      <c r="F1376" s="1" t="s">
        <v>188</v>
      </c>
      <c r="G1376" s="3">
        <v>1.0</v>
      </c>
      <c r="H1376" s="3">
        <v>0.0</v>
      </c>
      <c r="I1376" s="1"/>
      <c r="J1376" s="3">
        <v>836.0</v>
      </c>
    </row>
    <row r="1377">
      <c r="A1377" s="3">
        <v>1161.0</v>
      </c>
      <c r="B1377" s="3">
        <v>1161.0</v>
      </c>
      <c r="C1377" s="3">
        <v>513.0</v>
      </c>
      <c r="D1377" s="3">
        <v>1.0</v>
      </c>
      <c r="E1377" s="1" t="s">
        <v>487</v>
      </c>
      <c r="F1377" s="1" t="s">
        <v>19</v>
      </c>
      <c r="G1377" s="3">
        <v>1.0</v>
      </c>
      <c r="H1377" s="3">
        <v>0.0</v>
      </c>
      <c r="I1377" s="1"/>
      <c r="J1377" s="3">
        <v>836.0</v>
      </c>
    </row>
    <row r="1378">
      <c r="A1378" s="3">
        <v>1162.0</v>
      </c>
      <c r="B1378" s="3">
        <v>1162.0</v>
      </c>
      <c r="C1378" s="3">
        <v>512.0</v>
      </c>
      <c r="D1378" s="3">
        <v>1.0</v>
      </c>
      <c r="E1378" s="1" t="s">
        <v>487</v>
      </c>
      <c r="F1378" s="1" t="s">
        <v>15</v>
      </c>
      <c r="G1378" s="3">
        <v>1.0</v>
      </c>
      <c r="H1378" s="3">
        <v>0.0</v>
      </c>
      <c r="I1378" s="1"/>
      <c r="J1378" s="3">
        <v>836.0</v>
      </c>
    </row>
    <row r="1379">
      <c r="A1379" s="3">
        <v>1163.0</v>
      </c>
      <c r="B1379" s="3">
        <v>1163.0</v>
      </c>
      <c r="C1379" s="3">
        <v>814.0</v>
      </c>
      <c r="D1379" s="3">
        <v>1.0</v>
      </c>
      <c r="E1379" s="1" t="s">
        <v>487</v>
      </c>
      <c r="F1379" s="1" t="s">
        <v>200</v>
      </c>
      <c r="G1379" s="3">
        <v>1.0</v>
      </c>
      <c r="H1379" s="3">
        <v>0.0</v>
      </c>
      <c r="I1379" s="1"/>
      <c r="J1379" s="3">
        <v>836.0</v>
      </c>
    </row>
    <row r="1380">
      <c r="A1380" s="3">
        <v>1164.0</v>
      </c>
      <c r="B1380" s="3">
        <v>1164.0</v>
      </c>
      <c r="C1380" s="3">
        <v>0.0</v>
      </c>
      <c r="D1380" s="3">
        <v>1.0</v>
      </c>
      <c r="E1380" s="1" t="s">
        <v>488</v>
      </c>
      <c r="F1380" s="1" t="s">
        <v>107</v>
      </c>
      <c r="G1380" s="3">
        <v>1.0</v>
      </c>
      <c r="H1380" s="3">
        <v>0.0</v>
      </c>
      <c r="I1380" s="1"/>
      <c r="J1380" s="3">
        <v>836.0</v>
      </c>
    </row>
    <row r="1381">
      <c r="A1381" s="3">
        <v>1165.0</v>
      </c>
      <c r="B1381" s="3">
        <v>1165.0</v>
      </c>
      <c r="C1381" s="3">
        <v>511.0</v>
      </c>
      <c r="D1381" s="3">
        <v>1.0</v>
      </c>
      <c r="E1381" s="1" t="s">
        <v>489</v>
      </c>
      <c r="F1381" s="1"/>
      <c r="G1381" s="3">
        <v>1.0</v>
      </c>
      <c r="H1381" s="3">
        <v>0.0</v>
      </c>
      <c r="I1381" s="1"/>
      <c r="J1381" s="3">
        <v>836.0</v>
      </c>
    </row>
    <row r="1382">
      <c r="A1382" s="3">
        <v>1166.0</v>
      </c>
      <c r="B1382" s="3">
        <v>1166.0</v>
      </c>
      <c r="C1382" s="3">
        <v>506.0</v>
      </c>
      <c r="D1382" s="3">
        <v>1.0</v>
      </c>
      <c r="E1382" s="1" t="s">
        <v>488</v>
      </c>
      <c r="F1382" s="1" t="s">
        <v>490</v>
      </c>
      <c r="G1382" s="3">
        <v>1.0</v>
      </c>
      <c r="H1382" s="3">
        <v>0.0</v>
      </c>
      <c r="I1382" s="1"/>
      <c r="J1382" s="3">
        <v>836.0</v>
      </c>
    </row>
    <row r="1383">
      <c r="A1383" s="3">
        <v>1167.0</v>
      </c>
      <c r="B1383" s="3">
        <v>1167.0</v>
      </c>
      <c r="C1383" s="3">
        <v>507.0</v>
      </c>
      <c r="D1383" s="3">
        <v>1.0</v>
      </c>
      <c r="E1383" s="1" t="s">
        <v>488</v>
      </c>
      <c r="F1383" s="1" t="s">
        <v>491</v>
      </c>
      <c r="G1383" s="3">
        <v>1.0</v>
      </c>
      <c r="H1383" s="3">
        <v>0.0</v>
      </c>
      <c r="I1383" s="1"/>
      <c r="J1383" s="3">
        <v>836.0</v>
      </c>
    </row>
    <row r="1384">
      <c r="A1384" s="3">
        <v>1168.0</v>
      </c>
      <c r="B1384" s="3">
        <v>1168.0</v>
      </c>
      <c r="C1384" s="3">
        <v>508.0</v>
      </c>
      <c r="D1384" s="3">
        <v>1.0</v>
      </c>
      <c r="E1384" s="1" t="s">
        <v>488</v>
      </c>
      <c r="F1384" s="1" t="s">
        <v>492</v>
      </c>
      <c r="G1384" s="3">
        <v>1.0</v>
      </c>
      <c r="H1384" s="3">
        <v>0.0</v>
      </c>
      <c r="I1384" s="1"/>
      <c r="J1384" s="3">
        <v>836.0</v>
      </c>
    </row>
    <row r="1385">
      <c r="A1385" s="3">
        <v>1169.0</v>
      </c>
      <c r="B1385" s="3">
        <v>1169.0</v>
      </c>
      <c r="C1385" s="3">
        <v>509.0</v>
      </c>
      <c r="D1385" s="3">
        <v>1.0</v>
      </c>
      <c r="E1385" s="1" t="s">
        <v>488</v>
      </c>
      <c r="F1385" s="1" t="s">
        <v>493</v>
      </c>
      <c r="G1385" s="3">
        <v>1.0</v>
      </c>
      <c r="H1385" s="3">
        <v>0.0</v>
      </c>
      <c r="I1385" s="1"/>
      <c r="J1385" s="3">
        <v>836.0</v>
      </c>
    </row>
    <row r="1386">
      <c r="A1386" s="3">
        <v>1170.0</v>
      </c>
      <c r="B1386" s="3">
        <v>1170.0</v>
      </c>
      <c r="C1386" s="3">
        <v>505.0</v>
      </c>
      <c r="D1386" s="3">
        <v>1.0</v>
      </c>
      <c r="E1386" s="1" t="s">
        <v>488</v>
      </c>
      <c r="F1386" s="1" t="s">
        <v>494</v>
      </c>
      <c r="G1386" s="3">
        <v>1.0</v>
      </c>
      <c r="H1386" s="3">
        <v>0.0</v>
      </c>
      <c r="I1386" s="1"/>
      <c r="J1386" s="3">
        <v>836.0</v>
      </c>
    </row>
    <row r="1387">
      <c r="A1387" s="3">
        <v>1171.0</v>
      </c>
      <c r="B1387" s="3">
        <v>1171.0</v>
      </c>
      <c r="C1387" s="3">
        <v>510.0</v>
      </c>
      <c r="D1387" s="3">
        <v>1.0</v>
      </c>
      <c r="E1387" s="1" t="s">
        <v>488</v>
      </c>
      <c r="F1387" s="1" t="s">
        <v>495</v>
      </c>
      <c r="G1387" s="3">
        <v>1.0</v>
      </c>
      <c r="H1387" s="3">
        <v>0.0</v>
      </c>
      <c r="I1387" s="1"/>
      <c r="J1387" s="3">
        <v>836.0</v>
      </c>
    </row>
    <row r="1388">
      <c r="A1388" s="3">
        <v>1172.0</v>
      </c>
      <c r="B1388" s="3">
        <v>1172.0</v>
      </c>
      <c r="C1388" s="3">
        <v>0.0</v>
      </c>
      <c r="D1388" s="3">
        <v>1.0</v>
      </c>
      <c r="E1388" s="1" t="s">
        <v>488</v>
      </c>
      <c r="F1388" s="1" t="s">
        <v>93</v>
      </c>
      <c r="G1388" s="3">
        <v>1.0</v>
      </c>
      <c r="H1388" s="3">
        <v>0.0</v>
      </c>
      <c r="I1388" s="1"/>
      <c r="J1388" s="3">
        <v>836.0</v>
      </c>
    </row>
    <row r="1389">
      <c r="A1389" s="3">
        <v>1173.0</v>
      </c>
      <c r="B1389" s="3">
        <v>1173.0</v>
      </c>
      <c r="C1389" s="3">
        <v>0.0</v>
      </c>
      <c r="D1389" s="3">
        <v>1.0</v>
      </c>
      <c r="E1389" s="1" t="s">
        <v>488</v>
      </c>
      <c r="F1389" s="1" t="s">
        <v>208</v>
      </c>
      <c r="G1389" s="3">
        <v>1.0</v>
      </c>
      <c r="H1389" s="3">
        <v>0.0</v>
      </c>
      <c r="I1389" s="1"/>
      <c r="J1389" s="3">
        <v>836.0</v>
      </c>
    </row>
    <row r="1390">
      <c r="A1390" s="3">
        <v>1174.0</v>
      </c>
      <c r="B1390" s="3">
        <v>1174.0</v>
      </c>
      <c r="C1390" s="3">
        <v>498.0</v>
      </c>
      <c r="D1390" s="3">
        <v>1.0</v>
      </c>
      <c r="E1390" s="1" t="s">
        <v>488</v>
      </c>
      <c r="F1390" s="1" t="s">
        <v>19</v>
      </c>
      <c r="G1390" s="3">
        <v>1.0</v>
      </c>
      <c r="H1390" s="3">
        <v>0.0</v>
      </c>
      <c r="I1390" s="1"/>
      <c r="J1390" s="3">
        <v>836.0</v>
      </c>
    </row>
    <row r="1391">
      <c r="A1391" s="3">
        <v>1175.0</v>
      </c>
      <c r="B1391" s="3">
        <v>1175.0</v>
      </c>
      <c r="C1391" s="3">
        <v>499.0</v>
      </c>
      <c r="D1391" s="3">
        <v>1.0</v>
      </c>
      <c r="E1391" s="1" t="s">
        <v>488</v>
      </c>
      <c r="F1391" s="1" t="s">
        <v>35</v>
      </c>
      <c r="G1391" s="3">
        <v>1.0</v>
      </c>
      <c r="H1391" s="3">
        <v>0.0</v>
      </c>
      <c r="I1391" s="1"/>
      <c r="J1391" s="3">
        <v>836.0</v>
      </c>
    </row>
    <row r="1392">
      <c r="A1392" s="3">
        <v>1176.0</v>
      </c>
      <c r="B1392" s="3">
        <v>1176.0</v>
      </c>
      <c r="C1392" s="3">
        <v>502.0</v>
      </c>
      <c r="D1392" s="3">
        <v>1.0</v>
      </c>
      <c r="E1392" s="1" t="s">
        <v>488</v>
      </c>
      <c r="F1392" s="1" t="s">
        <v>188</v>
      </c>
      <c r="G1392" s="3">
        <v>1.0</v>
      </c>
      <c r="H1392" s="3">
        <v>0.0</v>
      </c>
      <c r="I1392" s="1"/>
      <c r="J1392" s="3">
        <v>836.0</v>
      </c>
    </row>
    <row r="1393">
      <c r="A1393" s="3">
        <v>1177.0</v>
      </c>
      <c r="B1393" s="3">
        <v>1177.0</v>
      </c>
      <c r="C1393" s="3">
        <v>500.0</v>
      </c>
      <c r="D1393" s="3">
        <v>1.0</v>
      </c>
      <c r="E1393" s="1" t="s">
        <v>488</v>
      </c>
      <c r="F1393" s="1" t="s">
        <v>126</v>
      </c>
      <c r="G1393" s="3">
        <v>1.0</v>
      </c>
      <c r="H1393" s="3">
        <v>0.0</v>
      </c>
      <c r="I1393" s="1"/>
      <c r="J1393" s="3">
        <v>836.0</v>
      </c>
    </row>
    <row r="1394">
      <c r="A1394" s="3">
        <v>1178.0</v>
      </c>
      <c r="B1394" s="3">
        <v>1178.0</v>
      </c>
      <c r="C1394" s="3">
        <v>0.0</v>
      </c>
      <c r="D1394" s="3">
        <v>1.0</v>
      </c>
      <c r="E1394" s="1" t="s">
        <v>488</v>
      </c>
      <c r="F1394" s="1" t="s">
        <v>273</v>
      </c>
      <c r="G1394" s="3">
        <v>1.0</v>
      </c>
      <c r="H1394" s="3">
        <v>0.0</v>
      </c>
      <c r="I1394" s="1"/>
      <c r="J1394" s="3">
        <v>836.0</v>
      </c>
    </row>
    <row r="1395">
      <c r="A1395" s="3">
        <v>1179.0</v>
      </c>
      <c r="B1395" s="3">
        <v>1179.0</v>
      </c>
      <c r="C1395" s="3">
        <v>503.0</v>
      </c>
      <c r="D1395" s="3">
        <v>1.0</v>
      </c>
      <c r="E1395" s="1" t="s">
        <v>488</v>
      </c>
      <c r="F1395" s="1" t="s">
        <v>200</v>
      </c>
      <c r="G1395" s="3">
        <v>1.0</v>
      </c>
      <c r="H1395" s="3">
        <v>0.0</v>
      </c>
      <c r="I1395" s="1"/>
      <c r="J1395" s="3">
        <v>836.0</v>
      </c>
    </row>
    <row r="1396">
      <c r="A1396" s="3">
        <v>1180.0</v>
      </c>
      <c r="B1396" s="3">
        <v>1180.0</v>
      </c>
      <c r="C1396" s="3">
        <v>504.0</v>
      </c>
      <c r="D1396" s="3">
        <v>1.0</v>
      </c>
      <c r="E1396" s="1" t="s">
        <v>488</v>
      </c>
      <c r="F1396" s="1" t="s">
        <v>189</v>
      </c>
      <c r="G1396" s="3">
        <v>1.0</v>
      </c>
      <c r="H1396" s="3">
        <v>0.0</v>
      </c>
      <c r="I1396" s="1"/>
      <c r="J1396" s="3">
        <v>836.0</v>
      </c>
    </row>
    <row r="1397">
      <c r="A1397" s="3">
        <v>1181.0</v>
      </c>
      <c r="B1397" s="3">
        <v>1181.0</v>
      </c>
      <c r="C1397" s="3">
        <v>501.0</v>
      </c>
      <c r="D1397" s="3">
        <v>1.0</v>
      </c>
      <c r="E1397" s="1" t="s">
        <v>488</v>
      </c>
      <c r="F1397" s="1" t="s">
        <v>37</v>
      </c>
      <c r="G1397" s="3">
        <v>1.0</v>
      </c>
      <c r="H1397" s="3">
        <v>0.0</v>
      </c>
      <c r="I1397" s="1"/>
      <c r="J1397" s="3">
        <v>836.0</v>
      </c>
    </row>
    <row r="1398">
      <c r="A1398" s="3">
        <v>1182.0</v>
      </c>
      <c r="B1398" s="3">
        <v>1182.0</v>
      </c>
      <c r="C1398" s="3">
        <v>0.0</v>
      </c>
      <c r="D1398" s="3">
        <v>1.0</v>
      </c>
      <c r="E1398" s="1" t="s">
        <v>488</v>
      </c>
      <c r="F1398" s="1" t="s">
        <v>258</v>
      </c>
      <c r="G1398" s="3">
        <v>1.0</v>
      </c>
      <c r="H1398" s="3">
        <v>0.0</v>
      </c>
      <c r="I1398" s="1"/>
      <c r="J1398" s="3">
        <v>836.0</v>
      </c>
    </row>
    <row r="1399">
      <c r="A1399" s="3">
        <v>1183.0</v>
      </c>
      <c r="B1399" s="3">
        <v>1183.0</v>
      </c>
      <c r="C1399" s="3">
        <v>0.0</v>
      </c>
      <c r="D1399" s="3">
        <v>1.0</v>
      </c>
      <c r="E1399" s="1" t="s">
        <v>488</v>
      </c>
      <c r="F1399" s="1" t="s">
        <v>106</v>
      </c>
      <c r="G1399" s="3">
        <v>1.0</v>
      </c>
      <c r="H1399" s="3">
        <v>0.0</v>
      </c>
      <c r="I1399" s="1"/>
      <c r="J1399" s="3">
        <v>836.0</v>
      </c>
    </row>
    <row r="1400">
      <c r="A1400" s="3">
        <v>1184.0</v>
      </c>
      <c r="B1400" s="3">
        <v>1184.0</v>
      </c>
      <c r="C1400" s="3">
        <v>0.0</v>
      </c>
      <c r="D1400" s="3">
        <v>1.0</v>
      </c>
      <c r="E1400" s="1" t="s">
        <v>488</v>
      </c>
      <c r="F1400" s="1" t="s">
        <v>257</v>
      </c>
      <c r="G1400" s="3">
        <v>1.0</v>
      </c>
      <c r="H1400" s="3">
        <v>0.0</v>
      </c>
      <c r="I1400" s="1"/>
      <c r="J1400" s="3">
        <v>836.0</v>
      </c>
    </row>
    <row r="1401">
      <c r="A1401" s="3">
        <v>1185.0</v>
      </c>
      <c r="B1401" s="3">
        <v>1185.0</v>
      </c>
      <c r="C1401" s="3">
        <v>497.0</v>
      </c>
      <c r="D1401" s="3">
        <v>1.0</v>
      </c>
      <c r="E1401" s="1" t="s">
        <v>488</v>
      </c>
      <c r="F1401" s="1" t="s">
        <v>15</v>
      </c>
      <c r="G1401" s="3">
        <v>1.0</v>
      </c>
      <c r="H1401" s="3">
        <v>0.0</v>
      </c>
      <c r="I1401" s="1"/>
      <c r="J1401" s="3">
        <v>836.0</v>
      </c>
    </row>
    <row r="1402">
      <c r="A1402" s="3">
        <v>1186.0</v>
      </c>
      <c r="B1402" s="3">
        <v>1186.0</v>
      </c>
      <c r="C1402" s="3">
        <v>528.0</v>
      </c>
      <c r="D1402" s="3">
        <v>1.0</v>
      </c>
      <c r="E1402" s="1" t="s">
        <v>496</v>
      </c>
      <c r="F1402" s="1" t="s">
        <v>15</v>
      </c>
      <c r="G1402" s="3">
        <v>1.0</v>
      </c>
      <c r="H1402" s="3">
        <v>0.0</v>
      </c>
      <c r="I1402" s="1"/>
      <c r="J1402" s="3">
        <v>836.0</v>
      </c>
    </row>
    <row r="1403">
      <c r="A1403" s="3">
        <v>1187.0</v>
      </c>
      <c r="B1403" s="3">
        <v>1187.0</v>
      </c>
      <c r="C1403" s="3">
        <v>524.0</v>
      </c>
      <c r="D1403" s="3">
        <v>1.0</v>
      </c>
      <c r="E1403" s="1" t="s">
        <v>497</v>
      </c>
      <c r="F1403" s="3">
        <v>3.0</v>
      </c>
      <c r="G1403" s="3">
        <v>1.0</v>
      </c>
      <c r="H1403" s="3">
        <v>0.0</v>
      </c>
      <c r="I1403" s="1"/>
      <c r="J1403" s="3">
        <v>836.0</v>
      </c>
    </row>
    <row r="1404">
      <c r="A1404" s="3">
        <v>1188.0</v>
      </c>
      <c r="B1404" s="3">
        <v>1188.0</v>
      </c>
      <c r="C1404" s="3">
        <v>525.0</v>
      </c>
      <c r="D1404" s="3">
        <v>1.0</v>
      </c>
      <c r="E1404" s="1" t="s">
        <v>497</v>
      </c>
      <c r="F1404" s="3">
        <v>4.0</v>
      </c>
      <c r="G1404" s="3">
        <v>1.0</v>
      </c>
      <c r="H1404" s="3">
        <v>0.0</v>
      </c>
      <c r="I1404" s="1"/>
      <c r="J1404" s="3">
        <v>836.0</v>
      </c>
    </row>
    <row r="1405">
      <c r="A1405" s="3">
        <v>1189.0</v>
      </c>
      <c r="B1405" s="3">
        <v>1189.0</v>
      </c>
      <c r="C1405" s="3">
        <v>952.0</v>
      </c>
      <c r="D1405" s="3">
        <v>1.0</v>
      </c>
      <c r="E1405" s="1" t="s">
        <v>496</v>
      </c>
      <c r="F1405" s="1" t="s">
        <v>126</v>
      </c>
      <c r="G1405" s="3">
        <v>1.0</v>
      </c>
      <c r="H1405" s="3">
        <v>0.0</v>
      </c>
      <c r="I1405" s="1"/>
      <c r="J1405" s="3">
        <v>836.0</v>
      </c>
    </row>
    <row r="1406">
      <c r="A1406" s="3">
        <v>1190.0</v>
      </c>
      <c r="B1406" s="3">
        <v>1190.0</v>
      </c>
      <c r="C1406" s="3">
        <v>529.0</v>
      </c>
      <c r="D1406" s="3">
        <v>1.0</v>
      </c>
      <c r="E1406" s="1" t="s">
        <v>496</v>
      </c>
      <c r="F1406" s="1" t="s">
        <v>19</v>
      </c>
      <c r="G1406" s="3">
        <v>1.0</v>
      </c>
      <c r="H1406" s="3">
        <v>0.0</v>
      </c>
      <c r="I1406" s="1"/>
      <c r="J1406" s="3">
        <v>836.0</v>
      </c>
    </row>
    <row r="1407">
      <c r="A1407" s="3">
        <v>1191.0</v>
      </c>
      <c r="B1407" s="3">
        <v>1191.0</v>
      </c>
      <c r="C1407" s="3">
        <v>530.0</v>
      </c>
      <c r="D1407" s="3">
        <v>1.0</v>
      </c>
      <c r="E1407" s="1" t="s">
        <v>496</v>
      </c>
      <c r="F1407" s="1" t="s">
        <v>35</v>
      </c>
      <c r="G1407" s="3">
        <v>1.0</v>
      </c>
      <c r="H1407" s="3">
        <v>0.0</v>
      </c>
      <c r="I1407" s="1"/>
      <c r="J1407" s="3">
        <v>836.0</v>
      </c>
    </row>
    <row r="1408">
      <c r="A1408" s="3">
        <v>1192.0</v>
      </c>
      <c r="B1408" s="3">
        <v>1192.0</v>
      </c>
      <c r="C1408" s="3">
        <v>954.0</v>
      </c>
      <c r="D1408" s="3">
        <v>1.0</v>
      </c>
      <c r="E1408" s="1" t="s">
        <v>496</v>
      </c>
      <c r="F1408" s="1" t="s">
        <v>188</v>
      </c>
      <c r="G1408" s="3">
        <v>1.0</v>
      </c>
      <c r="H1408" s="3">
        <v>0.0</v>
      </c>
      <c r="I1408" s="1"/>
      <c r="J1408" s="3">
        <v>836.0</v>
      </c>
    </row>
    <row r="1409">
      <c r="A1409" s="3">
        <v>1193.0</v>
      </c>
      <c r="B1409" s="3">
        <v>1193.0</v>
      </c>
      <c r="C1409" s="3">
        <v>953.0</v>
      </c>
      <c r="D1409" s="3">
        <v>1.0</v>
      </c>
      <c r="E1409" s="1" t="s">
        <v>496</v>
      </c>
      <c r="F1409" s="1" t="s">
        <v>37</v>
      </c>
      <c r="G1409" s="3">
        <v>1.0</v>
      </c>
      <c r="H1409" s="3">
        <v>0.0</v>
      </c>
      <c r="I1409" s="1"/>
      <c r="J1409" s="3">
        <v>836.0</v>
      </c>
    </row>
    <row r="1410">
      <c r="A1410" s="3">
        <v>1194.0</v>
      </c>
      <c r="B1410" s="3">
        <v>1194.0</v>
      </c>
      <c r="C1410" s="3">
        <v>522.0</v>
      </c>
      <c r="D1410" s="3">
        <v>1.0</v>
      </c>
      <c r="E1410" s="1" t="s">
        <v>498</v>
      </c>
      <c r="F1410" s="1" t="s">
        <v>28</v>
      </c>
      <c r="G1410" s="3">
        <v>1.0</v>
      </c>
      <c r="H1410" s="3">
        <v>0.0</v>
      </c>
      <c r="I1410" s="1"/>
      <c r="J1410" s="3">
        <v>836.0</v>
      </c>
    </row>
    <row r="1411">
      <c r="A1411" s="3">
        <v>1195.0</v>
      </c>
      <c r="B1411" s="3">
        <v>1195.0</v>
      </c>
      <c r="C1411" s="3">
        <v>523.0</v>
      </c>
      <c r="D1411" s="3">
        <v>1.0</v>
      </c>
      <c r="E1411" s="1" t="s">
        <v>498</v>
      </c>
      <c r="F1411" s="3">
        <v>2.0</v>
      </c>
      <c r="G1411" s="3">
        <v>1.0</v>
      </c>
      <c r="H1411" s="3">
        <v>0.0</v>
      </c>
      <c r="I1411" s="1"/>
      <c r="J1411" s="3">
        <v>836.0</v>
      </c>
    </row>
    <row r="1412">
      <c r="A1412" s="3">
        <v>1196.0</v>
      </c>
      <c r="B1412" s="3">
        <v>1196.0</v>
      </c>
      <c r="C1412" s="3">
        <v>519.0</v>
      </c>
      <c r="D1412" s="3">
        <v>1.0</v>
      </c>
      <c r="E1412" s="1" t="s">
        <v>498</v>
      </c>
      <c r="F1412" s="1" t="s">
        <v>25</v>
      </c>
      <c r="G1412" s="3">
        <v>1.0</v>
      </c>
      <c r="H1412" s="3">
        <v>0.0</v>
      </c>
      <c r="I1412" s="1"/>
      <c r="J1412" s="3">
        <v>836.0</v>
      </c>
    </row>
    <row r="1413">
      <c r="A1413" s="3">
        <v>1197.0</v>
      </c>
      <c r="B1413" s="3">
        <v>1197.0</v>
      </c>
      <c r="C1413" s="3">
        <v>946.0</v>
      </c>
      <c r="D1413" s="3">
        <v>1.0</v>
      </c>
      <c r="E1413" s="1" t="s">
        <v>498</v>
      </c>
      <c r="F1413" s="1" t="s">
        <v>155</v>
      </c>
      <c r="G1413" s="3">
        <v>1.0</v>
      </c>
      <c r="H1413" s="3">
        <v>0.0</v>
      </c>
      <c r="I1413" s="1"/>
      <c r="J1413" s="3">
        <v>836.0</v>
      </c>
    </row>
    <row r="1414">
      <c r="A1414" s="3">
        <v>1198.0</v>
      </c>
      <c r="B1414" s="3">
        <v>1198.0</v>
      </c>
      <c r="C1414" s="3">
        <v>518.0</v>
      </c>
      <c r="D1414" s="3">
        <v>1.0</v>
      </c>
      <c r="E1414" s="1" t="s">
        <v>498</v>
      </c>
      <c r="F1414" s="1" t="s">
        <v>24</v>
      </c>
      <c r="G1414" s="3">
        <v>1.0</v>
      </c>
      <c r="H1414" s="3">
        <v>0.0</v>
      </c>
      <c r="I1414" s="1"/>
      <c r="J1414" s="3">
        <v>836.0</v>
      </c>
    </row>
    <row r="1415">
      <c r="A1415" s="3">
        <v>1199.0</v>
      </c>
      <c r="B1415" s="3">
        <v>1199.0</v>
      </c>
      <c r="C1415" s="3">
        <v>521.0</v>
      </c>
      <c r="D1415" s="3">
        <v>1.0</v>
      </c>
      <c r="E1415" s="1" t="s">
        <v>498</v>
      </c>
      <c r="F1415" s="1" t="s">
        <v>26</v>
      </c>
      <c r="G1415" s="3">
        <v>1.0</v>
      </c>
      <c r="H1415" s="3">
        <v>0.0</v>
      </c>
      <c r="I1415" s="1"/>
      <c r="J1415" s="3">
        <v>836.0</v>
      </c>
    </row>
    <row r="1416">
      <c r="A1416" s="3">
        <v>1201.0</v>
      </c>
      <c r="B1416" s="3">
        <v>1201.0</v>
      </c>
      <c r="C1416" s="3">
        <v>520.0</v>
      </c>
      <c r="D1416" s="3">
        <v>1.0</v>
      </c>
      <c r="E1416" s="1" t="s">
        <v>498</v>
      </c>
      <c r="F1416" s="1" t="s">
        <v>27</v>
      </c>
      <c r="G1416" s="3">
        <v>1.0</v>
      </c>
      <c r="H1416" s="3">
        <v>0.0</v>
      </c>
      <c r="I1416" s="1"/>
      <c r="J1416" s="3">
        <v>836.0</v>
      </c>
    </row>
    <row r="1417">
      <c r="A1417" s="3">
        <v>1202.0</v>
      </c>
      <c r="B1417" s="3">
        <v>1202.0</v>
      </c>
      <c r="C1417" s="3">
        <v>526.0</v>
      </c>
      <c r="D1417" s="3">
        <v>1.0</v>
      </c>
      <c r="E1417" s="1" t="s">
        <v>499</v>
      </c>
      <c r="F1417" s="1"/>
      <c r="G1417" s="3">
        <v>1.0</v>
      </c>
      <c r="H1417" s="3">
        <v>0.0</v>
      </c>
      <c r="I1417" s="1"/>
      <c r="J1417" s="3">
        <v>836.0</v>
      </c>
    </row>
    <row r="1418">
      <c r="A1418" s="3">
        <v>1203.0</v>
      </c>
      <c r="B1418" s="3">
        <v>1203.0</v>
      </c>
      <c r="C1418" s="3">
        <v>1003.0</v>
      </c>
      <c r="D1418" s="3">
        <v>1.0</v>
      </c>
      <c r="E1418" s="1" t="s">
        <v>500</v>
      </c>
      <c r="F1418" s="1"/>
      <c r="G1418" s="3">
        <v>1.0</v>
      </c>
      <c r="H1418" s="3">
        <v>0.0</v>
      </c>
      <c r="I1418" s="1"/>
      <c r="J1418" s="3">
        <v>836.0</v>
      </c>
    </row>
    <row r="1419">
      <c r="A1419" s="3">
        <v>1204.0</v>
      </c>
      <c r="B1419" s="3">
        <v>1204.0</v>
      </c>
      <c r="C1419" s="3">
        <v>0.0</v>
      </c>
      <c r="D1419" s="3">
        <v>1.0</v>
      </c>
      <c r="E1419" s="1" t="s">
        <v>501</v>
      </c>
      <c r="F1419" s="1" t="s">
        <v>93</v>
      </c>
      <c r="G1419" s="3">
        <v>1.0</v>
      </c>
      <c r="H1419" s="3">
        <v>0.0</v>
      </c>
      <c r="I1419" s="1"/>
      <c r="J1419" s="3">
        <v>836.0</v>
      </c>
    </row>
    <row r="1420">
      <c r="A1420" s="3">
        <v>1205.0</v>
      </c>
      <c r="B1420" s="3">
        <v>1205.0</v>
      </c>
      <c r="C1420" s="3">
        <v>80.0</v>
      </c>
      <c r="D1420" s="3">
        <v>1.0</v>
      </c>
      <c r="E1420" s="1" t="s">
        <v>501</v>
      </c>
      <c r="F1420" s="1" t="s">
        <v>19</v>
      </c>
      <c r="G1420" s="3">
        <v>1.0</v>
      </c>
      <c r="H1420" s="3">
        <v>0.0</v>
      </c>
      <c r="I1420" s="1"/>
      <c r="J1420" s="3">
        <v>836.0</v>
      </c>
    </row>
    <row r="1421">
      <c r="A1421" s="3">
        <v>1206.0</v>
      </c>
      <c r="B1421" s="3">
        <v>1206.0</v>
      </c>
      <c r="C1421" s="3">
        <v>517.0</v>
      </c>
      <c r="D1421" s="3">
        <v>1.0</v>
      </c>
      <c r="E1421" s="1" t="s">
        <v>501</v>
      </c>
      <c r="F1421" s="1" t="s">
        <v>15</v>
      </c>
      <c r="G1421" s="3">
        <v>1.0</v>
      </c>
      <c r="H1421" s="3">
        <v>0.0</v>
      </c>
      <c r="I1421" s="1"/>
      <c r="J1421" s="3">
        <v>836.0</v>
      </c>
    </row>
    <row r="1422">
      <c r="A1422" s="3">
        <v>1207.0</v>
      </c>
      <c r="B1422" s="3">
        <v>1207.0</v>
      </c>
      <c r="C1422" s="3">
        <v>0.0</v>
      </c>
      <c r="D1422" s="3">
        <v>1.0</v>
      </c>
      <c r="E1422" s="1" t="s">
        <v>501</v>
      </c>
      <c r="F1422" s="1" t="s">
        <v>106</v>
      </c>
      <c r="G1422" s="3">
        <v>1.0</v>
      </c>
      <c r="H1422" s="3">
        <v>0.0</v>
      </c>
      <c r="I1422" s="1"/>
      <c r="J1422" s="3">
        <v>836.0</v>
      </c>
    </row>
    <row r="1423">
      <c r="A1423" s="3">
        <v>1208.0</v>
      </c>
      <c r="B1423" s="3">
        <v>1208.0</v>
      </c>
      <c r="C1423" s="3">
        <v>0.0</v>
      </c>
      <c r="D1423" s="3">
        <v>1.0</v>
      </c>
      <c r="E1423" s="1" t="s">
        <v>502</v>
      </c>
      <c r="F1423" s="1" t="s">
        <v>107</v>
      </c>
      <c r="G1423" s="3">
        <v>1.0</v>
      </c>
      <c r="H1423" s="3">
        <v>0.0</v>
      </c>
      <c r="I1423" s="1"/>
      <c r="J1423" s="3">
        <v>836.0</v>
      </c>
    </row>
    <row r="1424">
      <c r="A1424" s="3">
        <v>1209.0</v>
      </c>
      <c r="B1424" s="3">
        <v>1209.0</v>
      </c>
      <c r="C1424" s="3">
        <v>629.0</v>
      </c>
      <c r="D1424" s="3">
        <v>1.0</v>
      </c>
      <c r="E1424" s="1" t="s">
        <v>502</v>
      </c>
      <c r="F1424" s="1" t="s">
        <v>24</v>
      </c>
      <c r="G1424" s="3">
        <v>1.0</v>
      </c>
      <c r="H1424" s="3">
        <v>0.0</v>
      </c>
      <c r="I1424" s="1"/>
      <c r="J1424" s="3">
        <v>836.0</v>
      </c>
    </row>
    <row r="1425">
      <c r="A1425" s="3">
        <v>1210.0</v>
      </c>
      <c r="B1425" s="3">
        <v>1210.0</v>
      </c>
      <c r="C1425" s="3">
        <v>630.0</v>
      </c>
      <c r="D1425" s="3">
        <v>1.0</v>
      </c>
      <c r="E1425" s="1" t="s">
        <v>502</v>
      </c>
      <c r="F1425" s="1" t="s">
        <v>25</v>
      </c>
      <c r="G1425" s="3">
        <v>1.0</v>
      </c>
      <c r="H1425" s="3">
        <v>0.0</v>
      </c>
      <c r="I1425" s="1"/>
      <c r="J1425" s="3">
        <v>836.0</v>
      </c>
    </row>
    <row r="1426">
      <c r="A1426" s="3">
        <v>1211.0</v>
      </c>
      <c r="B1426" s="3">
        <v>1211.0</v>
      </c>
      <c r="C1426" s="3">
        <v>634.0</v>
      </c>
      <c r="D1426" s="3">
        <v>1.0</v>
      </c>
      <c r="E1426" s="1" t="s">
        <v>502</v>
      </c>
      <c r="F1426" s="3">
        <v>3.0</v>
      </c>
      <c r="G1426" s="3">
        <v>1.0</v>
      </c>
      <c r="H1426" s="3">
        <v>0.0</v>
      </c>
      <c r="I1426" s="1"/>
      <c r="J1426" s="3">
        <v>836.0</v>
      </c>
    </row>
    <row r="1427">
      <c r="A1427" s="3">
        <v>1213.0</v>
      </c>
      <c r="B1427" s="3">
        <v>1213.0</v>
      </c>
      <c r="C1427" s="3">
        <v>616.0</v>
      </c>
      <c r="D1427" s="3">
        <v>1.0</v>
      </c>
      <c r="E1427" s="1" t="s">
        <v>503</v>
      </c>
      <c r="F1427" s="1" t="s">
        <v>504</v>
      </c>
      <c r="G1427" s="3">
        <v>1.0</v>
      </c>
      <c r="H1427" s="3">
        <v>0.0</v>
      </c>
      <c r="I1427" s="1"/>
      <c r="J1427" s="3">
        <v>836.0</v>
      </c>
    </row>
    <row r="1428">
      <c r="A1428" s="3">
        <v>1214.0</v>
      </c>
      <c r="B1428" s="3">
        <v>1214.0</v>
      </c>
      <c r="C1428" s="3">
        <v>606.0</v>
      </c>
      <c r="D1428" s="3">
        <v>1.0</v>
      </c>
      <c r="E1428" s="1" t="s">
        <v>503</v>
      </c>
      <c r="F1428" s="1" t="s">
        <v>227</v>
      </c>
      <c r="G1428" s="3">
        <v>1.0</v>
      </c>
      <c r="H1428" s="3">
        <v>0.0</v>
      </c>
      <c r="I1428" s="1"/>
      <c r="J1428" s="3">
        <v>836.0</v>
      </c>
    </row>
    <row r="1429">
      <c r="A1429" s="3">
        <v>1215.0</v>
      </c>
      <c r="B1429" s="3">
        <v>1215.0</v>
      </c>
      <c r="C1429" s="3">
        <v>608.0</v>
      </c>
      <c r="D1429" s="3">
        <v>1.0</v>
      </c>
      <c r="E1429" s="1" t="s">
        <v>503</v>
      </c>
      <c r="F1429" s="1" t="s">
        <v>229</v>
      </c>
      <c r="G1429" s="3">
        <v>1.0</v>
      </c>
      <c r="H1429" s="3">
        <v>0.0</v>
      </c>
      <c r="I1429" s="1"/>
      <c r="J1429" s="3">
        <v>836.0</v>
      </c>
    </row>
    <row r="1430">
      <c r="A1430" s="3">
        <v>1216.0</v>
      </c>
      <c r="B1430" s="3">
        <v>1216.0</v>
      </c>
      <c r="C1430" s="3">
        <v>607.0</v>
      </c>
      <c r="D1430" s="3">
        <v>1.0</v>
      </c>
      <c r="E1430" s="1" t="s">
        <v>503</v>
      </c>
      <c r="F1430" s="1" t="s">
        <v>230</v>
      </c>
      <c r="G1430" s="3">
        <v>1.0</v>
      </c>
      <c r="H1430" s="3">
        <v>0.0</v>
      </c>
      <c r="I1430" s="1"/>
      <c r="J1430" s="3">
        <v>836.0</v>
      </c>
    </row>
    <row r="1431">
      <c r="A1431" s="3">
        <v>1217.0</v>
      </c>
      <c r="B1431" s="3">
        <v>1217.0</v>
      </c>
      <c r="C1431" s="3">
        <v>610.0</v>
      </c>
      <c r="D1431" s="3">
        <v>1.0</v>
      </c>
      <c r="E1431" s="1" t="s">
        <v>503</v>
      </c>
      <c r="F1431" s="1" t="s">
        <v>233</v>
      </c>
      <c r="G1431" s="3">
        <v>1.0</v>
      </c>
      <c r="H1431" s="3">
        <v>0.0</v>
      </c>
      <c r="I1431" s="1"/>
      <c r="J1431" s="3">
        <v>836.0</v>
      </c>
    </row>
    <row r="1432">
      <c r="A1432" s="3">
        <v>1218.0</v>
      </c>
      <c r="B1432" s="3">
        <v>1218.0</v>
      </c>
      <c r="C1432" s="3">
        <v>609.0</v>
      </c>
      <c r="D1432" s="3">
        <v>1.0</v>
      </c>
      <c r="E1432" s="1" t="s">
        <v>503</v>
      </c>
      <c r="F1432" s="1" t="s">
        <v>232</v>
      </c>
      <c r="G1432" s="3">
        <v>1.0</v>
      </c>
      <c r="H1432" s="3">
        <v>0.0</v>
      </c>
      <c r="I1432" s="1"/>
      <c r="J1432" s="3">
        <v>836.0</v>
      </c>
    </row>
    <row r="1433">
      <c r="A1433" s="3">
        <v>1219.0</v>
      </c>
      <c r="B1433" s="3">
        <v>1219.0</v>
      </c>
      <c r="C1433" s="3">
        <v>619.0</v>
      </c>
      <c r="D1433" s="3">
        <v>1.0</v>
      </c>
      <c r="E1433" s="1" t="s">
        <v>503</v>
      </c>
      <c r="F1433" s="1" t="s">
        <v>505</v>
      </c>
      <c r="G1433" s="3">
        <v>1.0</v>
      </c>
      <c r="H1433" s="3">
        <v>0.0</v>
      </c>
      <c r="I1433" s="1"/>
      <c r="J1433" s="3">
        <v>836.0</v>
      </c>
    </row>
    <row r="1434">
      <c r="A1434" s="3">
        <v>1220.0</v>
      </c>
      <c r="B1434" s="3">
        <v>1220.0</v>
      </c>
      <c r="C1434" s="3">
        <v>0.0</v>
      </c>
      <c r="D1434" s="3">
        <v>1.0</v>
      </c>
      <c r="E1434" s="1" t="s">
        <v>506</v>
      </c>
      <c r="F1434" s="1" t="s">
        <v>507</v>
      </c>
      <c r="G1434" s="3">
        <v>1.0</v>
      </c>
      <c r="H1434" s="3">
        <v>0.0</v>
      </c>
      <c r="I1434" s="1"/>
      <c r="J1434" s="3">
        <v>836.0</v>
      </c>
    </row>
    <row r="1435">
      <c r="A1435" s="3">
        <v>1221.0</v>
      </c>
      <c r="B1435" s="3">
        <v>1221.0</v>
      </c>
      <c r="C1435" s="3">
        <v>611.0</v>
      </c>
      <c r="D1435" s="3">
        <v>1.0</v>
      </c>
      <c r="E1435" s="1" t="s">
        <v>503</v>
      </c>
      <c r="F1435" s="1" t="s">
        <v>228</v>
      </c>
      <c r="G1435" s="3">
        <v>1.0</v>
      </c>
      <c r="H1435" s="3">
        <v>0.0</v>
      </c>
      <c r="I1435" s="1"/>
      <c r="J1435" s="3">
        <v>836.0</v>
      </c>
    </row>
    <row r="1436">
      <c r="A1436" s="3">
        <v>1222.0</v>
      </c>
      <c r="B1436" s="3">
        <v>1222.0</v>
      </c>
      <c r="C1436" s="3">
        <v>614.0</v>
      </c>
      <c r="D1436" s="3">
        <v>1.0</v>
      </c>
      <c r="E1436" s="1" t="s">
        <v>503</v>
      </c>
      <c r="F1436" s="1" t="s">
        <v>508</v>
      </c>
      <c r="G1436" s="3">
        <v>1.0</v>
      </c>
      <c r="H1436" s="3">
        <v>0.0</v>
      </c>
      <c r="I1436" s="1"/>
      <c r="J1436" s="3">
        <v>836.0</v>
      </c>
    </row>
    <row r="1437">
      <c r="A1437" s="3">
        <v>1223.0</v>
      </c>
      <c r="B1437" s="3">
        <v>1223.0</v>
      </c>
      <c r="C1437" s="3">
        <v>612.0</v>
      </c>
      <c r="D1437" s="3">
        <v>1.0</v>
      </c>
      <c r="E1437" s="1" t="s">
        <v>503</v>
      </c>
      <c r="F1437" s="1" t="s">
        <v>222</v>
      </c>
      <c r="G1437" s="3">
        <v>1.0</v>
      </c>
      <c r="H1437" s="3">
        <v>0.0</v>
      </c>
      <c r="I1437" s="1"/>
      <c r="J1437" s="3">
        <v>836.0</v>
      </c>
    </row>
    <row r="1438">
      <c r="A1438" s="3">
        <v>1224.0</v>
      </c>
      <c r="B1438" s="3">
        <v>1224.0</v>
      </c>
      <c r="C1438" s="3">
        <v>605.0</v>
      </c>
      <c r="D1438" s="3">
        <v>1.0</v>
      </c>
      <c r="E1438" s="1" t="s">
        <v>503</v>
      </c>
      <c r="F1438" s="1" t="s">
        <v>223</v>
      </c>
      <c r="G1438" s="3">
        <v>1.0</v>
      </c>
      <c r="H1438" s="3">
        <v>0.0</v>
      </c>
      <c r="I1438" s="1"/>
      <c r="J1438" s="3">
        <v>836.0</v>
      </c>
    </row>
    <row r="1439">
      <c r="A1439" s="3">
        <v>1225.0</v>
      </c>
      <c r="B1439" s="3">
        <v>1225.0</v>
      </c>
      <c r="C1439" s="3">
        <v>615.0</v>
      </c>
      <c r="D1439" s="3">
        <v>1.0</v>
      </c>
      <c r="E1439" s="1" t="s">
        <v>503</v>
      </c>
      <c r="F1439" s="1" t="s">
        <v>509</v>
      </c>
      <c r="G1439" s="3">
        <v>1.0</v>
      </c>
      <c r="H1439" s="3">
        <v>0.0</v>
      </c>
      <c r="I1439" s="1"/>
      <c r="J1439" s="3">
        <v>836.0</v>
      </c>
    </row>
    <row r="1440">
      <c r="A1440" s="3">
        <v>1226.0</v>
      </c>
      <c r="B1440" s="3">
        <v>1226.0</v>
      </c>
      <c r="C1440" s="3">
        <v>617.0</v>
      </c>
      <c r="D1440" s="3">
        <v>1.0</v>
      </c>
      <c r="E1440" s="1" t="s">
        <v>503</v>
      </c>
      <c r="F1440" s="1" t="s">
        <v>510</v>
      </c>
      <c r="G1440" s="3">
        <v>1.0</v>
      </c>
      <c r="H1440" s="3">
        <v>0.0</v>
      </c>
      <c r="I1440" s="1"/>
      <c r="J1440" s="3">
        <v>836.0</v>
      </c>
    </row>
    <row r="1441">
      <c r="A1441" s="3">
        <v>1227.0</v>
      </c>
      <c r="B1441" s="3">
        <v>1227.0</v>
      </c>
      <c r="C1441" s="3">
        <v>603.0</v>
      </c>
      <c r="D1441" s="3">
        <v>1.0</v>
      </c>
      <c r="E1441" s="1" t="s">
        <v>503</v>
      </c>
      <c r="F1441" s="1" t="s">
        <v>226</v>
      </c>
      <c r="G1441" s="3">
        <v>1.0</v>
      </c>
      <c r="H1441" s="3">
        <v>0.0</v>
      </c>
      <c r="I1441" s="1"/>
      <c r="J1441" s="3">
        <v>836.0</v>
      </c>
    </row>
    <row r="1442">
      <c r="A1442" s="3">
        <v>1228.0</v>
      </c>
      <c r="B1442" s="3">
        <v>1228.0</v>
      </c>
      <c r="C1442" s="3">
        <v>604.0</v>
      </c>
      <c r="D1442" s="3">
        <v>1.0</v>
      </c>
      <c r="E1442" s="1" t="s">
        <v>503</v>
      </c>
      <c r="F1442" s="1" t="s">
        <v>220</v>
      </c>
      <c r="G1442" s="3">
        <v>1.0</v>
      </c>
      <c r="H1442" s="3">
        <v>0.0</v>
      </c>
      <c r="I1442" s="1"/>
      <c r="J1442" s="3">
        <v>836.0</v>
      </c>
    </row>
    <row r="1443">
      <c r="A1443" s="3">
        <v>1229.0</v>
      </c>
      <c r="B1443" s="3">
        <v>1229.0</v>
      </c>
      <c r="C1443" s="3">
        <v>618.0</v>
      </c>
      <c r="D1443" s="3">
        <v>1.0</v>
      </c>
      <c r="E1443" s="1" t="s">
        <v>503</v>
      </c>
      <c r="F1443" s="1" t="s">
        <v>511</v>
      </c>
      <c r="G1443" s="3">
        <v>1.0</v>
      </c>
      <c r="H1443" s="3">
        <v>0.0</v>
      </c>
      <c r="I1443" s="1"/>
      <c r="J1443" s="3">
        <v>836.0</v>
      </c>
    </row>
    <row r="1444">
      <c r="A1444" s="3">
        <v>1230.0</v>
      </c>
      <c r="B1444" s="3">
        <v>1230.0</v>
      </c>
      <c r="C1444" s="3">
        <v>0.0</v>
      </c>
      <c r="D1444" s="3">
        <v>1.0</v>
      </c>
      <c r="E1444" s="1" t="s">
        <v>503</v>
      </c>
      <c r="F1444" s="1" t="s">
        <v>512</v>
      </c>
      <c r="G1444" s="3">
        <v>1.0</v>
      </c>
      <c r="H1444" s="3">
        <v>0.0</v>
      </c>
      <c r="I1444" s="1"/>
      <c r="J1444" s="3">
        <v>836.0</v>
      </c>
    </row>
    <row r="1445">
      <c r="A1445" s="3">
        <v>1231.0</v>
      </c>
      <c r="B1445" s="3">
        <v>1231.0</v>
      </c>
      <c r="C1445" s="3">
        <v>0.0</v>
      </c>
      <c r="D1445" s="3">
        <v>1.0</v>
      </c>
      <c r="E1445" s="1" t="s">
        <v>503</v>
      </c>
      <c r="F1445" s="1" t="s">
        <v>106</v>
      </c>
      <c r="G1445" s="3">
        <v>1.0</v>
      </c>
      <c r="H1445" s="3">
        <v>0.0</v>
      </c>
      <c r="I1445" s="1"/>
      <c r="J1445" s="3">
        <v>836.0</v>
      </c>
    </row>
    <row r="1446">
      <c r="A1446" s="3">
        <v>1232.0</v>
      </c>
      <c r="B1446" s="3">
        <v>1232.0</v>
      </c>
      <c r="C1446" s="3">
        <v>602.0</v>
      </c>
      <c r="D1446" s="3">
        <v>1.0</v>
      </c>
      <c r="E1446" s="1" t="s">
        <v>503</v>
      </c>
      <c r="F1446" s="1" t="s">
        <v>241</v>
      </c>
      <c r="G1446" s="3">
        <v>1.0</v>
      </c>
      <c r="H1446" s="3">
        <v>0.0</v>
      </c>
      <c r="I1446" s="1"/>
      <c r="J1446" s="3">
        <v>836.0</v>
      </c>
    </row>
    <row r="1447">
      <c r="A1447" s="3">
        <v>1233.0</v>
      </c>
      <c r="B1447" s="3">
        <v>1233.0</v>
      </c>
      <c r="C1447" s="3">
        <v>631.0</v>
      </c>
      <c r="D1447" s="3">
        <v>1.0</v>
      </c>
      <c r="E1447" s="1" t="s">
        <v>502</v>
      </c>
      <c r="F1447" s="1" t="s">
        <v>163</v>
      </c>
      <c r="G1447" s="3">
        <v>1.0</v>
      </c>
      <c r="H1447" s="3">
        <v>0.0</v>
      </c>
      <c r="I1447" s="1"/>
      <c r="J1447" s="3">
        <v>836.0</v>
      </c>
    </row>
    <row r="1448">
      <c r="A1448" s="3">
        <v>1234.0</v>
      </c>
      <c r="B1448" s="3">
        <v>1234.0</v>
      </c>
      <c r="C1448" s="3">
        <v>601.0</v>
      </c>
      <c r="D1448" s="3">
        <v>1.0</v>
      </c>
      <c r="E1448" s="1" t="s">
        <v>503</v>
      </c>
      <c r="F1448" s="1" t="s">
        <v>221</v>
      </c>
      <c r="G1448" s="3">
        <v>1.0</v>
      </c>
      <c r="H1448" s="3">
        <v>0.0</v>
      </c>
      <c r="I1448" s="1"/>
      <c r="J1448" s="3">
        <v>836.0</v>
      </c>
    </row>
    <row r="1449">
      <c r="A1449" s="3">
        <v>1235.0</v>
      </c>
      <c r="B1449" s="3">
        <v>1235.0</v>
      </c>
      <c r="C1449" s="3">
        <v>600.0</v>
      </c>
      <c r="D1449" s="3">
        <v>1.0</v>
      </c>
      <c r="E1449" s="1" t="s">
        <v>503</v>
      </c>
      <c r="F1449" s="1" t="s">
        <v>513</v>
      </c>
      <c r="G1449" s="3">
        <v>1.0</v>
      </c>
      <c r="H1449" s="3">
        <v>0.0</v>
      </c>
      <c r="I1449" s="1"/>
      <c r="J1449" s="3">
        <v>836.0</v>
      </c>
    </row>
    <row r="1450">
      <c r="A1450" s="3">
        <v>1236.0</v>
      </c>
      <c r="B1450" s="3">
        <v>1236.0</v>
      </c>
      <c r="C1450" s="3">
        <v>620.0</v>
      </c>
      <c r="D1450" s="3">
        <v>1.0</v>
      </c>
      <c r="E1450" s="1" t="s">
        <v>503</v>
      </c>
      <c r="F1450" s="1" t="s">
        <v>514</v>
      </c>
      <c r="G1450" s="3">
        <v>1.0</v>
      </c>
      <c r="H1450" s="3">
        <v>0.0</v>
      </c>
      <c r="I1450" s="1"/>
      <c r="J1450" s="3">
        <v>836.0</v>
      </c>
    </row>
    <row r="1451">
      <c r="A1451" s="3">
        <v>1237.0</v>
      </c>
      <c r="B1451" s="3">
        <v>1237.0</v>
      </c>
      <c r="C1451" s="3">
        <v>600.0</v>
      </c>
      <c r="D1451" s="3">
        <v>1.0</v>
      </c>
      <c r="E1451" s="1" t="s">
        <v>503</v>
      </c>
      <c r="F1451" s="1" t="s">
        <v>515</v>
      </c>
      <c r="G1451" s="3">
        <v>1.0</v>
      </c>
      <c r="H1451" s="3">
        <v>0.0</v>
      </c>
      <c r="I1451" s="1"/>
      <c r="J1451" s="3">
        <v>836.0</v>
      </c>
    </row>
    <row r="1452">
      <c r="A1452" s="3">
        <v>1238.0</v>
      </c>
      <c r="B1452" s="3">
        <v>1238.0</v>
      </c>
      <c r="C1452" s="3">
        <v>632.0</v>
      </c>
      <c r="D1452" s="3">
        <v>1.0</v>
      </c>
      <c r="E1452" s="1" t="s">
        <v>502</v>
      </c>
      <c r="F1452" s="1" t="s">
        <v>161</v>
      </c>
      <c r="G1452" s="3">
        <v>1.0</v>
      </c>
      <c r="H1452" s="3">
        <v>0.0</v>
      </c>
      <c r="I1452" s="1"/>
      <c r="J1452" s="3">
        <v>836.0</v>
      </c>
    </row>
    <row r="1453">
      <c r="A1453" s="3">
        <v>1239.0</v>
      </c>
      <c r="B1453" s="3">
        <v>1239.0</v>
      </c>
      <c r="C1453" s="3">
        <v>0.0</v>
      </c>
      <c r="D1453" s="3">
        <v>1.0</v>
      </c>
      <c r="E1453" s="1" t="s">
        <v>502</v>
      </c>
      <c r="F1453" s="1" t="s">
        <v>257</v>
      </c>
      <c r="G1453" s="3">
        <v>1.0</v>
      </c>
      <c r="H1453" s="3">
        <v>0.0</v>
      </c>
      <c r="I1453" s="1"/>
      <c r="J1453" s="3">
        <v>836.0</v>
      </c>
    </row>
    <row r="1454">
      <c r="A1454" s="3">
        <v>1240.0</v>
      </c>
      <c r="B1454" s="3">
        <v>1240.0</v>
      </c>
      <c r="C1454" s="3">
        <v>600.0</v>
      </c>
      <c r="D1454" s="3">
        <v>1.0</v>
      </c>
      <c r="E1454" s="1" t="s">
        <v>503</v>
      </c>
      <c r="F1454" s="1" t="s">
        <v>516</v>
      </c>
      <c r="G1454" s="3">
        <v>1.0</v>
      </c>
      <c r="H1454" s="3">
        <v>0.0</v>
      </c>
      <c r="I1454" s="1"/>
      <c r="J1454" s="3">
        <v>836.0</v>
      </c>
    </row>
    <row r="1455">
      <c r="A1455" s="3">
        <v>1241.0</v>
      </c>
      <c r="B1455" s="3">
        <v>1241.0</v>
      </c>
      <c r="C1455" s="3">
        <v>621.0</v>
      </c>
      <c r="D1455" s="3">
        <v>1.0</v>
      </c>
      <c r="E1455" s="1" t="s">
        <v>503</v>
      </c>
      <c r="F1455" s="1" t="s">
        <v>517</v>
      </c>
      <c r="G1455" s="3">
        <v>1.0</v>
      </c>
      <c r="H1455" s="3">
        <v>0.0</v>
      </c>
      <c r="I1455" s="1"/>
      <c r="J1455" s="3">
        <v>836.0</v>
      </c>
    </row>
    <row r="1456">
      <c r="A1456" s="3">
        <v>1242.0</v>
      </c>
      <c r="B1456" s="3">
        <v>1242.0</v>
      </c>
      <c r="C1456" s="3">
        <v>1024.0</v>
      </c>
      <c r="D1456" s="3">
        <v>1.0</v>
      </c>
      <c r="E1456" s="1" t="s">
        <v>503</v>
      </c>
      <c r="F1456" s="1" t="s">
        <v>518</v>
      </c>
      <c r="G1456" s="3">
        <v>1.0</v>
      </c>
      <c r="H1456" s="3">
        <v>0.0</v>
      </c>
      <c r="I1456" s="1"/>
      <c r="J1456" s="3">
        <v>836.0</v>
      </c>
    </row>
    <row r="1457">
      <c r="A1457" s="3">
        <v>1243.0</v>
      </c>
      <c r="B1457" s="3">
        <v>1243.0</v>
      </c>
      <c r="C1457" s="3">
        <v>599.0</v>
      </c>
      <c r="D1457" s="3">
        <v>1.0</v>
      </c>
      <c r="E1457" s="1" t="s">
        <v>503</v>
      </c>
      <c r="F1457" s="1" t="s">
        <v>224</v>
      </c>
      <c r="G1457" s="3">
        <v>1.0</v>
      </c>
      <c r="H1457" s="3">
        <v>0.0</v>
      </c>
      <c r="I1457" s="1"/>
      <c r="J1457" s="3">
        <v>836.0</v>
      </c>
    </row>
    <row r="1458">
      <c r="A1458" s="3">
        <v>1244.0</v>
      </c>
      <c r="B1458" s="3">
        <v>1244.0</v>
      </c>
      <c r="C1458" s="3">
        <v>613.0</v>
      </c>
      <c r="D1458" s="3">
        <v>1.0</v>
      </c>
      <c r="E1458" s="1" t="s">
        <v>503</v>
      </c>
      <c r="F1458" s="1" t="s">
        <v>231</v>
      </c>
      <c r="G1458" s="3">
        <v>1.0</v>
      </c>
      <c r="H1458" s="3">
        <v>0.0</v>
      </c>
      <c r="I1458" s="1"/>
      <c r="J1458" s="3">
        <v>836.0</v>
      </c>
    </row>
    <row r="1459">
      <c r="A1459" s="3">
        <v>1245.0</v>
      </c>
      <c r="B1459" s="3">
        <v>1245.0</v>
      </c>
      <c r="C1459" s="3">
        <v>595.0</v>
      </c>
      <c r="D1459" s="3">
        <v>1.0</v>
      </c>
      <c r="E1459" s="1" t="s">
        <v>503</v>
      </c>
      <c r="F1459" s="1" t="s">
        <v>262</v>
      </c>
      <c r="G1459" s="3">
        <v>1.0</v>
      </c>
      <c r="H1459" s="3">
        <v>0.0</v>
      </c>
      <c r="I1459" s="1"/>
      <c r="J1459" s="3">
        <v>836.0</v>
      </c>
    </row>
    <row r="1460">
      <c r="A1460" s="3">
        <v>1246.0</v>
      </c>
      <c r="B1460" s="3">
        <v>1246.0</v>
      </c>
      <c r="C1460" s="3">
        <v>594.0</v>
      </c>
      <c r="D1460" s="3">
        <v>1.0</v>
      </c>
      <c r="E1460" s="1" t="s">
        <v>503</v>
      </c>
      <c r="F1460" s="1" t="s">
        <v>261</v>
      </c>
      <c r="G1460" s="3">
        <v>1.0</v>
      </c>
      <c r="H1460" s="3">
        <v>0.0</v>
      </c>
      <c r="I1460" s="1"/>
      <c r="J1460" s="3">
        <v>836.0</v>
      </c>
    </row>
    <row r="1461">
      <c r="A1461" s="3">
        <v>1247.0</v>
      </c>
      <c r="B1461" s="3">
        <v>1247.0</v>
      </c>
      <c r="C1461" s="3">
        <v>598.0</v>
      </c>
      <c r="D1461" s="3">
        <v>1.0</v>
      </c>
      <c r="E1461" s="1" t="s">
        <v>503</v>
      </c>
      <c r="F1461" s="1" t="s">
        <v>137</v>
      </c>
      <c r="G1461" s="3">
        <v>1.0</v>
      </c>
      <c r="H1461" s="3">
        <v>0.0</v>
      </c>
      <c r="I1461" s="1"/>
      <c r="J1461" s="3">
        <v>836.0</v>
      </c>
    </row>
    <row r="1462">
      <c r="A1462" s="3">
        <v>1248.0</v>
      </c>
      <c r="B1462" s="3">
        <v>1248.0</v>
      </c>
      <c r="C1462" s="3">
        <v>596.0</v>
      </c>
      <c r="D1462" s="3">
        <v>1.0</v>
      </c>
      <c r="E1462" s="1" t="s">
        <v>503</v>
      </c>
      <c r="F1462" s="1" t="s">
        <v>134</v>
      </c>
      <c r="G1462" s="3">
        <v>1.0</v>
      </c>
      <c r="H1462" s="3">
        <v>0.0</v>
      </c>
      <c r="I1462" s="1"/>
      <c r="J1462" s="3">
        <v>836.0</v>
      </c>
    </row>
    <row r="1463">
      <c r="A1463" s="3">
        <v>1249.0</v>
      </c>
      <c r="B1463" s="3">
        <v>1249.0</v>
      </c>
      <c r="C1463" s="3">
        <v>597.0</v>
      </c>
      <c r="D1463" s="3">
        <v>1.0</v>
      </c>
      <c r="E1463" s="1" t="s">
        <v>503</v>
      </c>
      <c r="F1463" s="1" t="s">
        <v>133</v>
      </c>
      <c r="G1463" s="3">
        <v>1.0</v>
      </c>
      <c r="H1463" s="3">
        <v>0.0</v>
      </c>
      <c r="I1463" s="1"/>
      <c r="J1463" s="3">
        <v>836.0</v>
      </c>
    </row>
    <row r="1464">
      <c r="A1464" s="3">
        <v>1250.0</v>
      </c>
      <c r="B1464" s="3">
        <v>1250.0</v>
      </c>
      <c r="C1464" s="3">
        <v>0.0</v>
      </c>
      <c r="D1464" s="3">
        <v>1.0</v>
      </c>
      <c r="E1464" s="1" t="s">
        <v>502</v>
      </c>
      <c r="F1464" s="1" t="s">
        <v>93</v>
      </c>
      <c r="G1464" s="3">
        <v>1.0</v>
      </c>
      <c r="H1464" s="3">
        <v>0.0</v>
      </c>
      <c r="I1464" s="1"/>
      <c r="J1464" s="3">
        <v>836.0</v>
      </c>
    </row>
    <row r="1465">
      <c r="A1465" s="3">
        <v>1251.0</v>
      </c>
      <c r="B1465" s="3">
        <v>1251.0</v>
      </c>
      <c r="C1465" s="3">
        <v>0.0</v>
      </c>
      <c r="D1465" s="3">
        <v>1.0</v>
      </c>
      <c r="E1465" s="1" t="s">
        <v>502</v>
      </c>
      <c r="F1465" s="1" t="s">
        <v>106</v>
      </c>
      <c r="G1465" s="3">
        <v>1.0</v>
      </c>
      <c r="H1465" s="3">
        <v>0.0</v>
      </c>
      <c r="I1465" s="1"/>
      <c r="J1465" s="3">
        <v>836.0</v>
      </c>
    </row>
    <row r="1466">
      <c r="A1466" s="3">
        <v>1252.0</v>
      </c>
      <c r="B1466" s="3">
        <v>1252.0</v>
      </c>
      <c r="C1466" s="3">
        <v>593.0</v>
      </c>
      <c r="D1466" s="3">
        <v>1.0</v>
      </c>
      <c r="E1466" s="1" t="s">
        <v>503</v>
      </c>
      <c r="F1466" s="1" t="s">
        <v>136</v>
      </c>
      <c r="G1466" s="3">
        <v>1.0</v>
      </c>
      <c r="H1466" s="3">
        <v>0.0</v>
      </c>
      <c r="I1466" s="1"/>
      <c r="J1466" s="3">
        <v>836.0</v>
      </c>
    </row>
    <row r="1467">
      <c r="A1467" s="3">
        <v>1253.0</v>
      </c>
      <c r="B1467" s="3">
        <v>1253.0</v>
      </c>
      <c r="C1467" s="3">
        <v>592.0</v>
      </c>
      <c r="D1467" s="3">
        <v>1.0</v>
      </c>
      <c r="E1467" s="1" t="s">
        <v>503</v>
      </c>
      <c r="F1467" s="1" t="s">
        <v>135</v>
      </c>
      <c r="G1467" s="3">
        <v>1.0</v>
      </c>
      <c r="H1467" s="3">
        <v>0.0</v>
      </c>
      <c r="I1467" s="1"/>
      <c r="J1467" s="3">
        <v>836.0</v>
      </c>
    </row>
    <row r="1468">
      <c r="A1468" s="3">
        <v>1254.0</v>
      </c>
      <c r="B1468" s="3">
        <v>1254.0</v>
      </c>
      <c r="C1468" s="3">
        <v>0.0</v>
      </c>
      <c r="D1468" s="3">
        <v>1.0</v>
      </c>
      <c r="E1468" s="1" t="s">
        <v>503</v>
      </c>
      <c r="F1468" s="1" t="s">
        <v>107</v>
      </c>
      <c r="G1468" s="3">
        <v>1.0</v>
      </c>
      <c r="H1468" s="3">
        <v>0.0</v>
      </c>
      <c r="I1468" s="1"/>
      <c r="J1468" s="3">
        <v>836.0</v>
      </c>
    </row>
    <row r="1469">
      <c r="A1469" s="3">
        <v>1255.0</v>
      </c>
      <c r="B1469" s="3">
        <v>1255.0</v>
      </c>
      <c r="C1469" s="3">
        <v>495.0</v>
      </c>
      <c r="D1469" s="3">
        <v>1.0</v>
      </c>
      <c r="E1469" s="2" t="s">
        <v>519</v>
      </c>
      <c r="F1469" s="1"/>
      <c r="G1469" s="3">
        <v>1.0</v>
      </c>
      <c r="H1469" s="3">
        <v>0.0</v>
      </c>
      <c r="I1469" s="1"/>
      <c r="J1469" s="3">
        <v>836.0</v>
      </c>
    </row>
    <row r="1470">
      <c r="A1470" s="3">
        <v>1256.0</v>
      </c>
      <c r="B1470" s="3">
        <v>1256.0</v>
      </c>
      <c r="C1470" s="3">
        <v>874.0</v>
      </c>
      <c r="D1470" s="3">
        <v>1.0</v>
      </c>
      <c r="E1470" s="1" t="s">
        <v>520</v>
      </c>
      <c r="F1470" s="1"/>
      <c r="G1470" s="3">
        <v>1.0</v>
      </c>
      <c r="H1470" s="3">
        <v>0.0</v>
      </c>
      <c r="I1470" s="1"/>
      <c r="J1470" s="3">
        <v>836.0</v>
      </c>
    </row>
    <row r="1471">
      <c r="A1471" s="3">
        <v>1257.0</v>
      </c>
      <c r="B1471" s="3">
        <v>1257.0</v>
      </c>
      <c r="C1471" s="3">
        <v>591.0</v>
      </c>
      <c r="D1471" s="3">
        <v>1.0</v>
      </c>
      <c r="E1471" s="1" t="s">
        <v>521</v>
      </c>
      <c r="F1471" s="1" t="s">
        <v>287</v>
      </c>
      <c r="G1471" s="3">
        <v>1.0</v>
      </c>
      <c r="H1471" s="3">
        <v>0.0</v>
      </c>
      <c r="I1471" s="1"/>
      <c r="J1471" s="3">
        <v>836.0</v>
      </c>
    </row>
    <row r="1472">
      <c r="A1472" s="3">
        <v>1258.0</v>
      </c>
      <c r="B1472" s="3">
        <v>1258.0</v>
      </c>
      <c r="C1472" s="3">
        <v>589.0</v>
      </c>
      <c r="D1472" s="3">
        <v>1.0</v>
      </c>
      <c r="E1472" s="1" t="s">
        <v>521</v>
      </c>
      <c r="F1472" s="1" t="s">
        <v>243</v>
      </c>
      <c r="G1472" s="3">
        <v>1.0</v>
      </c>
      <c r="H1472" s="3">
        <v>0.0</v>
      </c>
      <c r="I1472" s="1"/>
      <c r="J1472" s="3">
        <v>836.0</v>
      </c>
    </row>
    <row r="1473">
      <c r="A1473" s="3">
        <v>1259.0</v>
      </c>
      <c r="B1473" s="3">
        <v>1259.0</v>
      </c>
      <c r="C1473" s="3">
        <v>590.0</v>
      </c>
      <c r="D1473" s="3">
        <v>1.0</v>
      </c>
      <c r="E1473" s="1" t="s">
        <v>521</v>
      </c>
      <c r="F1473" s="1" t="s">
        <v>285</v>
      </c>
      <c r="G1473" s="3">
        <v>1.0</v>
      </c>
      <c r="H1473" s="3">
        <v>0.0</v>
      </c>
      <c r="I1473" s="1"/>
      <c r="J1473" s="3">
        <v>836.0</v>
      </c>
    </row>
    <row r="1474">
      <c r="A1474" s="3">
        <v>1260.0</v>
      </c>
      <c r="B1474" s="3">
        <v>1260.0</v>
      </c>
      <c r="C1474" s="3">
        <v>588.0</v>
      </c>
      <c r="D1474" s="3">
        <v>1.0</v>
      </c>
      <c r="E1474" s="1" t="s">
        <v>521</v>
      </c>
      <c r="F1474" s="1" t="s">
        <v>238</v>
      </c>
      <c r="G1474" s="3">
        <v>1.0</v>
      </c>
      <c r="H1474" s="3">
        <v>0.0</v>
      </c>
      <c r="I1474" s="1"/>
      <c r="J1474" s="3">
        <v>836.0</v>
      </c>
    </row>
    <row r="1475">
      <c r="A1475" s="3">
        <v>1261.0</v>
      </c>
      <c r="B1475" s="3">
        <v>1261.0</v>
      </c>
      <c r="C1475" s="3">
        <v>587.0</v>
      </c>
      <c r="D1475" s="3">
        <v>1.0</v>
      </c>
      <c r="E1475" s="1" t="s">
        <v>521</v>
      </c>
      <c r="F1475" s="1" t="s">
        <v>215</v>
      </c>
      <c r="G1475" s="3">
        <v>1.0</v>
      </c>
      <c r="H1475" s="3">
        <v>0.0</v>
      </c>
      <c r="I1475" s="1"/>
      <c r="J1475" s="3">
        <v>836.0</v>
      </c>
    </row>
    <row r="1476">
      <c r="A1476" s="3">
        <v>1262.0</v>
      </c>
      <c r="B1476" s="3">
        <v>1262.0</v>
      </c>
      <c r="C1476" s="3">
        <v>586.0</v>
      </c>
      <c r="D1476" s="3">
        <v>1.0</v>
      </c>
      <c r="E1476" s="1" t="s">
        <v>521</v>
      </c>
      <c r="F1476" s="1" t="s">
        <v>150</v>
      </c>
      <c r="G1476" s="3">
        <v>1.0</v>
      </c>
      <c r="H1476" s="3">
        <v>0.0</v>
      </c>
      <c r="I1476" s="1"/>
      <c r="J1476" s="3">
        <v>836.0</v>
      </c>
    </row>
    <row r="1477">
      <c r="A1477" s="3">
        <v>1263.0</v>
      </c>
      <c r="B1477" s="3">
        <v>1263.0</v>
      </c>
      <c r="C1477" s="3">
        <v>585.0</v>
      </c>
      <c r="D1477" s="3">
        <v>1.0</v>
      </c>
      <c r="E1477" s="1" t="s">
        <v>521</v>
      </c>
      <c r="F1477" s="1" t="s">
        <v>149</v>
      </c>
      <c r="G1477" s="3">
        <v>1.0</v>
      </c>
      <c r="H1477" s="3">
        <v>0.0</v>
      </c>
      <c r="I1477" s="1"/>
      <c r="J1477" s="3">
        <v>836.0</v>
      </c>
    </row>
    <row r="1478">
      <c r="A1478" s="3">
        <v>1264.0</v>
      </c>
      <c r="B1478" s="3">
        <v>1264.0</v>
      </c>
      <c r="C1478" s="3">
        <v>584.0</v>
      </c>
      <c r="D1478" s="3">
        <v>1.0</v>
      </c>
      <c r="E1478" s="1" t="s">
        <v>521</v>
      </c>
      <c r="F1478" s="1" t="s">
        <v>132</v>
      </c>
      <c r="G1478" s="3">
        <v>1.0</v>
      </c>
      <c r="H1478" s="3">
        <v>0.0</v>
      </c>
      <c r="I1478" s="1"/>
      <c r="J1478" s="3">
        <v>836.0</v>
      </c>
    </row>
    <row r="1479">
      <c r="A1479" s="3">
        <v>1265.0</v>
      </c>
      <c r="B1479" s="3">
        <v>1265.0</v>
      </c>
      <c r="C1479" s="3">
        <v>581.0</v>
      </c>
      <c r="D1479" s="3">
        <v>1.0</v>
      </c>
      <c r="E1479" s="1" t="s">
        <v>521</v>
      </c>
      <c r="F1479" s="1" t="s">
        <v>522</v>
      </c>
      <c r="G1479" s="3">
        <v>1.0</v>
      </c>
      <c r="H1479" s="3">
        <v>0.0</v>
      </c>
      <c r="I1479" s="1"/>
      <c r="J1479" s="3">
        <v>836.0</v>
      </c>
    </row>
    <row r="1480">
      <c r="A1480" s="3">
        <v>1266.0</v>
      </c>
      <c r="B1480" s="3">
        <v>1266.0</v>
      </c>
      <c r="C1480" s="3">
        <v>0.0</v>
      </c>
      <c r="D1480" s="3">
        <v>1.0</v>
      </c>
      <c r="E1480" s="1" t="s">
        <v>521</v>
      </c>
      <c r="F1480" s="1" t="s">
        <v>523</v>
      </c>
      <c r="G1480" s="3">
        <v>1.0</v>
      </c>
      <c r="H1480" s="3">
        <v>0.0</v>
      </c>
      <c r="I1480" s="1"/>
      <c r="J1480" s="3">
        <v>836.0</v>
      </c>
    </row>
    <row r="1481">
      <c r="A1481" s="3">
        <v>1267.0</v>
      </c>
      <c r="B1481" s="3">
        <v>1267.0</v>
      </c>
      <c r="C1481" s="3">
        <v>580.0</v>
      </c>
      <c r="D1481" s="3">
        <v>1.0</v>
      </c>
      <c r="E1481" s="1" t="s">
        <v>521</v>
      </c>
      <c r="F1481" s="1" t="s">
        <v>524</v>
      </c>
      <c r="G1481" s="3">
        <v>1.0</v>
      </c>
      <c r="H1481" s="3">
        <v>0.0</v>
      </c>
      <c r="I1481" s="1"/>
      <c r="J1481" s="3">
        <v>836.0</v>
      </c>
    </row>
    <row r="1482">
      <c r="A1482" s="3">
        <v>1268.0</v>
      </c>
      <c r="B1482" s="3">
        <v>1268.0</v>
      </c>
      <c r="C1482" s="3">
        <v>583.0</v>
      </c>
      <c r="D1482" s="3">
        <v>1.0</v>
      </c>
      <c r="E1482" s="1" t="s">
        <v>521</v>
      </c>
      <c r="F1482" s="1" t="s">
        <v>525</v>
      </c>
      <c r="G1482" s="3">
        <v>1.0</v>
      </c>
      <c r="H1482" s="3">
        <v>0.0</v>
      </c>
      <c r="I1482" s="1"/>
      <c r="J1482" s="3">
        <v>836.0</v>
      </c>
    </row>
    <row r="1483">
      <c r="A1483" s="3">
        <v>1269.0</v>
      </c>
      <c r="B1483" s="3">
        <v>1269.0</v>
      </c>
      <c r="C1483" s="3">
        <v>579.0</v>
      </c>
      <c r="D1483" s="3">
        <v>1.0</v>
      </c>
      <c r="E1483" s="1" t="s">
        <v>521</v>
      </c>
      <c r="F1483" s="1" t="s">
        <v>526</v>
      </c>
      <c r="G1483" s="3">
        <v>1.0</v>
      </c>
      <c r="H1483" s="3">
        <v>0.0</v>
      </c>
      <c r="I1483" s="1"/>
      <c r="J1483" s="3">
        <v>836.0</v>
      </c>
    </row>
    <row r="1484">
      <c r="A1484" s="3">
        <v>1270.0</v>
      </c>
      <c r="B1484" s="3">
        <v>1270.0</v>
      </c>
      <c r="C1484" s="3">
        <v>582.0</v>
      </c>
      <c r="D1484" s="3">
        <v>1.0</v>
      </c>
      <c r="E1484" s="1" t="s">
        <v>521</v>
      </c>
      <c r="F1484" s="1" t="s">
        <v>527</v>
      </c>
      <c r="G1484" s="3">
        <v>1.0</v>
      </c>
      <c r="H1484" s="3">
        <v>0.0</v>
      </c>
      <c r="I1484" s="1"/>
      <c r="J1484" s="3">
        <v>836.0</v>
      </c>
    </row>
    <row r="1485">
      <c r="A1485" s="3">
        <v>1271.0</v>
      </c>
      <c r="B1485" s="3">
        <v>1271.0</v>
      </c>
      <c r="C1485" s="3">
        <v>1009.0</v>
      </c>
      <c r="D1485" s="3">
        <v>1.0</v>
      </c>
      <c r="E1485" s="1" t="s">
        <v>521</v>
      </c>
      <c r="F1485" s="1" t="s">
        <v>528</v>
      </c>
      <c r="G1485" s="3">
        <v>1.0</v>
      </c>
      <c r="H1485" s="3">
        <v>0.0</v>
      </c>
      <c r="I1485" s="1"/>
      <c r="J1485" s="3">
        <v>836.0</v>
      </c>
    </row>
    <row r="1486">
      <c r="A1486" s="3">
        <v>1272.0</v>
      </c>
      <c r="B1486" s="3">
        <v>1272.0</v>
      </c>
      <c r="C1486" s="3">
        <v>569.0</v>
      </c>
      <c r="D1486" s="3">
        <v>1.0</v>
      </c>
      <c r="E1486" s="1" t="s">
        <v>521</v>
      </c>
      <c r="F1486" s="1" t="s">
        <v>175</v>
      </c>
      <c r="G1486" s="3">
        <v>1.0</v>
      </c>
      <c r="H1486" s="3">
        <v>0.0</v>
      </c>
      <c r="I1486" s="1"/>
      <c r="J1486" s="3">
        <v>836.0</v>
      </c>
    </row>
    <row r="1487">
      <c r="A1487" s="3">
        <v>1273.0</v>
      </c>
      <c r="B1487" s="3">
        <v>1273.0</v>
      </c>
      <c r="C1487" s="3">
        <v>573.0</v>
      </c>
      <c r="D1487" s="3">
        <v>1.0</v>
      </c>
      <c r="E1487" s="1" t="s">
        <v>521</v>
      </c>
      <c r="F1487" s="1" t="s">
        <v>529</v>
      </c>
      <c r="G1487" s="3">
        <v>1.0</v>
      </c>
      <c r="H1487" s="3">
        <v>0.0</v>
      </c>
      <c r="I1487" s="1"/>
      <c r="J1487" s="3">
        <v>836.0</v>
      </c>
    </row>
    <row r="1488">
      <c r="A1488" s="3">
        <v>1274.0</v>
      </c>
      <c r="B1488" s="3">
        <v>1274.0</v>
      </c>
      <c r="C1488" s="3">
        <v>571.0</v>
      </c>
      <c r="D1488" s="3">
        <v>1.0</v>
      </c>
      <c r="E1488" s="1" t="s">
        <v>521</v>
      </c>
      <c r="F1488" s="1" t="s">
        <v>530</v>
      </c>
      <c r="G1488" s="3">
        <v>1.0</v>
      </c>
      <c r="H1488" s="3">
        <v>0.0</v>
      </c>
      <c r="I1488" s="1"/>
      <c r="J1488" s="3">
        <v>836.0</v>
      </c>
    </row>
    <row r="1489">
      <c r="A1489" s="3">
        <v>1275.0</v>
      </c>
      <c r="B1489" s="3">
        <v>1275.0</v>
      </c>
      <c r="C1489" s="3">
        <v>572.0</v>
      </c>
      <c r="D1489" s="3">
        <v>1.0</v>
      </c>
      <c r="E1489" s="1" t="s">
        <v>521</v>
      </c>
      <c r="F1489" s="1" t="s">
        <v>531</v>
      </c>
      <c r="G1489" s="3">
        <v>1.0</v>
      </c>
      <c r="H1489" s="3">
        <v>0.0</v>
      </c>
      <c r="I1489" s="1"/>
      <c r="J1489" s="3">
        <v>836.0</v>
      </c>
    </row>
    <row r="1490">
      <c r="A1490" s="3">
        <v>1276.0</v>
      </c>
      <c r="B1490" s="3">
        <v>1276.0</v>
      </c>
      <c r="C1490" s="3">
        <v>570.0</v>
      </c>
      <c r="D1490" s="3">
        <v>1.0</v>
      </c>
      <c r="E1490" s="1" t="s">
        <v>521</v>
      </c>
      <c r="F1490" s="1" t="s">
        <v>205</v>
      </c>
      <c r="G1490" s="3">
        <v>1.0</v>
      </c>
      <c r="H1490" s="3">
        <v>0.0</v>
      </c>
      <c r="I1490" s="1"/>
      <c r="J1490" s="3">
        <v>836.0</v>
      </c>
    </row>
    <row r="1491">
      <c r="A1491" s="3">
        <v>1277.0</v>
      </c>
      <c r="B1491" s="3">
        <v>1277.0</v>
      </c>
      <c r="C1491" s="3">
        <v>568.0</v>
      </c>
      <c r="D1491" s="3">
        <v>1.0</v>
      </c>
      <c r="E1491" s="1" t="s">
        <v>521</v>
      </c>
      <c r="F1491" s="1" t="s">
        <v>130</v>
      </c>
      <c r="G1491" s="3">
        <v>1.0</v>
      </c>
      <c r="H1491" s="3">
        <v>0.0</v>
      </c>
      <c r="I1491" s="1"/>
      <c r="J1491" s="3">
        <v>836.0</v>
      </c>
    </row>
    <row r="1492">
      <c r="A1492" s="3">
        <v>1278.0</v>
      </c>
      <c r="B1492" s="3">
        <v>1278.0</v>
      </c>
      <c r="C1492" s="3">
        <v>578.0</v>
      </c>
      <c r="D1492" s="3">
        <v>1.0</v>
      </c>
      <c r="E1492" s="1" t="s">
        <v>521</v>
      </c>
      <c r="F1492" s="1" t="s">
        <v>532</v>
      </c>
      <c r="G1492" s="3">
        <v>1.0</v>
      </c>
      <c r="H1492" s="3">
        <v>0.0</v>
      </c>
      <c r="I1492" s="1"/>
      <c r="J1492" s="3">
        <v>836.0</v>
      </c>
    </row>
    <row r="1493">
      <c r="A1493" s="3">
        <v>1279.0</v>
      </c>
      <c r="B1493" s="3">
        <v>1279.0</v>
      </c>
      <c r="C1493" s="3">
        <v>577.0</v>
      </c>
      <c r="D1493" s="3">
        <v>1.0</v>
      </c>
      <c r="E1493" s="1" t="s">
        <v>521</v>
      </c>
      <c r="F1493" s="1" t="s">
        <v>533</v>
      </c>
      <c r="G1493" s="3">
        <v>1.0</v>
      </c>
      <c r="H1493" s="3">
        <v>0.0</v>
      </c>
      <c r="I1493" s="1"/>
      <c r="J1493" s="3">
        <v>836.0</v>
      </c>
    </row>
    <row r="1494">
      <c r="A1494" s="3">
        <v>1280.0</v>
      </c>
      <c r="B1494" s="3">
        <v>1280.0</v>
      </c>
      <c r="C1494" s="3">
        <v>576.0</v>
      </c>
      <c r="D1494" s="3">
        <v>1.0</v>
      </c>
      <c r="E1494" s="1" t="s">
        <v>521</v>
      </c>
      <c r="F1494" s="1" t="s">
        <v>534</v>
      </c>
      <c r="G1494" s="3">
        <v>1.0</v>
      </c>
      <c r="H1494" s="3">
        <v>0.0</v>
      </c>
      <c r="I1494" s="1"/>
      <c r="J1494" s="3">
        <v>836.0</v>
      </c>
    </row>
    <row r="1495">
      <c r="A1495" s="3">
        <v>1281.0</v>
      </c>
      <c r="B1495" s="3">
        <v>1281.0</v>
      </c>
      <c r="C1495" s="3">
        <v>0.0</v>
      </c>
      <c r="D1495" s="3">
        <v>1.0</v>
      </c>
      <c r="E1495" s="1" t="s">
        <v>535</v>
      </c>
      <c r="F1495" s="1" t="s">
        <v>93</v>
      </c>
      <c r="G1495" s="3">
        <v>1.0</v>
      </c>
      <c r="H1495" s="3">
        <v>0.0</v>
      </c>
      <c r="I1495" s="1"/>
      <c r="J1495" s="3">
        <v>836.0</v>
      </c>
    </row>
    <row r="1496">
      <c r="A1496" s="3">
        <v>1282.0</v>
      </c>
      <c r="B1496" s="3">
        <v>1282.0</v>
      </c>
      <c r="C1496" s="3">
        <v>573.0</v>
      </c>
      <c r="D1496" s="3">
        <v>1.0</v>
      </c>
      <c r="E1496" s="1" t="s">
        <v>521</v>
      </c>
      <c r="F1496" s="1" t="s">
        <v>536</v>
      </c>
      <c r="G1496" s="3">
        <v>1.0</v>
      </c>
      <c r="H1496" s="3">
        <v>0.0</v>
      </c>
      <c r="I1496" s="1"/>
      <c r="J1496" s="3">
        <v>836.0</v>
      </c>
    </row>
    <row r="1497">
      <c r="A1497" s="3">
        <v>1283.0</v>
      </c>
      <c r="B1497" s="3">
        <v>1283.0</v>
      </c>
      <c r="C1497" s="3">
        <v>567.0</v>
      </c>
      <c r="D1497" s="3">
        <v>1.0</v>
      </c>
      <c r="E1497" s="1" t="s">
        <v>521</v>
      </c>
      <c r="F1497" s="1" t="s">
        <v>131</v>
      </c>
      <c r="G1497" s="3">
        <v>1.0</v>
      </c>
      <c r="H1497" s="3">
        <v>0.0</v>
      </c>
      <c r="I1497" s="1"/>
      <c r="J1497" s="3">
        <v>836.0</v>
      </c>
    </row>
    <row r="1498">
      <c r="A1498" s="3">
        <v>1284.0</v>
      </c>
      <c r="B1498" s="3">
        <v>1284.0</v>
      </c>
      <c r="C1498" s="3">
        <v>1102.0</v>
      </c>
      <c r="D1498" s="3">
        <v>1.0</v>
      </c>
      <c r="E1498" s="1" t="s">
        <v>537</v>
      </c>
      <c r="F1498" s="1" t="s">
        <v>177</v>
      </c>
      <c r="G1498" s="3">
        <v>1.0</v>
      </c>
      <c r="H1498" s="3">
        <v>0.0</v>
      </c>
      <c r="I1498" s="1"/>
      <c r="J1498" s="3">
        <v>836.0</v>
      </c>
    </row>
    <row r="1499">
      <c r="A1499" s="3">
        <v>1285.0</v>
      </c>
      <c r="B1499" s="3">
        <v>1285.0</v>
      </c>
      <c r="C1499" s="3">
        <v>1103.0</v>
      </c>
      <c r="D1499" s="3">
        <v>1.0</v>
      </c>
      <c r="E1499" s="1" t="s">
        <v>537</v>
      </c>
      <c r="F1499" s="1" t="s">
        <v>176</v>
      </c>
      <c r="G1499" s="3">
        <v>1.0</v>
      </c>
      <c r="H1499" s="3">
        <v>0.0</v>
      </c>
      <c r="I1499" s="1"/>
      <c r="J1499" s="3">
        <v>836.0</v>
      </c>
    </row>
    <row r="1500">
      <c r="A1500" s="3">
        <v>1286.0</v>
      </c>
      <c r="B1500" s="3">
        <v>1286.0</v>
      </c>
      <c r="C1500" s="3">
        <v>575.0</v>
      </c>
      <c r="D1500" s="3">
        <v>1.0</v>
      </c>
      <c r="E1500" s="1" t="s">
        <v>521</v>
      </c>
      <c r="F1500" s="1" t="s">
        <v>538</v>
      </c>
      <c r="G1500" s="3">
        <v>1.0</v>
      </c>
      <c r="H1500" s="3">
        <v>0.0</v>
      </c>
      <c r="I1500" s="1"/>
      <c r="J1500" s="3">
        <v>836.0</v>
      </c>
    </row>
    <row r="1501">
      <c r="A1501" s="3">
        <v>1287.0</v>
      </c>
      <c r="B1501" s="3">
        <v>1287.0</v>
      </c>
      <c r="C1501" s="3">
        <v>566.0</v>
      </c>
      <c r="D1501" s="3">
        <v>1.0</v>
      </c>
      <c r="E1501" s="1" t="s">
        <v>521</v>
      </c>
      <c r="F1501" s="1" t="s">
        <v>539</v>
      </c>
      <c r="G1501" s="3">
        <v>1.0</v>
      </c>
      <c r="H1501" s="3">
        <v>0.0</v>
      </c>
      <c r="I1501" s="1"/>
      <c r="J1501" s="3">
        <v>836.0</v>
      </c>
    </row>
    <row r="1502">
      <c r="A1502" s="3">
        <v>1288.0</v>
      </c>
      <c r="B1502" s="3">
        <v>1288.0</v>
      </c>
      <c r="C1502" s="3">
        <v>565.0</v>
      </c>
      <c r="D1502" s="3">
        <v>1.0</v>
      </c>
      <c r="E1502" s="1" t="s">
        <v>521</v>
      </c>
      <c r="F1502" s="1" t="s">
        <v>540</v>
      </c>
      <c r="G1502" s="3">
        <v>1.0</v>
      </c>
      <c r="H1502" s="3">
        <v>0.0</v>
      </c>
      <c r="I1502" s="1"/>
      <c r="J1502" s="3">
        <v>836.0</v>
      </c>
    </row>
    <row r="1503">
      <c r="A1503" s="3">
        <v>1289.0</v>
      </c>
      <c r="B1503" s="3">
        <v>1289.0</v>
      </c>
      <c r="C1503" s="3">
        <v>574.0</v>
      </c>
      <c r="D1503" s="3">
        <v>1.0</v>
      </c>
      <c r="E1503" s="1" t="s">
        <v>521</v>
      </c>
      <c r="F1503" s="1" t="s">
        <v>541</v>
      </c>
      <c r="G1503" s="3">
        <v>1.0</v>
      </c>
      <c r="H1503" s="3">
        <v>0.0</v>
      </c>
      <c r="I1503" s="1"/>
      <c r="J1503" s="3">
        <v>836.0</v>
      </c>
    </row>
    <row r="1504">
      <c r="A1504" s="3">
        <v>1290.0</v>
      </c>
      <c r="B1504" s="3">
        <v>1290.0</v>
      </c>
      <c r="C1504" s="3">
        <v>564.0</v>
      </c>
      <c r="D1504" s="3">
        <v>1.0</v>
      </c>
      <c r="E1504" s="1" t="s">
        <v>521</v>
      </c>
      <c r="F1504" s="1" t="s">
        <v>542</v>
      </c>
      <c r="G1504" s="3">
        <v>1.0</v>
      </c>
      <c r="H1504" s="3">
        <v>0.0</v>
      </c>
      <c r="I1504" s="1"/>
      <c r="J1504" s="3">
        <v>836.0</v>
      </c>
    </row>
    <row r="1505">
      <c r="A1505" s="3">
        <v>1291.0</v>
      </c>
      <c r="B1505" s="3">
        <v>1291.0</v>
      </c>
      <c r="C1505" s="3">
        <v>563.0</v>
      </c>
      <c r="D1505" s="3">
        <v>1.0</v>
      </c>
      <c r="E1505" s="1" t="s">
        <v>521</v>
      </c>
      <c r="F1505" s="1" t="s">
        <v>543</v>
      </c>
      <c r="G1505" s="3">
        <v>1.0</v>
      </c>
      <c r="H1505" s="3">
        <v>0.0</v>
      </c>
      <c r="I1505" s="1"/>
      <c r="J1505" s="3">
        <v>836.0</v>
      </c>
    </row>
    <row r="1506">
      <c r="A1506" s="3">
        <v>1292.0</v>
      </c>
      <c r="B1506" s="3">
        <v>1292.0</v>
      </c>
      <c r="C1506" s="3">
        <v>537.0</v>
      </c>
      <c r="D1506" s="3">
        <v>1.0</v>
      </c>
      <c r="E1506" s="1" t="s">
        <v>544</v>
      </c>
      <c r="F1506" s="1" t="s">
        <v>115</v>
      </c>
      <c r="G1506" s="3">
        <v>1.0</v>
      </c>
      <c r="H1506" s="3">
        <v>0.0</v>
      </c>
      <c r="I1506" s="1"/>
      <c r="J1506" s="3">
        <v>836.0</v>
      </c>
    </row>
    <row r="1507">
      <c r="A1507" s="3">
        <v>1293.0</v>
      </c>
      <c r="B1507" s="3">
        <v>1293.0</v>
      </c>
      <c r="C1507" s="3">
        <v>562.0</v>
      </c>
      <c r="D1507" s="3">
        <v>1.0</v>
      </c>
      <c r="E1507" s="1" t="s">
        <v>521</v>
      </c>
      <c r="F1507" s="1" t="s">
        <v>545</v>
      </c>
      <c r="G1507" s="3">
        <v>1.0</v>
      </c>
      <c r="H1507" s="3">
        <v>0.0</v>
      </c>
      <c r="I1507" s="1"/>
      <c r="J1507" s="3">
        <v>836.0</v>
      </c>
    </row>
    <row r="1508">
      <c r="A1508" s="3">
        <v>1294.0</v>
      </c>
      <c r="B1508" s="3">
        <v>1294.0</v>
      </c>
      <c r="C1508" s="3">
        <v>544.0</v>
      </c>
      <c r="D1508" s="3">
        <v>1.0</v>
      </c>
      <c r="E1508" s="1" t="s">
        <v>537</v>
      </c>
      <c r="F1508" s="1" t="s">
        <v>160</v>
      </c>
      <c r="G1508" s="3">
        <v>1.0</v>
      </c>
      <c r="H1508" s="3">
        <v>0.0</v>
      </c>
      <c r="I1508" s="1"/>
      <c r="J1508" s="3">
        <v>836.0</v>
      </c>
    </row>
    <row r="1509">
      <c r="A1509" s="3">
        <v>1295.0</v>
      </c>
      <c r="B1509" s="3">
        <v>1295.0</v>
      </c>
      <c r="C1509" s="3">
        <v>546.0</v>
      </c>
      <c r="D1509" s="3">
        <v>1.0</v>
      </c>
      <c r="E1509" s="1" t="s">
        <v>537</v>
      </c>
      <c r="F1509" s="1" t="s">
        <v>159</v>
      </c>
      <c r="G1509" s="3">
        <v>1.0</v>
      </c>
      <c r="H1509" s="3">
        <v>0.0</v>
      </c>
      <c r="I1509" s="1"/>
      <c r="J1509" s="3">
        <v>836.0</v>
      </c>
    </row>
    <row r="1510">
      <c r="A1510" s="3">
        <v>1296.0</v>
      </c>
      <c r="B1510" s="3">
        <v>1296.0</v>
      </c>
      <c r="C1510" s="3">
        <v>0.0</v>
      </c>
      <c r="D1510" s="3">
        <v>1.0</v>
      </c>
      <c r="E1510" s="1" t="s">
        <v>537</v>
      </c>
      <c r="F1510" s="1" t="s">
        <v>546</v>
      </c>
      <c r="G1510" s="3">
        <v>1.0</v>
      </c>
      <c r="H1510" s="3">
        <v>0.0</v>
      </c>
      <c r="I1510" s="1"/>
      <c r="J1510" s="3">
        <v>836.0</v>
      </c>
    </row>
    <row r="1511">
      <c r="A1511" s="3">
        <v>1297.0</v>
      </c>
      <c r="B1511" s="3">
        <v>1297.0</v>
      </c>
      <c r="C1511" s="3">
        <v>535.0</v>
      </c>
      <c r="D1511" s="3">
        <v>1.0</v>
      </c>
      <c r="E1511" s="1" t="s">
        <v>544</v>
      </c>
      <c r="F1511" s="1" t="s">
        <v>28</v>
      </c>
      <c r="G1511" s="3">
        <v>1.0</v>
      </c>
      <c r="H1511" s="3">
        <v>0.0</v>
      </c>
      <c r="I1511" s="1"/>
      <c r="J1511" s="3">
        <v>836.0</v>
      </c>
    </row>
    <row r="1512">
      <c r="A1512" s="3">
        <v>1298.0</v>
      </c>
      <c r="B1512" s="3">
        <v>1298.0</v>
      </c>
      <c r="C1512" s="3">
        <v>0.0</v>
      </c>
      <c r="D1512" s="3">
        <v>1.0</v>
      </c>
      <c r="E1512" s="1" t="s">
        <v>544</v>
      </c>
      <c r="F1512" s="1" t="s">
        <v>93</v>
      </c>
      <c r="G1512" s="3">
        <v>1.0</v>
      </c>
      <c r="H1512" s="3">
        <v>0.0</v>
      </c>
      <c r="I1512" s="1"/>
      <c r="J1512" s="3">
        <v>836.0</v>
      </c>
    </row>
    <row r="1513">
      <c r="A1513" s="3">
        <v>1299.0</v>
      </c>
      <c r="B1513" s="3">
        <v>1299.0</v>
      </c>
      <c r="C1513" s="3">
        <v>545.0</v>
      </c>
      <c r="D1513" s="3">
        <v>1.0</v>
      </c>
      <c r="E1513" s="1" t="s">
        <v>537</v>
      </c>
      <c r="F1513" s="1" t="s">
        <v>162</v>
      </c>
      <c r="G1513" s="3">
        <v>1.0</v>
      </c>
      <c r="H1513" s="3">
        <v>0.0</v>
      </c>
      <c r="I1513" s="1"/>
      <c r="J1513" s="3">
        <v>836.0</v>
      </c>
    </row>
    <row r="1514">
      <c r="A1514" s="3">
        <v>1300.0</v>
      </c>
      <c r="B1514" s="3">
        <v>1300.0</v>
      </c>
      <c r="C1514" s="3">
        <v>534.0</v>
      </c>
      <c r="D1514" s="3">
        <v>1.0</v>
      </c>
      <c r="E1514" s="1" t="s">
        <v>544</v>
      </c>
      <c r="F1514" s="1" t="s">
        <v>547</v>
      </c>
      <c r="G1514" s="3">
        <v>1.0</v>
      </c>
      <c r="H1514" s="3">
        <v>0.0</v>
      </c>
      <c r="I1514" s="1"/>
      <c r="J1514" s="3">
        <v>836.0</v>
      </c>
    </row>
    <row r="1515">
      <c r="A1515" s="3">
        <v>1301.0</v>
      </c>
      <c r="B1515" s="3">
        <v>1301.0</v>
      </c>
      <c r="C1515" s="3">
        <v>0.0</v>
      </c>
      <c r="D1515" s="3">
        <v>1.0</v>
      </c>
      <c r="E1515" s="1" t="s">
        <v>544</v>
      </c>
      <c r="F1515" s="1" t="s">
        <v>257</v>
      </c>
      <c r="G1515" s="3">
        <v>1.0</v>
      </c>
      <c r="H1515" s="3">
        <v>0.0</v>
      </c>
      <c r="I1515" s="1"/>
      <c r="J1515" s="3">
        <v>836.0</v>
      </c>
    </row>
    <row r="1516">
      <c r="A1516" s="3">
        <v>1302.0</v>
      </c>
      <c r="B1516" s="3">
        <v>1302.0</v>
      </c>
      <c r="C1516" s="3">
        <v>0.0</v>
      </c>
      <c r="D1516" s="3">
        <v>1.0</v>
      </c>
      <c r="E1516" s="1" t="s">
        <v>544</v>
      </c>
      <c r="F1516" s="1" t="s">
        <v>106</v>
      </c>
      <c r="G1516" s="3">
        <v>1.0</v>
      </c>
      <c r="H1516" s="3">
        <v>0.0</v>
      </c>
      <c r="I1516" s="1"/>
      <c r="J1516" s="3">
        <v>836.0</v>
      </c>
    </row>
    <row r="1517">
      <c r="A1517" s="3">
        <v>1303.0</v>
      </c>
      <c r="B1517" s="3">
        <v>1303.0</v>
      </c>
      <c r="C1517" s="3">
        <v>635.0</v>
      </c>
      <c r="D1517" s="3">
        <v>1.0</v>
      </c>
      <c r="E1517" s="1" t="s">
        <v>548</v>
      </c>
      <c r="F1517" s="1" t="s">
        <v>211</v>
      </c>
      <c r="G1517" s="3">
        <v>1.0</v>
      </c>
      <c r="H1517" s="3">
        <v>0.0</v>
      </c>
      <c r="I1517" s="1"/>
      <c r="J1517" s="3">
        <v>836.0</v>
      </c>
    </row>
    <row r="1518">
      <c r="A1518" s="3">
        <v>1304.0</v>
      </c>
      <c r="B1518" s="3">
        <v>1304.0</v>
      </c>
      <c r="C1518" s="3">
        <v>561.0</v>
      </c>
      <c r="D1518" s="3">
        <v>1.0</v>
      </c>
      <c r="E1518" s="1" t="s">
        <v>521</v>
      </c>
      <c r="F1518" s="1" t="s">
        <v>549</v>
      </c>
      <c r="G1518" s="3">
        <v>1.0</v>
      </c>
      <c r="H1518" s="3">
        <v>0.0</v>
      </c>
      <c r="I1518" s="1"/>
      <c r="J1518" s="3">
        <v>836.0</v>
      </c>
    </row>
    <row r="1519">
      <c r="A1519" s="3">
        <v>1305.0</v>
      </c>
      <c r="B1519" s="3">
        <v>1305.0</v>
      </c>
      <c r="C1519" s="3">
        <v>559.0</v>
      </c>
      <c r="D1519" s="3">
        <v>1.0</v>
      </c>
      <c r="E1519" s="1" t="s">
        <v>521</v>
      </c>
      <c r="F1519" s="1" t="s">
        <v>550</v>
      </c>
      <c r="G1519" s="3">
        <v>1.0</v>
      </c>
      <c r="H1519" s="3">
        <v>0.0</v>
      </c>
      <c r="I1519" s="1"/>
      <c r="J1519" s="3">
        <v>836.0</v>
      </c>
    </row>
    <row r="1520">
      <c r="A1520" s="3">
        <v>1306.0</v>
      </c>
      <c r="B1520" s="3">
        <v>1306.0</v>
      </c>
      <c r="C1520" s="3">
        <v>636.0</v>
      </c>
      <c r="D1520" s="3">
        <v>1.0</v>
      </c>
      <c r="E1520" s="1" t="s">
        <v>548</v>
      </c>
      <c r="F1520" s="1" t="s">
        <v>281</v>
      </c>
      <c r="G1520" s="3">
        <v>1.0</v>
      </c>
      <c r="H1520" s="3">
        <v>0.0</v>
      </c>
      <c r="I1520" s="1"/>
      <c r="J1520" s="3">
        <v>836.0</v>
      </c>
    </row>
    <row r="1521">
      <c r="A1521" s="3">
        <v>1307.0</v>
      </c>
      <c r="B1521" s="3">
        <v>1307.0</v>
      </c>
      <c r="C1521" s="3">
        <v>558.0</v>
      </c>
      <c r="D1521" s="3">
        <v>1.0</v>
      </c>
      <c r="E1521" s="1" t="s">
        <v>521</v>
      </c>
      <c r="F1521" s="1" t="s">
        <v>551</v>
      </c>
      <c r="G1521" s="3">
        <v>1.0</v>
      </c>
      <c r="H1521" s="3">
        <v>0.0</v>
      </c>
      <c r="I1521" s="1"/>
      <c r="J1521" s="3">
        <v>836.0</v>
      </c>
    </row>
    <row r="1522">
      <c r="A1522" s="3">
        <v>1308.0</v>
      </c>
      <c r="B1522" s="3">
        <v>1308.0</v>
      </c>
      <c r="C1522" s="3">
        <v>637.0</v>
      </c>
      <c r="D1522" s="3">
        <v>1.0</v>
      </c>
      <c r="E1522" s="1" t="s">
        <v>548</v>
      </c>
      <c r="F1522" s="1" t="s">
        <v>210</v>
      </c>
      <c r="G1522" s="3">
        <v>1.0</v>
      </c>
      <c r="H1522" s="3">
        <v>0.0</v>
      </c>
      <c r="I1522" s="1"/>
      <c r="J1522" s="3">
        <v>836.0</v>
      </c>
    </row>
    <row r="1523">
      <c r="A1523" s="3">
        <v>1309.0</v>
      </c>
      <c r="B1523" s="3">
        <v>1309.0</v>
      </c>
      <c r="C1523" s="3">
        <v>638.0</v>
      </c>
      <c r="D1523" s="3">
        <v>1.0</v>
      </c>
      <c r="E1523" s="1" t="s">
        <v>548</v>
      </c>
      <c r="F1523" s="1" t="s">
        <v>213</v>
      </c>
      <c r="G1523" s="3">
        <v>1.0</v>
      </c>
      <c r="H1523" s="3">
        <v>0.0</v>
      </c>
      <c r="I1523" s="1"/>
      <c r="J1523" s="3">
        <v>836.0</v>
      </c>
    </row>
    <row r="1524">
      <c r="A1524" s="3">
        <v>1310.0</v>
      </c>
      <c r="B1524" s="3">
        <v>1310.0</v>
      </c>
      <c r="C1524" s="3">
        <v>0.0</v>
      </c>
      <c r="D1524" s="3">
        <v>1.0</v>
      </c>
      <c r="E1524" s="1" t="s">
        <v>548</v>
      </c>
      <c r="F1524" s="1" t="s">
        <v>93</v>
      </c>
      <c r="G1524" s="3">
        <v>1.0</v>
      </c>
      <c r="H1524" s="3">
        <v>0.0</v>
      </c>
      <c r="I1524" s="1"/>
      <c r="J1524" s="3">
        <v>836.0</v>
      </c>
    </row>
    <row r="1525">
      <c r="A1525" s="3">
        <v>1311.0</v>
      </c>
      <c r="B1525" s="3">
        <v>1311.0</v>
      </c>
      <c r="C1525" s="3">
        <v>639.0</v>
      </c>
      <c r="D1525" s="3">
        <v>1.0</v>
      </c>
      <c r="E1525" s="1" t="s">
        <v>548</v>
      </c>
      <c r="F1525" s="1" t="s">
        <v>552</v>
      </c>
      <c r="G1525" s="3">
        <v>1.0</v>
      </c>
      <c r="H1525" s="3">
        <v>0.0</v>
      </c>
      <c r="I1525" s="1"/>
      <c r="J1525" s="3">
        <v>836.0</v>
      </c>
    </row>
    <row r="1526">
      <c r="A1526" s="3">
        <v>1312.0</v>
      </c>
      <c r="B1526" s="3">
        <v>1312.0</v>
      </c>
      <c r="C1526" s="3">
        <v>556.0</v>
      </c>
      <c r="D1526" s="3">
        <v>1.0</v>
      </c>
      <c r="E1526" s="1" t="s">
        <v>521</v>
      </c>
      <c r="F1526" s="1" t="s">
        <v>553</v>
      </c>
      <c r="G1526" s="3">
        <v>1.0</v>
      </c>
      <c r="H1526" s="3">
        <v>0.0</v>
      </c>
      <c r="I1526" s="1"/>
      <c r="J1526" s="3">
        <v>836.0</v>
      </c>
    </row>
    <row r="1527">
      <c r="A1527" s="3">
        <v>1313.0</v>
      </c>
      <c r="B1527" s="3">
        <v>1313.0</v>
      </c>
      <c r="C1527" s="3">
        <v>0.0</v>
      </c>
      <c r="D1527" s="3">
        <v>1.0</v>
      </c>
      <c r="E1527" s="1" t="s">
        <v>537</v>
      </c>
      <c r="F1527" s="1" t="s">
        <v>93</v>
      </c>
      <c r="G1527" s="3">
        <v>1.0</v>
      </c>
      <c r="H1527" s="3">
        <v>0.0</v>
      </c>
      <c r="I1527" s="1"/>
      <c r="J1527" s="3">
        <v>836.0</v>
      </c>
    </row>
    <row r="1528">
      <c r="A1528" s="3">
        <v>1314.0</v>
      </c>
      <c r="B1528" s="3">
        <v>1314.0</v>
      </c>
      <c r="C1528" s="3">
        <v>557.0</v>
      </c>
      <c r="D1528" s="3">
        <v>1.0</v>
      </c>
      <c r="E1528" s="1" t="s">
        <v>521</v>
      </c>
      <c r="F1528" s="1" t="s">
        <v>554</v>
      </c>
      <c r="G1528" s="3">
        <v>1.0</v>
      </c>
      <c r="H1528" s="3">
        <v>0.0</v>
      </c>
      <c r="I1528" s="1"/>
      <c r="J1528" s="3">
        <v>836.0</v>
      </c>
    </row>
    <row r="1529">
      <c r="A1529" s="3">
        <v>1315.0</v>
      </c>
      <c r="B1529" s="3">
        <v>1315.0</v>
      </c>
      <c r="C1529" s="3">
        <v>640.0</v>
      </c>
      <c r="D1529" s="3">
        <v>1.0</v>
      </c>
      <c r="E1529" s="1" t="s">
        <v>548</v>
      </c>
      <c r="F1529" s="1" t="s">
        <v>555</v>
      </c>
      <c r="G1529" s="3">
        <v>1.0</v>
      </c>
      <c r="H1529" s="3">
        <v>0.0</v>
      </c>
      <c r="I1529" s="1"/>
      <c r="J1529" s="3">
        <v>836.0</v>
      </c>
    </row>
    <row r="1530">
      <c r="A1530" s="3">
        <v>1316.0</v>
      </c>
      <c r="B1530" s="3">
        <v>1316.0</v>
      </c>
      <c r="C1530" s="3">
        <v>641.0</v>
      </c>
      <c r="D1530" s="3">
        <v>1.0</v>
      </c>
      <c r="E1530" s="1" t="s">
        <v>556</v>
      </c>
      <c r="F1530" s="1"/>
      <c r="G1530" s="3">
        <v>1.0</v>
      </c>
      <c r="H1530" s="3">
        <v>0.0</v>
      </c>
      <c r="I1530" s="1"/>
      <c r="J1530" s="3">
        <v>836.0</v>
      </c>
    </row>
    <row r="1531">
      <c r="A1531" s="3">
        <v>1317.0</v>
      </c>
      <c r="B1531" s="3">
        <v>1317.0</v>
      </c>
      <c r="C1531" s="3">
        <v>560.0</v>
      </c>
      <c r="D1531" s="3">
        <v>1.0</v>
      </c>
      <c r="E1531" s="1" t="s">
        <v>521</v>
      </c>
      <c r="F1531" s="1" t="s">
        <v>557</v>
      </c>
      <c r="G1531" s="3">
        <v>1.0</v>
      </c>
      <c r="H1531" s="3">
        <v>0.0</v>
      </c>
      <c r="I1531" s="1"/>
      <c r="J1531" s="3">
        <v>836.0</v>
      </c>
    </row>
    <row r="1532">
      <c r="A1532" s="3">
        <v>1318.0</v>
      </c>
      <c r="B1532" s="3">
        <v>1318.0</v>
      </c>
      <c r="C1532" s="3">
        <v>541.0</v>
      </c>
      <c r="D1532" s="3">
        <v>1.0</v>
      </c>
      <c r="E1532" s="1" t="s">
        <v>537</v>
      </c>
      <c r="F1532" s="1" t="s">
        <v>153</v>
      </c>
      <c r="G1532" s="3">
        <v>1.0</v>
      </c>
      <c r="H1532" s="3">
        <v>0.0</v>
      </c>
      <c r="I1532" s="1"/>
      <c r="J1532" s="3">
        <v>836.0</v>
      </c>
    </row>
    <row r="1533">
      <c r="A1533" s="3">
        <v>1319.0</v>
      </c>
      <c r="B1533" s="3">
        <v>1319.0</v>
      </c>
      <c r="C1533" s="3">
        <v>555.0</v>
      </c>
      <c r="D1533" s="3">
        <v>1.0</v>
      </c>
      <c r="E1533" s="1" t="s">
        <v>521</v>
      </c>
      <c r="F1533" s="1" t="s">
        <v>558</v>
      </c>
      <c r="G1533" s="3">
        <v>1.0</v>
      </c>
      <c r="H1533" s="3">
        <v>0.0</v>
      </c>
      <c r="I1533" s="1"/>
      <c r="J1533" s="3">
        <v>836.0</v>
      </c>
    </row>
    <row r="1534">
      <c r="A1534" s="3">
        <v>1320.0</v>
      </c>
      <c r="B1534" s="3">
        <v>1320.0</v>
      </c>
      <c r="C1534" s="3">
        <v>542.0</v>
      </c>
      <c r="D1534" s="3">
        <v>1.0</v>
      </c>
      <c r="E1534" s="1" t="s">
        <v>537</v>
      </c>
      <c r="F1534" s="1" t="s">
        <v>559</v>
      </c>
      <c r="G1534" s="3">
        <v>1.0</v>
      </c>
      <c r="H1534" s="3">
        <v>0.0</v>
      </c>
      <c r="I1534" s="1"/>
      <c r="J1534" s="3">
        <v>836.0</v>
      </c>
    </row>
    <row r="1535">
      <c r="A1535" s="3">
        <v>1321.0</v>
      </c>
      <c r="B1535" s="3">
        <v>1321.0</v>
      </c>
      <c r="C1535" s="3">
        <v>533.0</v>
      </c>
      <c r="D1535" s="3">
        <v>1.0</v>
      </c>
      <c r="E1535" s="1" t="s">
        <v>544</v>
      </c>
      <c r="F1535" s="1" t="s">
        <v>26</v>
      </c>
      <c r="G1535" s="3">
        <v>1.0</v>
      </c>
      <c r="H1535" s="3">
        <v>0.0</v>
      </c>
      <c r="I1535" s="1"/>
      <c r="J1535" s="3">
        <v>836.0</v>
      </c>
    </row>
    <row r="1536">
      <c r="A1536" s="3">
        <v>1322.0</v>
      </c>
      <c r="B1536" s="3">
        <v>1322.0</v>
      </c>
      <c r="C1536" s="3">
        <v>531.0</v>
      </c>
      <c r="D1536" s="3">
        <v>1.0</v>
      </c>
      <c r="E1536" s="1" t="s">
        <v>544</v>
      </c>
      <c r="F1536" s="1" t="s">
        <v>24</v>
      </c>
      <c r="G1536" s="3">
        <v>1.0</v>
      </c>
      <c r="H1536" s="3">
        <v>0.0</v>
      </c>
      <c r="I1536" s="1"/>
      <c r="J1536" s="3">
        <v>836.0</v>
      </c>
    </row>
    <row r="1537">
      <c r="A1537" s="3">
        <v>1323.0</v>
      </c>
      <c r="B1537" s="3">
        <v>1323.0</v>
      </c>
      <c r="C1537" s="3">
        <v>532.0</v>
      </c>
      <c r="D1537" s="3">
        <v>1.0</v>
      </c>
      <c r="E1537" s="1" t="s">
        <v>544</v>
      </c>
      <c r="F1537" s="1" t="s">
        <v>25</v>
      </c>
      <c r="G1537" s="3">
        <v>1.0</v>
      </c>
      <c r="H1537" s="3">
        <v>0.0</v>
      </c>
      <c r="I1537" s="1"/>
      <c r="J1537" s="3">
        <v>836.0</v>
      </c>
    </row>
    <row r="1538">
      <c r="A1538" s="3">
        <v>1324.0</v>
      </c>
      <c r="B1538" s="3">
        <v>1324.0</v>
      </c>
      <c r="C1538" s="3">
        <v>554.0</v>
      </c>
      <c r="D1538" s="3">
        <v>1.0</v>
      </c>
      <c r="E1538" s="1" t="s">
        <v>521</v>
      </c>
      <c r="F1538" s="1" t="s">
        <v>560</v>
      </c>
      <c r="G1538" s="3">
        <v>1.0</v>
      </c>
      <c r="H1538" s="3">
        <v>0.0</v>
      </c>
      <c r="I1538" s="1"/>
      <c r="J1538" s="3">
        <v>836.0</v>
      </c>
    </row>
    <row r="1539">
      <c r="A1539" s="3">
        <v>1325.0</v>
      </c>
      <c r="B1539" s="3">
        <v>1325.0</v>
      </c>
      <c r="C1539" s="3">
        <v>540.0</v>
      </c>
      <c r="D1539" s="3">
        <v>1.0</v>
      </c>
      <c r="E1539" s="1" t="s">
        <v>537</v>
      </c>
      <c r="F1539" s="1" t="s">
        <v>161</v>
      </c>
      <c r="G1539" s="3">
        <v>1.0</v>
      </c>
      <c r="H1539" s="3">
        <v>0.0</v>
      </c>
      <c r="I1539" s="1"/>
      <c r="J1539" s="3">
        <v>836.0</v>
      </c>
    </row>
    <row r="1540">
      <c r="A1540" s="3">
        <v>1326.0</v>
      </c>
      <c r="B1540" s="3">
        <v>1326.0</v>
      </c>
      <c r="C1540" s="3">
        <v>543.0</v>
      </c>
      <c r="D1540" s="3">
        <v>1.0</v>
      </c>
      <c r="E1540" s="1" t="s">
        <v>537</v>
      </c>
      <c r="F1540" s="1" t="s">
        <v>561</v>
      </c>
      <c r="G1540" s="3">
        <v>1.0</v>
      </c>
      <c r="H1540" s="3">
        <v>0.0</v>
      </c>
      <c r="I1540" s="1"/>
      <c r="J1540" s="3">
        <v>836.0</v>
      </c>
    </row>
    <row r="1541">
      <c r="A1541" s="3">
        <v>1327.0</v>
      </c>
      <c r="B1541" s="3">
        <v>1327.0</v>
      </c>
      <c r="C1541" s="3">
        <v>625.0</v>
      </c>
      <c r="D1541" s="3">
        <v>1.0</v>
      </c>
      <c r="E1541" s="1" t="s">
        <v>562</v>
      </c>
      <c r="F1541" s="3">
        <v>2.0</v>
      </c>
      <c r="G1541" s="3">
        <v>1.0</v>
      </c>
      <c r="H1541" s="3">
        <v>0.0</v>
      </c>
      <c r="I1541" s="1"/>
      <c r="J1541" s="3">
        <v>836.0</v>
      </c>
    </row>
    <row r="1542">
      <c r="A1542" s="3">
        <v>1328.0</v>
      </c>
      <c r="B1542" s="3">
        <v>1328.0</v>
      </c>
      <c r="C1542" s="3">
        <v>553.0</v>
      </c>
      <c r="D1542" s="3">
        <v>1.0</v>
      </c>
      <c r="E1542" s="1" t="s">
        <v>521</v>
      </c>
      <c r="F1542" s="1" t="s">
        <v>472</v>
      </c>
      <c r="G1542" s="3">
        <v>1.0</v>
      </c>
      <c r="H1542" s="3">
        <v>0.0</v>
      </c>
      <c r="I1542" s="1"/>
      <c r="J1542" s="3">
        <v>836.0</v>
      </c>
    </row>
    <row r="1543">
      <c r="A1543" s="3">
        <v>1329.0</v>
      </c>
      <c r="B1543" s="3">
        <v>1329.0</v>
      </c>
      <c r="C1543" s="3">
        <v>624.0</v>
      </c>
      <c r="D1543" s="3">
        <v>1.0</v>
      </c>
      <c r="E1543" s="1" t="s">
        <v>562</v>
      </c>
      <c r="F1543" s="3">
        <v>1.0</v>
      </c>
      <c r="G1543" s="3">
        <v>1.0</v>
      </c>
      <c r="H1543" s="3">
        <v>0.0</v>
      </c>
      <c r="I1543" s="1"/>
      <c r="J1543" s="3">
        <v>836.0</v>
      </c>
    </row>
    <row r="1544">
      <c r="A1544" s="3">
        <v>1330.0</v>
      </c>
      <c r="B1544" s="3">
        <v>1330.0</v>
      </c>
      <c r="C1544" s="3">
        <v>552.0</v>
      </c>
      <c r="D1544" s="3">
        <v>1.0</v>
      </c>
      <c r="E1544" s="1" t="s">
        <v>521</v>
      </c>
      <c r="F1544" s="1" t="s">
        <v>284</v>
      </c>
      <c r="G1544" s="3">
        <v>1.0</v>
      </c>
      <c r="H1544" s="3">
        <v>0.0</v>
      </c>
      <c r="I1544" s="1"/>
      <c r="J1544" s="3">
        <v>836.0</v>
      </c>
    </row>
    <row r="1545">
      <c r="A1545" s="3">
        <v>1331.0</v>
      </c>
      <c r="B1545" s="3">
        <v>1331.0</v>
      </c>
      <c r="C1545" s="3">
        <v>0.0</v>
      </c>
      <c r="D1545" s="3">
        <v>1.0</v>
      </c>
      <c r="E1545" s="1" t="s">
        <v>544</v>
      </c>
      <c r="F1545" s="1" t="s">
        <v>107</v>
      </c>
      <c r="G1545" s="3">
        <v>1.0</v>
      </c>
      <c r="H1545" s="3">
        <v>0.0</v>
      </c>
      <c r="I1545" s="1"/>
      <c r="J1545" s="3">
        <v>836.0</v>
      </c>
    </row>
    <row r="1546">
      <c r="A1546" s="3">
        <v>1332.0</v>
      </c>
      <c r="B1546" s="3">
        <v>1332.0</v>
      </c>
      <c r="C1546" s="3">
        <v>551.0</v>
      </c>
      <c r="D1546" s="3">
        <v>1.0</v>
      </c>
      <c r="E1546" s="1" t="s">
        <v>521</v>
      </c>
      <c r="F1546" s="1" t="s">
        <v>473</v>
      </c>
      <c r="G1546" s="3">
        <v>1.0</v>
      </c>
      <c r="H1546" s="3">
        <v>0.0</v>
      </c>
      <c r="I1546" s="1"/>
      <c r="J1546" s="3">
        <v>836.0</v>
      </c>
    </row>
    <row r="1547">
      <c r="A1547" s="3">
        <v>1333.0</v>
      </c>
      <c r="B1547" s="3">
        <v>1333.0</v>
      </c>
      <c r="C1547" s="3">
        <v>550.0</v>
      </c>
      <c r="D1547" s="3">
        <v>1.0</v>
      </c>
      <c r="E1547" s="1" t="s">
        <v>521</v>
      </c>
      <c r="F1547" s="1" t="s">
        <v>272</v>
      </c>
      <c r="G1547" s="3">
        <v>1.0</v>
      </c>
      <c r="H1547" s="3">
        <v>0.0</v>
      </c>
      <c r="I1547" s="1"/>
      <c r="J1547" s="3">
        <v>836.0</v>
      </c>
    </row>
    <row r="1548">
      <c r="A1548" s="3">
        <v>1334.0</v>
      </c>
      <c r="B1548" s="3">
        <v>1334.0</v>
      </c>
      <c r="C1548" s="3">
        <v>538.0</v>
      </c>
      <c r="D1548" s="3">
        <v>1.0</v>
      </c>
      <c r="E1548" s="1" t="s">
        <v>537</v>
      </c>
      <c r="F1548" s="1" t="s">
        <v>563</v>
      </c>
      <c r="G1548" s="3">
        <v>1.0</v>
      </c>
      <c r="H1548" s="3">
        <v>0.0</v>
      </c>
      <c r="I1548" s="1"/>
      <c r="J1548" s="3">
        <v>836.0</v>
      </c>
    </row>
    <row r="1549">
      <c r="A1549" s="3">
        <v>1335.0</v>
      </c>
      <c r="B1549" s="3">
        <v>1335.0</v>
      </c>
      <c r="C1549" s="3">
        <v>539.0</v>
      </c>
      <c r="D1549" s="3">
        <v>1.0</v>
      </c>
      <c r="E1549" s="1" t="s">
        <v>537</v>
      </c>
      <c r="F1549" s="1" t="s">
        <v>564</v>
      </c>
      <c r="G1549" s="3">
        <v>1.0</v>
      </c>
      <c r="H1549" s="3">
        <v>0.0</v>
      </c>
      <c r="I1549" s="1"/>
      <c r="J1549" s="3">
        <v>836.0</v>
      </c>
    </row>
    <row r="1550">
      <c r="A1550" s="3">
        <v>1336.0</v>
      </c>
      <c r="B1550" s="3">
        <v>1336.0</v>
      </c>
      <c r="C1550" s="3">
        <v>626.0</v>
      </c>
      <c r="D1550" s="3">
        <v>1.0</v>
      </c>
      <c r="E1550" s="1" t="s">
        <v>562</v>
      </c>
      <c r="F1550" s="3">
        <v>3.0</v>
      </c>
      <c r="G1550" s="3">
        <v>1.0</v>
      </c>
      <c r="H1550" s="3">
        <v>0.0</v>
      </c>
      <c r="I1550" s="1"/>
      <c r="J1550" s="3">
        <v>836.0</v>
      </c>
    </row>
    <row r="1551">
      <c r="A1551" s="3">
        <v>1337.0</v>
      </c>
      <c r="B1551" s="3">
        <v>1337.0</v>
      </c>
      <c r="C1551" s="3">
        <v>627.0</v>
      </c>
      <c r="D1551" s="3">
        <v>1.0</v>
      </c>
      <c r="E1551" s="1" t="s">
        <v>562</v>
      </c>
      <c r="F1551" s="3">
        <v>4.0</v>
      </c>
      <c r="G1551" s="3">
        <v>1.0</v>
      </c>
      <c r="H1551" s="3">
        <v>0.0</v>
      </c>
      <c r="I1551" s="1"/>
      <c r="J1551" s="3">
        <v>836.0</v>
      </c>
    </row>
    <row r="1552">
      <c r="A1552" s="3">
        <v>1338.0</v>
      </c>
      <c r="B1552" s="3">
        <v>1338.0</v>
      </c>
      <c r="C1552" s="3">
        <v>628.0</v>
      </c>
      <c r="D1552" s="3">
        <v>1.0</v>
      </c>
      <c r="E1552" s="1" t="s">
        <v>562</v>
      </c>
      <c r="F1552" s="3">
        <v>5.0</v>
      </c>
      <c r="G1552" s="3">
        <v>1.0</v>
      </c>
      <c r="H1552" s="3">
        <v>0.0</v>
      </c>
      <c r="I1552" s="1"/>
      <c r="J1552" s="3">
        <v>836.0</v>
      </c>
    </row>
    <row r="1553">
      <c r="A1553" s="3">
        <v>1339.0</v>
      </c>
      <c r="B1553" s="3">
        <v>1339.0</v>
      </c>
      <c r="C1553" s="3">
        <v>548.0</v>
      </c>
      <c r="D1553" s="3">
        <v>1.0</v>
      </c>
      <c r="E1553" s="1" t="s">
        <v>521</v>
      </c>
      <c r="F1553" s="1" t="s">
        <v>127</v>
      </c>
      <c r="G1553" s="3">
        <v>1.0</v>
      </c>
      <c r="H1553" s="3">
        <v>0.0</v>
      </c>
      <c r="I1553" s="1"/>
      <c r="J1553" s="3">
        <v>836.0</v>
      </c>
    </row>
    <row r="1554">
      <c r="A1554" s="3">
        <v>1340.0</v>
      </c>
      <c r="B1554" s="3">
        <v>1340.0</v>
      </c>
      <c r="C1554" s="3">
        <v>549.0</v>
      </c>
      <c r="D1554" s="3">
        <v>1.0</v>
      </c>
      <c r="E1554" s="1" t="s">
        <v>521</v>
      </c>
      <c r="F1554" s="1" t="s">
        <v>128</v>
      </c>
      <c r="G1554" s="3">
        <v>1.0</v>
      </c>
      <c r="H1554" s="3">
        <v>0.0</v>
      </c>
      <c r="I1554" s="1"/>
      <c r="J1554" s="3">
        <v>836.0</v>
      </c>
    </row>
    <row r="1555">
      <c r="A1555" s="3">
        <v>1341.0</v>
      </c>
      <c r="B1555" s="3">
        <v>1341.0</v>
      </c>
      <c r="C1555" s="3">
        <v>0.0</v>
      </c>
      <c r="D1555" s="3">
        <v>1.0</v>
      </c>
      <c r="E1555" s="1" t="s">
        <v>521</v>
      </c>
      <c r="F1555" s="1" t="s">
        <v>106</v>
      </c>
      <c r="G1555" s="3">
        <v>1.0</v>
      </c>
      <c r="H1555" s="3">
        <v>0.0</v>
      </c>
      <c r="I1555" s="1"/>
      <c r="J1555" s="3">
        <v>836.0</v>
      </c>
    </row>
    <row r="1556">
      <c r="A1556" s="3">
        <v>1342.0</v>
      </c>
      <c r="B1556" s="3">
        <v>1342.0</v>
      </c>
      <c r="C1556" s="3">
        <v>0.0</v>
      </c>
      <c r="D1556" s="3">
        <v>1.0</v>
      </c>
      <c r="E1556" s="1" t="s">
        <v>521</v>
      </c>
      <c r="F1556" s="1" t="s">
        <v>565</v>
      </c>
      <c r="G1556" s="3">
        <v>1.0</v>
      </c>
      <c r="H1556" s="3">
        <v>0.0</v>
      </c>
      <c r="I1556" s="1"/>
      <c r="J1556" s="3">
        <v>836.0</v>
      </c>
    </row>
    <row r="1557">
      <c r="A1557" s="3">
        <v>1343.0</v>
      </c>
      <c r="B1557" s="3">
        <v>1343.0</v>
      </c>
      <c r="C1557" s="3">
        <v>1006.0</v>
      </c>
      <c r="D1557" s="3">
        <v>1.0</v>
      </c>
      <c r="E1557" s="1" t="s">
        <v>562</v>
      </c>
      <c r="F1557" s="3">
        <v>6.0</v>
      </c>
      <c r="G1557" s="3">
        <v>1.0</v>
      </c>
      <c r="H1557" s="3">
        <v>0.0</v>
      </c>
      <c r="I1557" s="1"/>
      <c r="J1557" s="3">
        <v>836.0</v>
      </c>
    </row>
    <row r="1558">
      <c r="A1558" s="3">
        <v>1344.0</v>
      </c>
      <c r="B1558" s="3">
        <v>1344.0</v>
      </c>
      <c r="C1558" s="3">
        <v>0.0</v>
      </c>
      <c r="D1558" s="3">
        <v>1.0</v>
      </c>
      <c r="E1558" s="1" t="s">
        <v>521</v>
      </c>
      <c r="F1558" s="1" t="s">
        <v>566</v>
      </c>
      <c r="G1558" s="3">
        <v>1.0</v>
      </c>
      <c r="H1558" s="3">
        <v>0.0</v>
      </c>
      <c r="I1558" s="1"/>
      <c r="J1558" s="3">
        <v>836.0</v>
      </c>
    </row>
    <row r="1559">
      <c r="A1559" s="3">
        <v>1345.0</v>
      </c>
      <c r="B1559" s="3">
        <v>1345.0</v>
      </c>
      <c r="C1559" s="3">
        <v>547.0</v>
      </c>
      <c r="D1559" s="3">
        <v>1.0</v>
      </c>
      <c r="E1559" s="1" t="s">
        <v>521</v>
      </c>
      <c r="F1559" s="1" t="s">
        <v>11</v>
      </c>
      <c r="G1559" s="3">
        <v>1.0</v>
      </c>
      <c r="H1559" s="3">
        <v>0.0</v>
      </c>
      <c r="I1559" s="1"/>
      <c r="J1559" s="3">
        <v>836.0</v>
      </c>
    </row>
    <row r="1560">
      <c r="A1560" s="3">
        <v>1346.0</v>
      </c>
      <c r="B1560" s="3">
        <v>1346.0</v>
      </c>
      <c r="C1560" s="3">
        <v>623.0</v>
      </c>
      <c r="D1560" s="3">
        <v>1.0</v>
      </c>
      <c r="E1560" s="1" t="s">
        <v>567</v>
      </c>
      <c r="F1560" s="3">
        <v>2.0</v>
      </c>
      <c r="G1560" s="3">
        <v>1.0</v>
      </c>
      <c r="H1560" s="3">
        <v>0.0</v>
      </c>
      <c r="I1560" s="1"/>
      <c r="J1560" s="3">
        <v>836.0</v>
      </c>
    </row>
    <row r="1561">
      <c r="A1561" s="3">
        <v>1347.0</v>
      </c>
      <c r="B1561" s="3">
        <v>1347.0</v>
      </c>
      <c r="C1561" s="3">
        <v>622.0</v>
      </c>
      <c r="D1561" s="3">
        <v>1.0</v>
      </c>
      <c r="E1561" s="1" t="s">
        <v>567</v>
      </c>
      <c r="F1561" s="3">
        <v>1.0</v>
      </c>
      <c r="G1561" s="3">
        <v>1.0</v>
      </c>
      <c r="H1561" s="3">
        <v>0.0</v>
      </c>
      <c r="I1561" s="1"/>
      <c r="J1561" s="3">
        <v>836.0</v>
      </c>
    </row>
    <row r="1562">
      <c r="A1562" s="3">
        <v>1348.0</v>
      </c>
      <c r="B1562" s="3">
        <v>1348.0</v>
      </c>
      <c r="C1562" s="3">
        <v>966.0</v>
      </c>
      <c r="D1562" s="3">
        <v>1.0</v>
      </c>
      <c r="E1562" s="1" t="s">
        <v>568</v>
      </c>
      <c r="F1562" s="1" t="s">
        <v>37</v>
      </c>
      <c r="G1562" s="3">
        <v>1.0</v>
      </c>
      <c r="H1562" s="3">
        <v>0.0</v>
      </c>
      <c r="I1562" s="1"/>
      <c r="J1562" s="3">
        <v>836.0</v>
      </c>
    </row>
    <row r="1563">
      <c r="A1563" s="3">
        <v>1349.0</v>
      </c>
      <c r="B1563" s="3">
        <v>1349.0</v>
      </c>
      <c r="C1563" s="3">
        <v>955.0</v>
      </c>
      <c r="D1563" s="3">
        <v>1.0</v>
      </c>
      <c r="E1563" s="1" t="s">
        <v>568</v>
      </c>
      <c r="F1563" s="1" t="s">
        <v>569</v>
      </c>
      <c r="G1563" s="3">
        <v>1.0</v>
      </c>
      <c r="H1563" s="3">
        <v>0.0</v>
      </c>
      <c r="I1563" s="1"/>
      <c r="J1563" s="3">
        <v>836.0</v>
      </c>
    </row>
    <row r="1564">
      <c r="A1564" s="3">
        <v>1350.0</v>
      </c>
      <c r="B1564" s="3">
        <v>1350.0</v>
      </c>
      <c r="C1564" s="3">
        <v>643.0</v>
      </c>
      <c r="D1564" s="3">
        <v>1.0</v>
      </c>
      <c r="E1564" s="1" t="s">
        <v>568</v>
      </c>
      <c r="F1564" s="1" t="s">
        <v>570</v>
      </c>
      <c r="G1564" s="3">
        <v>1.0</v>
      </c>
      <c r="H1564" s="3">
        <v>0.0</v>
      </c>
      <c r="I1564" s="1"/>
      <c r="J1564" s="3">
        <v>836.0</v>
      </c>
    </row>
    <row r="1565">
      <c r="A1565" s="3">
        <v>1351.0</v>
      </c>
      <c r="B1565" s="3">
        <v>1351.0</v>
      </c>
      <c r="C1565" s="3">
        <v>956.0</v>
      </c>
      <c r="D1565" s="3">
        <v>1.0</v>
      </c>
      <c r="E1565" s="1" t="s">
        <v>568</v>
      </c>
      <c r="F1565" s="1" t="s">
        <v>571</v>
      </c>
      <c r="G1565" s="3">
        <v>1.0</v>
      </c>
      <c r="H1565" s="3">
        <v>0.0</v>
      </c>
      <c r="I1565" s="1"/>
      <c r="J1565" s="3">
        <v>836.0</v>
      </c>
    </row>
    <row r="1566">
      <c r="A1566" s="3">
        <v>1352.0</v>
      </c>
      <c r="B1566" s="3">
        <v>1352.0</v>
      </c>
      <c r="C1566" s="3">
        <v>959.0</v>
      </c>
      <c r="D1566" s="3">
        <v>1.0</v>
      </c>
      <c r="E1566" s="1" t="s">
        <v>568</v>
      </c>
      <c r="F1566" s="1" t="s">
        <v>572</v>
      </c>
      <c r="G1566" s="3">
        <v>1.0</v>
      </c>
      <c r="H1566" s="3">
        <v>0.0</v>
      </c>
      <c r="I1566" s="1"/>
      <c r="J1566" s="3">
        <v>836.0</v>
      </c>
    </row>
    <row r="1567">
      <c r="A1567" s="3">
        <v>1353.0</v>
      </c>
      <c r="B1567" s="3">
        <v>1353.0</v>
      </c>
      <c r="C1567" s="3">
        <v>964.0</v>
      </c>
      <c r="D1567" s="3">
        <v>1.0</v>
      </c>
      <c r="E1567" s="1" t="s">
        <v>568</v>
      </c>
      <c r="F1567" s="1" t="s">
        <v>573</v>
      </c>
      <c r="G1567" s="3">
        <v>1.0</v>
      </c>
      <c r="H1567" s="3">
        <v>0.0</v>
      </c>
      <c r="I1567" s="1"/>
      <c r="J1567" s="3">
        <v>836.0</v>
      </c>
    </row>
    <row r="1568">
      <c r="A1568" s="3">
        <v>1354.0</v>
      </c>
      <c r="B1568" s="3">
        <v>1354.0</v>
      </c>
      <c r="C1568" s="3">
        <v>645.0</v>
      </c>
      <c r="D1568" s="3">
        <v>1.0</v>
      </c>
      <c r="E1568" s="1" t="s">
        <v>568</v>
      </c>
      <c r="F1568" s="1" t="s">
        <v>574</v>
      </c>
      <c r="G1568" s="3">
        <v>1.0</v>
      </c>
      <c r="H1568" s="3">
        <v>0.0</v>
      </c>
      <c r="I1568" s="1"/>
      <c r="J1568" s="3">
        <v>836.0</v>
      </c>
    </row>
    <row r="1569">
      <c r="A1569" s="3">
        <v>1355.0</v>
      </c>
      <c r="B1569" s="3">
        <v>1355.0</v>
      </c>
      <c r="C1569" s="3">
        <v>962.0</v>
      </c>
      <c r="D1569" s="3">
        <v>1.0</v>
      </c>
      <c r="E1569" s="1" t="s">
        <v>568</v>
      </c>
      <c r="F1569" s="1" t="s">
        <v>575</v>
      </c>
      <c r="G1569" s="3">
        <v>1.0</v>
      </c>
      <c r="H1569" s="3">
        <v>0.0</v>
      </c>
      <c r="I1569" s="1"/>
      <c r="J1569" s="3">
        <v>836.0</v>
      </c>
    </row>
    <row r="1570">
      <c r="A1570" s="3">
        <v>1356.0</v>
      </c>
      <c r="B1570" s="3">
        <v>1356.0</v>
      </c>
      <c r="C1570" s="3">
        <v>963.0</v>
      </c>
      <c r="D1570" s="3">
        <v>1.0</v>
      </c>
      <c r="E1570" s="1" t="s">
        <v>568</v>
      </c>
      <c r="F1570" s="1" t="s">
        <v>576</v>
      </c>
      <c r="G1570" s="3">
        <v>1.0</v>
      </c>
      <c r="H1570" s="3">
        <v>0.0</v>
      </c>
      <c r="I1570" s="1"/>
      <c r="J1570" s="3">
        <v>836.0</v>
      </c>
    </row>
    <row r="1571">
      <c r="A1571" s="3">
        <v>1357.0</v>
      </c>
      <c r="B1571" s="3">
        <v>1357.0</v>
      </c>
      <c r="C1571" s="3">
        <v>961.0</v>
      </c>
      <c r="D1571" s="3">
        <v>1.0</v>
      </c>
      <c r="E1571" s="1" t="s">
        <v>568</v>
      </c>
      <c r="F1571" s="1" t="s">
        <v>577</v>
      </c>
      <c r="G1571" s="3">
        <v>1.0</v>
      </c>
      <c r="H1571" s="3">
        <v>0.0</v>
      </c>
      <c r="I1571" s="1"/>
      <c r="J1571" s="3">
        <v>836.0</v>
      </c>
    </row>
    <row r="1572">
      <c r="A1572" s="3">
        <v>1358.0</v>
      </c>
      <c r="B1572" s="3">
        <v>1358.0</v>
      </c>
      <c r="C1572" s="3">
        <v>960.0</v>
      </c>
      <c r="D1572" s="3">
        <v>1.0</v>
      </c>
      <c r="E1572" s="1" t="s">
        <v>568</v>
      </c>
      <c r="F1572" s="1" t="s">
        <v>578</v>
      </c>
      <c r="G1572" s="3">
        <v>1.0</v>
      </c>
      <c r="H1572" s="3">
        <v>0.0</v>
      </c>
      <c r="I1572" s="1"/>
      <c r="J1572" s="3">
        <v>836.0</v>
      </c>
    </row>
    <row r="1573">
      <c r="A1573" s="3">
        <v>1359.0</v>
      </c>
      <c r="B1573" s="3">
        <v>1359.0</v>
      </c>
      <c r="C1573" s="3">
        <v>965.0</v>
      </c>
      <c r="D1573" s="3">
        <v>1.0</v>
      </c>
      <c r="E1573" s="1" t="s">
        <v>568</v>
      </c>
      <c r="F1573" s="1" t="s">
        <v>126</v>
      </c>
      <c r="G1573" s="3">
        <v>1.0</v>
      </c>
      <c r="H1573" s="3">
        <v>0.0</v>
      </c>
      <c r="I1573" s="1"/>
      <c r="J1573" s="3">
        <v>836.0</v>
      </c>
    </row>
    <row r="1574">
      <c r="A1574" s="3">
        <v>1360.0</v>
      </c>
      <c r="B1574" s="3">
        <v>1360.0</v>
      </c>
      <c r="C1574" s="3">
        <v>0.0</v>
      </c>
      <c r="D1574" s="3">
        <v>1.0</v>
      </c>
      <c r="E1574" s="1" t="s">
        <v>568</v>
      </c>
      <c r="F1574" s="1" t="s">
        <v>93</v>
      </c>
      <c r="G1574" s="3">
        <v>1.0</v>
      </c>
      <c r="H1574" s="3">
        <v>0.0</v>
      </c>
      <c r="I1574" s="1"/>
      <c r="J1574" s="3">
        <v>836.0</v>
      </c>
    </row>
    <row r="1575">
      <c r="A1575" s="3">
        <v>1361.0</v>
      </c>
      <c r="B1575" s="3">
        <v>1361.0</v>
      </c>
      <c r="C1575" s="3">
        <v>644.0</v>
      </c>
      <c r="D1575" s="3">
        <v>1.0</v>
      </c>
      <c r="E1575" s="1" t="s">
        <v>568</v>
      </c>
      <c r="F1575" s="1" t="s">
        <v>19</v>
      </c>
      <c r="G1575" s="3">
        <v>1.0</v>
      </c>
      <c r="H1575" s="3">
        <v>0.0</v>
      </c>
      <c r="I1575" s="1"/>
      <c r="J1575" s="3">
        <v>836.0</v>
      </c>
    </row>
    <row r="1576">
      <c r="A1576" s="3">
        <v>1362.0</v>
      </c>
      <c r="B1576" s="3">
        <v>1362.0</v>
      </c>
      <c r="C1576" s="3">
        <v>0.0</v>
      </c>
      <c r="D1576" s="3">
        <v>1.0</v>
      </c>
      <c r="E1576" s="1" t="s">
        <v>568</v>
      </c>
      <c r="F1576" s="1" t="s">
        <v>107</v>
      </c>
      <c r="G1576" s="3">
        <v>1.0</v>
      </c>
      <c r="H1576" s="3">
        <v>0.0</v>
      </c>
      <c r="I1576" s="1"/>
      <c r="J1576" s="3">
        <v>836.0</v>
      </c>
    </row>
    <row r="1577">
      <c r="A1577" s="3">
        <v>1363.0</v>
      </c>
      <c r="B1577" s="3">
        <v>1363.0</v>
      </c>
      <c r="C1577" s="3">
        <v>0.0</v>
      </c>
      <c r="D1577" s="3">
        <v>1.0</v>
      </c>
      <c r="E1577" s="1" t="s">
        <v>568</v>
      </c>
      <c r="F1577" s="1" t="s">
        <v>106</v>
      </c>
      <c r="G1577" s="3">
        <v>1.0</v>
      </c>
      <c r="H1577" s="3">
        <v>0.0</v>
      </c>
      <c r="I1577" s="1"/>
      <c r="J1577" s="3">
        <v>836.0</v>
      </c>
    </row>
    <row r="1578">
      <c r="A1578" s="3">
        <v>1364.0</v>
      </c>
      <c r="B1578" s="3">
        <v>1364.0</v>
      </c>
      <c r="C1578" s="3">
        <v>1136.0</v>
      </c>
      <c r="D1578" s="3">
        <v>1.0</v>
      </c>
      <c r="E1578" s="2" t="s">
        <v>579</v>
      </c>
      <c r="F1578" s="1"/>
      <c r="G1578" s="3">
        <v>1.0</v>
      </c>
      <c r="H1578" s="3">
        <v>0.0</v>
      </c>
      <c r="I1578" s="1"/>
      <c r="J1578" s="3">
        <v>836.0</v>
      </c>
    </row>
    <row r="1579">
      <c r="A1579" s="3">
        <v>1365.0</v>
      </c>
      <c r="B1579" s="3">
        <v>1365.0</v>
      </c>
      <c r="C1579" s="3">
        <v>807.0</v>
      </c>
      <c r="D1579" s="3">
        <v>1.0</v>
      </c>
      <c r="E1579" s="1" t="s">
        <v>580</v>
      </c>
      <c r="F1579" s="1"/>
      <c r="G1579" s="3">
        <v>1.0</v>
      </c>
      <c r="H1579" s="3">
        <v>0.0</v>
      </c>
      <c r="I1579" s="1"/>
      <c r="J1579" s="3">
        <v>836.0</v>
      </c>
    </row>
    <row r="1580">
      <c r="A1580" s="3">
        <v>1366.0</v>
      </c>
      <c r="B1580" s="3">
        <v>1366.0</v>
      </c>
      <c r="C1580" s="3">
        <v>0.0</v>
      </c>
      <c r="D1580" s="3">
        <v>1.0</v>
      </c>
      <c r="E1580" s="1" t="s">
        <v>581</v>
      </c>
      <c r="F1580" s="3">
        <v>1.0</v>
      </c>
      <c r="G1580" s="3">
        <v>1.0</v>
      </c>
      <c r="H1580" s="3">
        <v>0.0</v>
      </c>
      <c r="I1580" s="1"/>
      <c r="J1580" s="3">
        <v>836.0</v>
      </c>
    </row>
    <row r="1581">
      <c r="A1581" s="3">
        <v>1367.0</v>
      </c>
      <c r="B1581" s="3">
        <v>1367.0</v>
      </c>
      <c r="C1581" s="3">
        <v>1049.0</v>
      </c>
      <c r="D1581" s="3">
        <v>1.0</v>
      </c>
      <c r="E1581" s="2" t="s">
        <v>582</v>
      </c>
      <c r="F1581" s="1"/>
      <c r="G1581" s="3">
        <v>0.0</v>
      </c>
      <c r="H1581" s="3">
        <v>0.0</v>
      </c>
      <c r="I1581" s="1"/>
      <c r="J1581" s="3">
        <v>836.0</v>
      </c>
    </row>
    <row r="1582">
      <c r="A1582" s="3">
        <v>1368.0</v>
      </c>
      <c r="B1582" s="3">
        <v>1368.0</v>
      </c>
      <c r="C1582" s="3">
        <v>0.0</v>
      </c>
      <c r="D1582" s="3">
        <v>1.0</v>
      </c>
      <c r="E1582" s="1" t="s">
        <v>583</v>
      </c>
      <c r="F1582" s="1" t="s">
        <v>93</v>
      </c>
      <c r="G1582" s="3">
        <v>1.0</v>
      </c>
      <c r="H1582" s="3">
        <v>0.0</v>
      </c>
      <c r="I1582" s="1"/>
      <c r="J1582" s="3">
        <v>836.0</v>
      </c>
    </row>
    <row r="1583">
      <c r="A1583" s="3">
        <v>1369.0</v>
      </c>
      <c r="B1583" s="3">
        <v>1369.0</v>
      </c>
      <c r="C1583" s="3">
        <v>869.0</v>
      </c>
      <c r="D1583" s="3">
        <v>1.0</v>
      </c>
      <c r="E1583" s="2" t="s">
        <v>584</v>
      </c>
      <c r="F1583" s="1"/>
      <c r="G1583" s="3">
        <v>1.0</v>
      </c>
      <c r="H1583" s="3">
        <v>0.0</v>
      </c>
      <c r="I1583" s="1"/>
      <c r="J1583" s="3">
        <v>836.0</v>
      </c>
    </row>
    <row r="1584">
      <c r="A1584" s="3">
        <v>1370.0</v>
      </c>
      <c r="B1584" s="3">
        <v>1370.0</v>
      </c>
      <c r="C1584" s="3">
        <v>0.0</v>
      </c>
      <c r="D1584" s="3">
        <v>1.0</v>
      </c>
      <c r="E1584" s="1" t="s">
        <v>98</v>
      </c>
      <c r="F1584" s="3">
        <v>3.0</v>
      </c>
      <c r="G1584" s="3">
        <v>1.0</v>
      </c>
      <c r="H1584" s="3">
        <v>0.0</v>
      </c>
      <c r="I1584" s="1"/>
      <c r="J1584" s="3">
        <v>836.0</v>
      </c>
    </row>
    <row r="1585">
      <c r="A1585" s="3">
        <v>1371.0</v>
      </c>
      <c r="B1585" s="3">
        <v>1371.0</v>
      </c>
      <c r="C1585" s="3">
        <v>0.0</v>
      </c>
      <c r="D1585" s="3">
        <v>1.0</v>
      </c>
      <c r="E1585" s="2" t="s">
        <v>585</v>
      </c>
      <c r="F1585" s="1"/>
      <c r="G1585" s="3">
        <v>1.0</v>
      </c>
      <c r="H1585" s="3">
        <v>0.0</v>
      </c>
      <c r="I1585" s="1"/>
      <c r="J1585" s="3">
        <v>836.0</v>
      </c>
    </row>
    <row r="1586">
      <c r="A1586" s="3">
        <v>1372.0</v>
      </c>
      <c r="B1586" s="3">
        <v>1372.0</v>
      </c>
      <c r="C1586" s="3">
        <v>0.0</v>
      </c>
      <c r="D1586" s="3">
        <v>1.0</v>
      </c>
      <c r="E1586" s="2" t="s">
        <v>586</v>
      </c>
      <c r="F1586" s="1"/>
      <c r="G1586" s="3">
        <v>1.0</v>
      </c>
      <c r="H1586" s="3">
        <v>0.0</v>
      </c>
      <c r="I1586" s="1"/>
      <c r="J1586" s="3">
        <v>836.0</v>
      </c>
    </row>
    <row r="1587">
      <c r="A1587" s="3">
        <v>1373.0</v>
      </c>
      <c r="B1587" s="3">
        <v>1373.0</v>
      </c>
      <c r="C1587" s="3">
        <v>0.0</v>
      </c>
      <c r="D1587" s="3">
        <v>1.0</v>
      </c>
      <c r="E1587" s="2" t="s">
        <v>587</v>
      </c>
      <c r="F1587" s="1"/>
      <c r="G1587" s="3">
        <v>1.0</v>
      </c>
      <c r="H1587" s="3">
        <v>0.0</v>
      </c>
      <c r="I1587" s="1"/>
      <c r="J1587" s="3">
        <v>836.0</v>
      </c>
    </row>
    <row r="1588">
      <c r="A1588" s="3">
        <v>1374.0</v>
      </c>
      <c r="B1588" s="3">
        <v>1374.0</v>
      </c>
      <c r="C1588" s="3">
        <v>0.0</v>
      </c>
      <c r="D1588" s="3">
        <v>1.0</v>
      </c>
      <c r="E1588" s="2" t="s">
        <v>588</v>
      </c>
      <c r="F1588" s="1"/>
      <c r="G1588" s="3">
        <v>1.0</v>
      </c>
      <c r="H1588" s="3">
        <v>0.0</v>
      </c>
      <c r="I1588" s="1"/>
      <c r="J1588" s="3">
        <v>836.0</v>
      </c>
    </row>
    <row r="1589">
      <c r="A1589" s="3">
        <v>1375.0</v>
      </c>
      <c r="B1589" s="3">
        <v>1375.0</v>
      </c>
      <c r="C1589" s="3">
        <v>0.0</v>
      </c>
      <c r="D1589" s="3">
        <v>1.0</v>
      </c>
      <c r="E1589" s="1" t="s">
        <v>589</v>
      </c>
      <c r="F1589" s="3">
        <v>1.0</v>
      </c>
      <c r="G1589" s="3">
        <v>1.0</v>
      </c>
      <c r="H1589" s="3">
        <v>0.0</v>
      </c>
      <c r="I1589" s="1"/>
      <c r="J1589" s="3">
        <v>836.0</v>
      </c>
    </row>
    <row r="1590">
      <c r="A1590" s="3">
        <v>1376.0</v>
      </c>
      <c r="B1590" s="3">
        <v>1376.0</v>
      </c>
      <c r="C1590" s="3">
        <v>0.0</v>
      </c>
      <c r="D1590" s="3">
        <v>1.0</v>
      </c>
      <c r="E1590" s="1" t="s">
        <v>67</v>
      </c>
      <c r="F1590" s="3">
        <v>2.0</v>
      </c>
      <c r="G1590" s="3">
        <v>1.0</v>
      </c>
      <c r="H1590" s="3">
        <v>0.0</v>
      </c>
      <c r="I1590" s="1"/>
      <c r="J1590" s="3">
        <v>836.0</v>
      </c>
    </row>
    <row r="1591">
      <c r="A1591" s="3">
        <v>1377.0</v>
      </c>
      <c r="B1591" s="3">
        <v>1377.0</v>
      </c>
      <c r="C1591" s="3">
        <v>0.0</v>
      </c>
      <c r="D1591" s="3">
        <v>1.0</v>
      </c>
      <c r="E1591" s="2" t="s">
        <v>590</v>
      </c>
      <c r="F1591" s="1"/>
      <c r="G1591" s="3">
        <v>1.0</v>
      </c>
      <c r="H1591" s="3">
        <v>0.0</v>
      </c>
      <c r="I1591" s="1"/>
      <c r="J1591" s="3">
        <v>836.0</v>
      </c>
    </row>
    <row r="1592">
      <c r="A1592" s="3">
        <v>1378.0</v>
      </c>
      <c r="B1592" s="3">
        <v>1378.0</v>
      </c>
      <c r="C1592" s="3">
        <v>0.0</v>
      </c>
      <c r="D1592" s="3">
        <v>1.0</v>
      </c>
      <c r="E1592" s="1" t="s">
        <v>591</v>
      </c>
      <c r="F1592" s="1"/>
      <c r="G1592" s="3">
        <v>1.0</v>
      </c>
      <c r="H1592" s="3">
        <v>0.0</v>
      </c>
      <c r="I1592" s="1"/>
      <c r="J1592" s="3">
        <v>836.0</v>
      </c>
    </row>
    <row r="1593">
      <c r="A1593" s="3">
        <v>1379.0</v>
      </c>
      <c r="B1593" s="3">
        <v>1379.0</v>
      </c>
      <c r="C1593" s="3">
        <v>0.0</v>
      </c>
      <c r="D1593" s="3">
        <v>1.0</v>
      </c>
      <c r="E1593" s="1" t="s">
        <v>592</v>
      </c>
      <c r="F1593" s="3">
        <v>16.0</v>
      </c>
      <c r="G1593" s="3">
        <v>1.0</v>
      </c>
      <c r="H1593" s="3">
        <v>0.0</v>
      </c>
      <c r="I1593" s="1"/>
      <c r="J1593" s="3">
        <v>836.0</v>
      </c>
    </row>
    <row r="1594">
      <c r="A1594" s="3">
        <v>1380.0</v>
      </c>
      <c r="B1594" s="3">
        <v>1380.0</v>
      </c>
      <c r="C1594" s="3">
        <v>0.0</v>
      </c>
      <c r="D1594" s="3">
        <v>1.0</v>
      </c>
      <c r="E1594" s="1" t="s">
        <v>592</v>
      </c>
      <c r="F1594" s="3">
        <v>18.0</v>
      </c>
      <c r="G1594" s="3">
        <v>1.0</v>
      </c>
      <c r="H1594" s="3">
        <v>0.0</v>
      </c>
      <c r="I1594" s="1"/>
      <c r="J1594" s="3">
        <v>836.0</v>
      </c>
    </row>
    <row r="1595">
      <c r="A1595" s="3">
        <v>1381.0</v>
      </c>
      <c r="B1595" s="3">
        <v>1381.0</v>
      </c>
      <c r="C1595" s="3">
        <v>0.0</v>
      </c>
      <c r="D1595" s="3">
        <v>1.0</v>
      </c>
      <c r="E1595" s="1" t="s">
        <v>592</v>
      </c>
      <c r="F1595" s="3">
        <v>17.0</v>
      </c>
      <c r="G1595" s="3">
        <v>1.0</v>
      </c>
      <c r="H1595" s="3">
        <v>0.0</v>
      </c>
      <c r="I1595" s="1"/>
      <c r="J1595" s="3">
        <v>836.0</v>
      </c>
    </row>
    <row r="1596">
      <c r="A1596" s="3">
        <v>1382.0</v>
      </c>
      <c r="B1596" s="3">
        <v>1382.0</v>
      </c>
      <c r="C1596" s="3">
        <v>0.0</v>
      </c>
      <c r="D1596" s="3">
        <v>1.0</v>
      </c>
      <c r="E1596" s="1" t="s">
        <v>592</v>
      </c>
      <c r="F1596" s="3">
        <v>7.0</v>
      </c>
      <c r="G1596" s="3">
        <v>1.0</v>
      </c>
      <c r="H1596" s="3">
        <v>0.0</v>
      </c>
      <c r="I1596" s="1"/>
      <c r="J1596" s="3">
        <v>836.0</v>
      </c>
    </row>
    <row r="1597">
      <c r="A1597" s="3">
        <v>1383.0</v>
      </c>
      <c r="B1597" s="3">
        <v>1383.0</v>
      </c>
      <c r="C1597" s="3">
        <v>0.0</v>
      </c>
      <c r="D1597" s="3">
        <v>1.0</v>
      </c>
      <c r="E1597" s="1" t="s">
        <v>592</v>
      </c>
      <c r="F1597" s="3">
        <v>6.0</v>
      </c>
      <c r="G1597" s="3">
        <v>1.0</v>
      </c>
      <c r="H1597" s="3">
        <v>0.0</v>
      </c>
      <c r="I1597" s="1"/>
      <c r="J1597" s="3">
        <v>836.0</v>
      </c>
    </row>
    <row r="1598">
      <c r="A1598" s="3">
        <v>1384.0</v>
      </c>
      <c r="B1598" s="3">
        <v>1384.0</v>
      </c>
      <c r="C1598" s="3">
        <v>0.0</v>
      </c>
      <c r="D1598" s="3">
        <v>1.0</v>
      </c>
      <c r="E1598" s="1" t="s">
        <v>592</v>
      </c>
      <c r="F1598" s="3">
        <v>5.0</v>
      </c>
      <c r="G1598" s="3">
        <v>1.0</v>
      </c>
      <c r="H1598" s="3">
        <v>0.0</v>
      </c>
      <c r="I1598" s="1"/>
      <c r="J1598" s="3">
        <v>836.0</v>
      </c>
    </row>
    <row r="1599">
      <c r="A1599" s="3">
        <v>1385.0</v>
      </c>
      <c r="B1599" s="3">
        <v>1385.0</v>
      </c>
      <c r="C1599" s="3">
        <v>0.0</v>
      </c>
      <c r="D1599" s="3">
        <v>1.0</v>
      </c>
      <c r="E1599" s="1" t="s">
        <v>592</v>
      </c>
      <c r="F1599" s="3">
        <v>8.0</v>
      </c>
      <c r="G1599" s="3">
        <v>1.0</v>
      </c>
      <c r="H1599" s="3">
        <v>0.0</v>
      </c>
      <c r="I1599" s="1"/>
      <c r="J1599" s="3">
        <v>836.0</v>
      </c>
    </row>
    <row r="1600">
      <c r="A1600" s="3">
        <v>1386.0</v>
      </c>
      <c r="B1600" s="3">
        <v>1386.0</v>
      </c>
      <c r="C1600" s="3">
        <v>0.0</v>
      </c>
      <c r="D1600" s="3">
        <v>1.0</v>
      </c>
      <c r="E1600" s="1" t="s">
        <v>592</v>
      </c>
      <c r="F1600" s="3">
        <v>4.0</v>
      </c>
      <c r="G1600" s="3">
        <v>1.0</v>
      </c>
      <c r="H1600" s="3">
        <v>0.0</v>
      </c>
      <c r="I1600" s="1"/>
      <c r="J1600" s="3">
        <v>836.0</v>
      </c>
    </row>
    <row r="1601">
      <c r="A1601" s="3">
        <v>1387.0</v>
      </c>
      <c r="B1601" s="3">
        <v>1387.0</v>
      </c>
      <c r="C1601" s="3">
        <v>0.0</v>
      </c>
      <c r="D1601" s="3">
        <v>1.0</v>
      </c>
      <c r="E1601" s="1" t="s">
        <v>592</v>
      </c>
      <c r="F1601" s="3">
        <v>3.0</v>
      </c>
      <c r="G1601" s="3">
        <v>1.0</v>
      </c>
      <c r="H1601" s="3">
        <v>0.0</v>
      </c>
      <c r="I1601" s="1"/>
      <c r="J1601" s="3">
        <v>836.0</v>
      </c>
    </row>
    <row r="1602">
      <c r="A1602" s="3">
        <v>1388.0</v>
      </c>
      <c r="B1602" s="3">
        <v>1388.0</v>
      </c>
      <c r="C1602" s="3">
        <v>0.0</v>
      </c>
      <c r="D1602" s="3">
        <v>1.0</v>
      </c>
      <c r="E1602" s="1" t="s">
        <v>592</v>
      </c>
      <c r="F1602" s="3">
        <v>1.0</v>
      </c>
      <c r="G1602" s="3">
        <v>1.0</v>
      </c>
      <c r="H1602" s="3">
        <v>0.0</v>
      </c>
      <c r="I1602" s="1"/>
      <c r="J1602" s="3">
        <v>836.0</v>
      </c>
    </row>
    <row r="1603">
      <c r="A1603" s="3">
        <v>1389.0</v>
      </c>
      <c r="B1603" s="3">
        <v>1389.0</v>
      </c>
      <c r="C1603" s="3">
        <v>0.0</v>
      </c>
      <c r="D1603" s="3">
        <v>1.0</v>
      </c>
      <c r="E1603" s="1" t="s">
        <v>592</v>
      </c>
      <c r="F1603" s="3">
        <v>12.0</v>
      </c>
      <c r="G1603" s="3">
        <v>1.0</v>
      </c>
      <c r="H1603" s="3">
        <v>0.0</v>
      </c>
      <c r="I1603" s="1"/>
      <c r="J1603" s="3">
        <v>836.0</v>
      </c>
    </row>
    <row r="1604">
      <c r="A1604" s="3">
        <v>1390.0</v>
      </c>
      <c r="B1604" s="3">
        <v>1390.0</v>
      </c>
      <c r="C1604" s="3">
        <v>0.0</v>
      </c>
      <c r="D1604" s="3">
        <v>1.0</v>
      </c>
      <c r="E1604" s="1" t="s">
        <v>592</v>
      </c>
      <c r="F1604" s="3">
        <v>13.0</v>
      </c>
      <c r="G1604" s="3">
        <v>1.0</v>
      </c>
      <c r="H1604" s="3">
        <v>0.0</v>
      </c>
      <c r="I1604" s="1"/>
      <c r="J1604" s="3">
        <v>836.0</v>
      </c>
    </row>
    <row r="1605">
      <c r="A1605" s="3">
        <v>1391.0</v>
      </c>
      <c r="B1605" s="3">
        <v>1391.0</v>
      </c>
      <c r="C1605" s="3">
        <v>0.0</v>
      </c>
      <c r="D1605" s="3">
        <v>1.0</v>
      </c>
      <c r="E1605" s="1" t="s">
        <v>592</v>
      </c>
      <c r="F1605" s="1" t="s">
        <v>129</v>
      </c>
      <c r="G1605" s="3">
        <v>1.0</v>
      </c>
      <c r="H1605" s="3">
        <v>0.0</v>
      </c>
      <c r="I1605" s="1"/>
      <c r="J1605" s="3">
        <v>836.0</v>
      </c>
    </row>
    <row r="1606">
      <c r="A1606" s="3">
        <v>1392.0</v>
      </c>
      <c r="B1606" s="3">
        <v>1392.0</v>
      </c>
      <c r="C1606" s="3">
        <v>0.0</v>
      </c>
      <c r="D1606" s="3">
        <v>1.0</v>
      </c>
      <c r="E1606" s="1" t="s">
        <v>592</v>
      </c>
      <c r="F1606" s="3">
        <v>2.0</v>
      </c>
      <c r="G1606" s="3">
        <v>1.0</v>
      </c>
      <c r="H1606" s="3">
        <v>0.0</v>
      </c>
      <c r="I1606" s="1"/>
      <c r="J1606" s="3">
        <v>836.0</v>
      </c>
    </row>
    <row r="1607">
      <c r="A1607" s="3">
        <v>1393.0</v>
      </c>
      <c r="B1607" s="3">
        <v>1393.0</v>
      </c>
      <c r="C1607" s="3">
        <v>0.0</v>
      </c>
      <c r="D1607" s="3">
        <v>1.0</v>
      </c>
      <c r="E1607" s="1" t="s">
        <v>592</v>
      </c>
      <c r="F1607" s="3">
        <v>9.0</v>
      </c>
      <c r="G1607" s="3">
        <v>1.0</v>
      </c>
      <c r="H1607" s="3">
        <v>0.0</v>
      </c>
      <c r="I1607" s="1"/>
      <c r="J1607" s="3">
        <v>836.0</v>
      </c>
    </row>
    <row r="1608">
      <c r="A1608" s="3">
        <v>1394.0</v>
      </c>
      <c r="B1608" s="3">
        <v>1394.0</v>
      </c>
      <c r="C1608" s="3">
        <v>0.0</v>
      </c>
      <c r="D1608" s="3">
        <v>1.0</v>
      </c>
      <c r="E1608" s="1" t="s">
        <v>592</v>
      </c>
      <c r="F1608" s="3">
        <v>10.0</v>
      </c>
      <c r="G1608" s="3">
        <v>1.0</v>
      </c>
      <c r="H1608" s="3">
        <v>0.0</v>
      </c>
      <c r="I1608" s="1"/>
      <c r="J1608" s="3">
        <v>836.0</v>
      </c>
    </row>
    <row r="1609">
      <c r="A1609" s="3">
        <v>1395.0</v>
      </c>
      <c r="B1609" s="3">
        <v>1395.0</v>
      </c>
      <c r="C1609" s="3">
        <v>0.0</v>
      </c>
      <c r="D1609" s="3">
        <v>1.0</v>
      </c>
      <c r="E1609" s="1" t="s">
        <v>592</v>
      </c>
      <c r="F1609" s="3">
        <v>14.0</v>
      </c>
      <c r="G1609" s="3">
        <v>1.0</v>
      </c>
      <c r="H1609" s="3">
        <v>0.0</v>
      </c>
      <c r="I1609" s="1"/>
      <c r="J1609" s="3">
        <v>836.0</v>
      </c>
    </row>
    <row r="1610">
      <c r="A1610" s="3">
        <v>1396.0</v>
      </c>
      <c r="B1610" s="3">
        <v>1396.0</v>
      </c>
      <c r="C1610" s="3">
        <v>0.0</v>
      </c>
      <c r="D1610" s="3">
        <v>1.0</v>
      </c>
      <c r="E1610" s="1" t="s">
        <v>592</v>
      </c>
      <c r="F1610" s="3">
        <v>15.0</v>
      </c>
      <c r="G1610" s="3">
        <v>1.0</v>
      </c>
      <c r="H1610" s="3">
        <v>0.0</v>
      </c>
      <c r="I1610" s="1"/>
      <c r="J1610" s="3">
        <v>836.0</v>
      </c>
    </row>
    <row r="1611">
      <c r="A1611" s="3">
        <v>1397.0</v>
      </c>
      <c r="B1611" s="3">
        <v>1397.0</v>
      </c>
      <c r="C1611" s="3">
        <v>0.0</v>
      </c>
      <c r="D1611" s="3">
        <v>1.0</v>
      </c>
      <c r="E1611" s="1" t="s">
        <v>592</v>
      </c>
      <c r="F1611" s="3">
        <v>11.0</v>
      </c>
      <c r="G1611" s="3">
        <v>1.0</v>
      </c>
      <c r="H1611" s="3">
        <v>0.0</v>
      </c>
      <c r="I1611" s="1"/>
      <c r="J1611" s="3">
        <v>836.0</v>
      </c>
    </row>
    <row r="1612">
      <c r="A1612" s="3">
        <v>1398.0</v>
      </c>
      <c r="B1612" s="3">
        <v>1398.0</v>
      </c>
      <c r="C1612" s="3">
        <v>0.0</v>
      </c>
      <c r="D1612" s="3">
        <v>1.0</v>
      </c>
      <c r="E1612" s="1" t="s">
        <v>593</v>
      </c>
      <c r="F1612" s="3">
        <v>2.0</v>
      </c>
      <c r="G1612" s="3">
        <v>1.0</v>
      </c>
      <c r="H1612" s="3">
        <v>0.0</v>
      </c>
      <c r="I1612" s="1"/>
      <c r="J1612" s="3">
        <v>836.0</v>
      </c>
    </row>
    <row r="1613">
      <c r="A1613" s="3">
        <v>1399.0</v>
      </c>
      <c r="B1613" s="3">
        <v>1399.0</v>
      </c>
      <c r="C1613" s="3">
        <v>0.0</v>
      </c>
      <c r="D1613" s="3">
        <v>1.0</v>
      </c>
      <c r="E1613" s="1" t="s">
        <v>593</v>
      </c>
      <c r="F1613" s="3">
        <v>1.0</v>
      </c>
      <c r="G1613" s="3">
        <v>1.0</v>
      </c>
      <c r="H1613" s="3">
        <v>0.0</v>
      </c>
      <c r="I1613" s="1"/>
      <c r="J1613" s="3">
        <v>836.0</v>
      </c>
    </row>
    <row r="1614">
      <c r="A1614" s="3">
        <v>1400.0</v>
      </c>
      <c r="B1614" s="3">
        <v>1400.0</v>
      </c>
      <c r="C1614" s="3">
        <v>674.0</v>
      </c>
      <c r="D1614" s="3">
        <v>1.0</v>
      </c>
      <c r="E1614" s="1" t="s">
        <v>594</v>
      </c>
      <c r="F1614" s="1" t="s">
        <v>494</v>
      </c>
      <c r="G1614" s="3">
        <v>1.0</v>
      </c>
      <c r="H1614" s="3">
        <v>0.0</v>
      </c>
      <c r="I1614" s="1"/>
      <c r="J1614" s="3">
        <v>836.0</v>
      </c>
    </row>
    <row r="1615">
      <c r="A1615" s="3">
        <v>1401.0</v>
      </c>
      <c r="B1615" s="3">
        <v>1401.0</v>
      </c>
      <c r="C1615" s="3">
        <v>969.0</v>
      </c>
      <c r="D1615" s="3">
        <v>1.0</v>
      </c>
      <c r="E1615" s="1" t="s">
        <v>594</v>
      </c>
      <c r="F1615" s="1" t="s">
        <v>492</v>
      </c>
      <c r="G1615" s="3">
        <v>1.0</v>
      </c>
      <c r="H1615" s="3">
        <v>0.0</v>
      </c>
      <c r="I1615" s="1"/>
      <c r="J1615" s="3">
        <v>836.0</v>
      </c>
    </row>
    <row r="1616">
      <c r="A1616" s="3">
        <v>1402.0</v>
      </c>
      <c r="B1616" s="3">
        <v>1402.0</v>
      </c>
      <c r="C1616" s="3">
        <v>666.0</v>
      </c>
      <c r="D1616" s="3">
        <v>1.0</v>
      </c>
      <c r="E1616" s="1" t="s">
        <v>594</v>
      </c>
      <c r="F1616" s="1" t="s">
        <v>15</v>
      </c>
      <c r="G1616" s="3">
        <v>1.0</v>
      </c>
      <c r="H1616" s="3">
        <v>0.0</v>
      </c>
      <c r="I1616" s="1"/>
      <c r="J1616" s="3">
        <v>836.0</v>
      </c>
    </row>
    <row r="1617">
      <c r="A1617" s="3">
        <v>1403.0</v>
      </c>
      <c r="B1617" s="3">
        <v>1403.0</v>
      </c>
      <c r="C1617" s="3">
        <v>970.0</v>
      </c>
      <c r="D1617" s="3">
        <v>1.0</v>
      </c>
      <c r="E1617" s="1" t="s">
        <v>594</v>
      </c>
      <c r="F1617" s="1" t="s">
        <v>493</v>
      </c>
      <c r="G1617" s="3">
        <v>1.0</v>
      </c>
      <c r="H1617" s="3">
        <v>0.0</v>
      </c>
      <c r="I1617" s="1"/>
      <c r="J1617" s="3">
        <v>836.0</v>
      </c>
    </row>
    <row r="1618">
      <c r="A1618" s="3">
        <v>1404.0</v>
      </c>
      <c r="B1618" s="3">
        <v>1404.0</v>
      </c>
      <c r="C1618" s="3">
        <v>968.0</v>
      </c>
      <c r="D1618" s="3">
        <v>1.0</v>
      </c>
      <c r="E1618" s="1" t="s">
        <v>594</v>
      </c>
      <c r="F1618" s="1" t="s">
        <v>491</v>
      </c>
      <c r="G1618" s="3">
        <v>1.0</v>
      </c>
      <c r="H1618" s="3">
        <v>0.0</v>
      </c>
      <c r="I1618" s="1"/>
      <c r="J1618" s="3">
        <v>836.0</v>
      </c>
    </row>
    <row r="1619">
      <c r="A1619" s="3">
        <v>1405.0</v>
      </c>
      <c r="B1619" s="3">
        <v>1405.0</v>
      </c>
      <c r="C1619" s="3">
        <v>668.0</v>
      </c>
      <c r="D1619" s="3">
        <v>1.0</v>
      </c>
      <c r="E1619" s="1" t="s">
        <v>594</v>
      </c>
      <c r="F1619" s="1" t="s">
        <v>35</v>
      </c>
      <c r="G1619" s="3">
        <v>1.0</v>
      </c>
      <c r="H1619" s="3">
        <v>0.0</v>
      </c>
      <c r="I1619" s="1"/>
      <c r="J1619" s="3">
        <v>836.0</v>
      </c>
    </row>
    <row r="1620">
      <c r="A1620" s="3">
        <v>1406.0</v>
      </c>
      <c r="B1620" s="3">
        <v>1406.0</v>
      </c>
      <c r="C1620" s="3">
        <v>670.0</v>
      </c>
      <c r="D1620" s="3">
        <v>1.0</v>
      </c>
      <c r="E1620" s="1" t="s">
        <v>594</v>
      </c>
      <c r="F1620" s="1" t="s">
        <v>37</v>
      </c>
      <c r="G1620" s="3">
        <v>1.0</v>
      </c>
      <c r="H1620" s="3">
        <v>0.0</v>
      </c>
      <c r="I1620" s="1"/>
      <c r="J1620" s="3">
        <v>836.0</v>
      </c>
    </row>
    <row r="1621">
      <c r="A1621" s="3">
        <v>1407.0</v>
      </c>
      <c r="B1621" s="3">
        <v>1407.0</v>
      </c>
      <c r="C1621" s="3">
        <v>669.0</v>
      </c>
      <c r="D1621" s="3">
        <v>1.0</v>
      </c>
      <c r="E1621" s="1" t="s">
        <v>594</v>
      </c>
      <c r="F1621" s="1" t="s">
        <v>126</v>
      </c>
      <c r="G1621" s="3">
        <v>1.0</v>
      </c>
      <c r="H1621" s="3">
        <v>0.0</v>
      </c>
      <c r="I1621" s="1"/>
      <c r="J1621" s="3">
        <v>836.0</v>
      </c>
    </row>
    <row r="1622">
      <c r="A1622" s="3">
        <v>1408.0</v>
      </c>
      <c r="B1622" s="3">
        <v>1408.0</v>
      </c>
      <c r="C1622" s="3">
        <v>671.0</v>
      </c>
      <c r="D1622" s="3">
        <v>1.0</v>
      </c>
      <c r="E1622" s="1" t="s">
        <v>594</v>
      </c>
      <c r="F1622" s="1" t="s">
        <v>188</v>
      </c>
      <c r="G1622" s="3">
        <v>1.0</v>
      </c>
      <c r="H1622" s="3">
        <v>0.0</v>
      </c>
      <c r="I1622" s="1"/>
      <c r="J1622" s="3">
        <v>836.0</v>
      </c>
    </row>
    <row r="1623">
      <c r="A1623" s="3">
        <v>1409.0</v>
      </c>
      <c r="B1623" s="3">
        <v>1409.0</v>
      </c>
      <c r="C1623" s="3">
        <v>967.0</v>
      </c>
      <c r="D1623" s="3">
        <v>1.0</v>
      </c>
      <c r="E1623" s="1" t="s">
        <v>594</v>
      </c>
      <c r="F1623" s="1" t="s">
        <v>490</v>
      </c>
      <c r="G1623" s="3">
        <v>1.0</v>
      </c>
      <c r="H1623" s="3">
        <v>0.0</v>
      </c>
      <c r="I1623" s="1"/>
      <c r="J1623" s="3">
        <v>836.0</v>
      </c>
    </row>
    <row r="1624">
      <c r="A1624" s="3">
        <v>1410.0</v>
      </c>
      <c r="B1624" s="3">
        <v>1410.0</v>
      </c>
      <c r="C1624" s="3">
        <v>672.0</v>
      </c>
      <c r="D1624" s="3">
        <v>1.0</v>
      </c>
      <c r="E1624" s="1" t="s">
        <v>594</v>
      </c>
      <c r="F1624" s="1" t="s">
        <v>200</v>
      </c>
      <c r="G1624" s="3">
        <v>1.0</v>
      </c>
      <c r="H1624" s="3">
        <v>0.0</v>
      </c>
      <c r="I1624" s="1"/>
      <c r="J1624" s="3">
        <v>836.0</v>
      </c>
    </row>
    <row r="1625">
      <c r="A1625" s="3">
        <v>1411.0</v>
      </c>
      <c r="B1625" s="3">
        <v>1411.0</v>
      </c>
      <c r="C1625" s="3">
        <v>673.0</v>
      </c>
      <c r="D1625" s="3">
        <v>1.0</v>
      </c>
      <c r="E1625" s="1" t="s">
        <v>594</v>
      </c>
      <c r="F1625" s="1" t="s">
        <v>189</v>
      </c>
      <c r="G1625" s="3">
        <v>1.0</v>
      </c>
      <c r="H1625" s="3">
        <v>0.0</v>
      </c>
      <c r="I1625" s="1"/>
      <c r="J1625" s="3">
        <v>836.0</v>
      </c>
    </row>
    <row r="1626">
      <c r="A1626" s="3">
        <v>1412.0</v>
      </c>
      <c r="B1626" s="3">
        <v>1412.0</v>
      </c>
      <c r="C1626" s="3">
        <v>667.0</v>
      </c>
      <c r="D1626" s="3">
        <v>1.0</v>
      </c>
      <c r="E1626" s="1" t="s">
        <v>594</v>
      </c>
      <c r="F1626" s="1" t="s">
        <v>19</v>
      </c>
      <c r="G1626" s="3">
        <v>1.0</v>
      </c>
      <c r="H1626" s="3">
        <v>0.0</v>
      </c>
      <c r="I1626" s="1"/>
      <c r="J1626" s="3">
        <v>836.0</v>
      </c>
    </row>
    <row r="1627">
      <c r="A1627" s="3">
        <v>1413.0</v>
      </c>
      <c r="B1627" s="3">
        <v>1413.0</v>
      </c>
      <c r="C1627" s="3">
        <v>675.0</v>
      </c>
      <c r="D1627" s="3">
        <v>1.0</v>
      </c>
      <c r="E1627" s="1" t="s">
        <v>595</v>
      </c>
      <c r="F1627" s="3">
        <v>1.0</v>
      </c>
      <c r="G1627" s="3">
        <v>1.0</v>
      </c>
      <c r="H1627" s="3">
        <v>0.0</v>
      </c>
      <c r="I1627" s="1"/>
      <c r="J1627" s="3">
        <v>836.0</v>
      </c>
    </row>
    <row r="1628">
      <c r="A1628" s="3">
        <v>1414.0</v>
      </c>
      <c r="B1628" s="3">
        <v>1414.0</v>
      </c>
      <c r="C1628" s="3">
        <v>94.0</v>
      </c>
      <c r="D1628" s="3">
        <v>1.0</v>
      </c>
      <c r="E1628" s="1" t="s">
        <v>596</v>
      </c>
      <c r="F1628" s="3">
        <v>1.0</v>
      </c>
      <c r="G1628" s="3">
        <v>1.0</v>
      </c>
      <c r="H1628" s="3">
        <v>0.0</v>
      </c>
      <c r="I1628" s="1"/>
      <c r="J1628" s="3">
        <v>836.0</v>
      </c>
    </row>
    <row r="1629">
      <c r="A1629" s="3">
        <v>1415.0</v>
      </c>
      <c r="B1629" s="3">
        <v>1415.0</v>
      </c>
      <c r="C1629" s="3">
        <v>0.0</v>
      </c>
      <c r="D1629" s="3">
        <v>1.0</v>
      </c>
      <c r="E1629" s="1" t="s">
        <v>596</v>
      </c>
      <c r="F1629" s="3">
        <v>2.0</v>
      </c>
      <c r="G1629" s="3">
        <v>1.0</v>
      </c>
      <c r="H1629" s="3">
        <v>0.0</v>
      </c>
      <c r="I1629" s="1"/>
      <c r="J1629" s="3">
        <v>836.0</v>
      </c>
    </row>
    <row r="1630">
      <c r="A1630" s="3">
        <v>1416.0</v>
      </c>
      <c r="B1630" s="3">
        <v>1416.0</v>
      </c>
      <c r="C1630" s="3">
        <v>0.0</v>
      </c>
      <c r="D1630" s="3">
        <v>1.0</v>
      </c>
      <c r="E1630" s="1" t="s">
        <v>596</v>
      </c>
      <c r="F1630" s="3">
        <v>3.0</v>
      </c>
      <c r="G1630" s="3">
        <v>1.0</v>
      </c>
      <c r="H1630" s="3">
        <v>0.0</v>
      </c>
      <c r="I1630" s="1"/>
      <c r="J1630" s="3">
        <v>836.0</v>
      </c>
    </row>
    <row r="1631">
      <c r="A1631" s="3">
        <v>1417.0</v>
      </c>
      <c r="B1631" s="3">
        <v>1417.0</v>
      </c>
      <c r="C1631" s="3">
        <v>1138.0</v>
      </c>
      <c r="D1631" s="3">
        <v>1.0</v>
      </c>
      <c r="E1631" s="1" t="s">
        <v>597</v>
      </c>
      <c r="F1631" s="3">
        <v>1.0</v>
      </c>
      <c r="G1631" s="3">
        <v>1.0</v>
      </c>
      <c r="H1631" s="3">
        <v>0.0</v>
      </c>
      <c r="I1631" s="1"/>
      <c r="J1631" s="3">
        <v>836.0</v>
      </c>
    </row>
    <row r="1632">
      <c r="A1632" s="3">
        <v>1418.0</v>
      </c>
      <c r="B1632" s="3">
        <v>1418.0</v>
      </c>
      <c r="C1632" s="3">
        <v>798.0</v>
      </c>
      <c r="D1632" s="3">
        <v>1.0</v>
      </c>
      <c r="E1632" s="1" t="s">
        <v>598</v>
      </c>
      <c r="F1632" s="1" t="s">
        <v>15</v>
      </c>
      <c r="G1632" s="3">
        <v>1.0</v>
      </c>
      <c r="H1632" s="3">
        <v>0.0</v>
      </c>
      <c r="I1632" s="1"/>
      <c r="J1632" s="3">
        <v>836.0</v>
      </c>
    </row>
    <row r="1633">
      <c r="A1633" s="3">
        <v>1419.0</v>
      </c>
      <c r="B1633" s="3">
        <v>1419.0</v>
      </c>
      <c r="C1633" s="3">
        <v>799.0</v>
      </c>
      <c r="D1633" s="3">
        <v>1.0</v>
      </c>
      <c r="E1633" s="1" t="s">
        <v>598</v>
      </c>
      <c r="F1633" s="1" t="s">
        <v>19</v>
      </c>
      <c r="G1633" s="3">
        <v>1.0</v>
      </c>
      <c r="H1633" s="3">
        <v>0.0</v>
      </c>
      <c r="I1633" s="1"/>
      <c r="J1633" s="3">
        <v>836.0</v>
      </c>
    </row>
    <row r="1634">
      <c r="A1634" s="3">
        <v>1420.0</v>
      </c>
      <c r="B1634" s="3">
        <v>1420.0</v>
      </c>
      <c r="C1634" s="3">
        <v>761.0</v>
      </c>
      <c r="D1634" s="3">
        <v>1.0</v>
      </c>
      <c r="E1634" s="1" t="s">
        <v>599</v>
      </c>
      <c r="F1634" s="3">
        <v>1.0</v>
      </c>
      <c r="G1634" s="3">
        <v>1.0</v>
      </c>
      <c r="H1634" s="3">
        <v>0.0</v>
      </c>
      <c r="I1634" s="1"/>
      <c r="J1634" s="3">
        <v>836.0</v>
      </c>
    </row>
    <row r="1635">
      <c r="A1635" s="3">
        <v>1421.0</v>
      </c>
      <c r="B1635" s="3">
        <v>1421.0</v>
      </c>
      <c r="C1635" s="3">
        <v>695.0</v>
      </c>
      <c r="D1635" s="3">
        <v>1.0</v>
      </c>
      <c r="E1635" s="1" t="s">
        <v>600</v>
      </c>
      <c r="F1635" s="3">
        <v>1.0</v>
      </c>
      <c r="G1635" s="3">
        <v>1.0</v>
      </c>
      <c r="H1635" s="3">
        <v>0.0</v>
      </c>
      <c r="I1635" s="1"/>
      <c r="J1635" s="3">
        <v>836.0</v>
      </c>
    </row>
    <row r="1636">
      <c r="A1636" s="3">
        <v>1422.0</v>
      </c>
      <c r="B1636" s="3">
        <v>1422.0</v>
      </c>
      <c r="C1636" s="3">
        <v>696.0</v>
      </c>
      <c r="D1636" s="3">
        <v>1.0</v>
      </c>
      <c r="E1636" s="1" t="s">
        <v>600</v>
      </c>
      <c r="F1636" s="3">
        <v>2.0</v>
      </c>
      <c r="G1636" s="3">
        <v>1.0</v>
      </c>
      <c r="H1636" s="3">
        <v>0.0</v>
      </c>
      <c r="I1636" s="1"/>
      <c r="J1636" s="3">
        <v>836.0</v>
      </c>
    </row>
    <row r="1637">
      <c r="A1637" s="3">
        <v>1423.0</v>
      </c>
      <c r="B1637" s="3">
        <v>1423.0</v>
      </c>
      <c r="C1637" s="3">
        <v>697.0</v>
      </c>
      <c r="D1637" s="3">
        <v>1.0</v>
      </c>
      <c r="E1637" s="1" t="s">
        <v>600</v>
      </c>
      <c r="F1637" s="3">
        <v>3.0</v>
      </c>
      <c r="G1637" s="3">
        <v>1.0</v>
      </c>
      <c r="H1637" s="3">
        <v>0.0</v>
      </c>
      <c r="I1637" s="1"/>
      <c r="J1637" s="3">
        <v>836.0</v>
      </c>
    </row>
    <row r="1638">
      <c r="A1638" s="3">
        <v>1424.0</v>
      </c>
      <c r="B1638" s="3">
        <v>1424.0</v>
      </c>
      <c r="C1638" s="3">
        <v>698.0</v>
      </c>
      <c r="D1638" s="3">
        <v>1.0</v>
      </c>
      <c r="E1638" s="1" t="s">
        <v>600</v>
      </c>
      <c r="F1638" s="3">
        <v>4.0</v>
      </c>
      <c r="G1638" s="3">
        <v>1.0</v>
      </c>
      <c r="H1638" s="3">
        <v>0.0</v>
      </c>
      <c r="I1638" s="1"/>
      <c r="J1638" s="3">
        <v>836.0</v>
      </c>
    </row>
    <row r="1639">
      <c r="A1639" s="3">
        <v>1425.0</v>
      </c>
      <c r="B1639" s="3">
        <v>1425.0</v>
      </c>
      <c r="C1639" s="3">
        <v>699.0</v>
      </c>
      <c r="D1639" s="3">
        <v>1.0</v>
      </c>
      <c r="E1639" s="1" t="s">
        <v>600</v>
      </c>
      <c r="F1639" s="3">
        <v>5.0</v>
      </c>
      <c r="G1639" s="3">
        <v>1.0</v>
      </c>
      <c r="H1639" s="3">
        <v>0.0</v>
      </c>
      <c r="I1639" s="1"/>
      <c r="J1639" s="3">
        <v>836.0</v>
      </c>
    </row>
    <row r="1640">
      <c r="A1640" s="3">
        <v>1426.0</v>
      </c>
      <c r="B1640" s="3">
        <v>1426.0</v>
      </c>
      <c r="C1640" s="3">
        <v>805.0</v>
      </c>
      <c r="D1640" s="3">
        <v>1.0</v>
      </c>
      <c r="E1640" s="1" t="s">
        <v>601</v>
      </c>
      <c r="F1640" s="3">
        <v>1.0</v>
      </c>
      <c r="G1640" s="3">
        <v>1.0</v>
      </c>
      <c r="H1640" s="3">
        <v>0.0</v>
      </c>
      <c r="I1640" s="1"/>
      <c r="J1640" s="3">
        <v>836.0</v>
      </c>
    </row>
    <row r="1641">
      <c r="A1641" s="3">
        <v>1427.0</v>
      </c>
      <c r="B1641" s="3">
        <v>1427.0</v>
      </c>
      <c r="C1641" s="3">
        <v>0.0</v>
      </c>
      <c r="D1641" s="3">
        <v>1.0</v>
      </c>
      <c r="E1641" s="1" t="s">
        <v>602</v>
      </c>
      <c r="F1641" s="3">
        <v>1.0</v>
      </c>
      <c r="G1641" s="3">
        <v>1.0</v>
      </c>
      <c r="H1641" s="3">
        <v>0.0</v>
      </c>
      <c r="I1641" s="1"/>
      <c r="J1641" s="3">
        <v>836.0</v>
      </c>
    </row>
    <row r="1642">
      <c r="A1642" s="3">
        <v>1428.0</v>
      </c>
      <c r="B1642" s="3">
        <v>1428.0</v>
      </c>
      <c r="C1642" s="3">
        <v>0.0</v>
      </c>
      <c r="D1642" s="3">
        <v>1.0</v>
      </c>
      <c r="E1642" s="1" t="s">
        <v>603</v>
      </c>
      <c r="F1642" s="3">
        <v>1.0</v>
      </c>
      <c r="G1642" s="3">
        <v>1.0</v>
      </c>
      <c r="H1642" s="3">
        <v>0.0</v>
      </c>
      <c r="I1642" s="1"/>
      <c r="J1642" s="3">
        <v>836.0</v>
      </c>
    </row>
    <row r="1643">
      <c r="A1643" s="3">
        <v>1429.0</v>
      </c>
      <c r="B1643" s="3">
        <v>1429.0</v>
      </c>
      <c r="C1643" s="3">
        <v>803.0</v>
      </c>
      <c r="D1643" s="3">
        <v>1.0</v>
      </c>
      <c r="E1643" s="1" t="s">
        <v>604</v>
      </c>
      <c r="F1643" s="1" t="s">
        <v>15</v>
      </c>
      <c r="G1643" s="3">
        <v>1.0</v>
      </c>
      <c r="H1643" s="3">
        <v>0.0</v>
      </c>
      <c r="I1643" s="1"/>
      <c r="J1643" s="3">
        <v>836.0</v>
      </c>
    </row>
    <row r="1644">
      <c r="A1644" s="3">
        <v>1430.0</v>
      </c>
      <c r="B1644" s="3">
        <v>1430.0</v>
      </c>
      <c r="C1644" s="3">
        <v>804.0</v>
      </c>
      <c r="D1644" s="3">
        <v>1.0</v>
      </c>
      <c r="E1644" s="1" t="s">
        <v>604</v>
      </c>
      <c r="F1644" s="1" t="s">
        <v>19</v>
      </c>
      <c r="G1644" s="3">
        <v>1.0</v>
      </c>
      <c r="H1644" s="3">
        <v>0.0</v>
      </c>
      <c r="I1644" s="1"/>
      <c r="J1644" s="3">
        <v>836.0</v>
      </c>
    </row>
    <row r="1645">
      <c r="A1645" s="3">
        <v>1431.0</v>
      </c>
      <c r="B1645" s="3">
        <v>1431.0</v>
      </c>
      <c r="C1645" s="3">
        <v>725.0</v>
      </c>
      <c r="D1645" s="3">
        <v>1.0</v>
      </c>
      <c r="E1645" s="1" t="s">
        <v>605</v>
      </c>
      <c r="F1645" s="3">
        <v>1.0</v>
      </c>
      <c r="G1645" s="3">
        <v>1.0</v>
      </c>
      <c r="H1645" s="3">
        <v>0.0</v>
      </c>
      <c r="I1645" s="1"/>
      <c r="J1645" s="3">
        <v>836.0</v>
      </c>
    </row>
    <row r="1646">
      <c r="A1646" s="3">
        <v>1432.0</v>
      </c>
      <c r="B1646" s="3">
        <v>1432.0</v>
      </c>
      <c r="C1646" s="3">
        <v>723.0</v>
      </c>
      <c r="D1646" s="3">
        <v>1.0</v>
      </c>
      <c r="E1646" s="1" t="s">
        <v>606</v>
      </c>
      <c r="F1646" s="3">
        <v>2.0</v>
      </c>
      <c r="G1646" s="3">
        <v>1.0</v>
      </c>
      <c r="H1646" s="3">
        <v>0.0</v>
      </c>
      <c r="I1646" s="1"/>
      <c r="J1646" s="3">
        <v>836.0</v>
      </c>
    </row>
    <row r="1647">
      <c r="A1647" s="3">
        <v>1433.0</v>
      </c>
      <c r="B1647" s="3">
        <v>1433.0</v>
      </c>
      <c r="C1647" s="3">
        <v>724.0</v>
      </c>
      <c r="D1647" s="3">
        <v>1.0</v>
      </c>
      <c r="E1647" s="1" t="s">
        <v>607</v>
      </c>
      <c r="F1647" s="3">
        <v>3.0</v>
      </c>
      <c r="G1647" s="3">
        <v>1.0</v>
      </c>
      <c r="H1647" s="3">
        <v>0.0</v>
      </c>
      <c r="I1647" s="1"/>
      <c r="J1647" s="3">
        <v>836.0</v>
      </c>
    </row>
    <row r="1648">
      <c r="A1648" s="3">
        <v>1434.0</v>
      </c>
      <c r="B1648" s="3">
        <v>1434.0</v>
      </c>
      <c r="C1648" s="3">
        <v>726.0</v>
      </c>
      <c r="D1648" s="3">
        <v>1.0</v>
      </c>
      <c r="E1648" s="1" t="s">
        <v>608</v>
      </c>
      <c r="F1648" s="3">
        <v>4.0</v>
      </c>
      <c r="G1648" s="3">
        <v>1.0</v>
      </c>
      <c r="H1648" s="3">
        <v>0.0</v>
      </c>
      <c r="I1648" s="1"/>
      <c r="J1648" s="3">
        <v>836.0</v>
      </c>
    </row>
    <row r="1649">
      <c r="A1649" s="3">
        <v>1435.0</v>
      </c>
      <c r="B1649" s="3">
        <v>1435.0</v>
      </c>
      <c r="C1649" s="3">
        <v>0.0</v>
      </c>
      <c r="D1649" s="3">
        <v>1.0</v>
      </c>
      <c r="E1649" s="1" t="s">
        <v>609</v>
      </c>
      <c r="F1649" s="3">
        <v>5.0</v>
      </c>
      <c r="G1649" s="3">
        <v>1.0</v>
      </c>
      <c r="H1649" s="3">
        <v>0.0</v>
      </c>
      <c r="I1649" s="1"/>
      <c r="J1649" s="3">
        <v>836.0</v>
      </c>
    </row>
    <row r="1650">
      <c r="A1650" s="3">
        <v>1436.0</v>
      </c>
      <c r="B1650" s="3">
        <v>1436.0</v>
      </c>
      <c r="C1650" s="3">
        <v>0.0</v>
      </c>
      <c r="D1650" s="3">
        <v>1.0</v>
      </c>
      <c r="E1650" s="1" t="s">
        <v>609</v>
      </c>
      <c r="F1650" s="3">
        <v>6.0</v>
      </c>
      <c r="G1650" s="3">
        <v>1.0</v>
      </c>
      <c r="H1650" s="3">
        <v>0.0</v>
      </c>
      <c r="I1650" s="1"/>
      <c r="J1650" s="3">
        <v>836.0</v>
      </c>
    </row>
    <row r="1651">
      <c r="A1651" s="3">
        <v>1437.0</v>
      </c>
      <c r="B1651" s="3">
        <v>1437.0</v>
      </c>
      <c r="C1651" s="3">
        <v>0.0</v>
      </c>
      <c r="D1651" s="3">
        <v>1.0</v>
      </c>
      <c r="E1651" s="1" t="s">
        <v>609</v>
      </c>
      <c r="F1651" s="3">
        <v>7.0</v>
      </c>
      <c r="G1651" s="3">
        <v>1.0</v>
      </c>
      <c r="H1651" s="3">
        <v>0.0</v>
      </c>
      <c r="I1651" s="1"/>
      <c r="J1651" s="3">
        <v>836.0</v>
      </c>
    </row>
    <row r="1652">
      <c r="A1652" s="3">
        <v>1438.0</v>
      </c>
      <c r="B1652" s="3">
        <v>1438.0</v>
      </c>
      <c r="C1652" s="3">
        <v>0.0</v>
      </c>
      <c r="D1652" s="3">
        <v>1.0</v>
      </c>
      <c r="E1652" s="1" t="s">
        <v>609</v>
      </c>
      <c r="F1652" s="3">
        <v>8.0</v>
      </c>
      <c r="G1652" s="3">
        <v>1.0</v>
      </c>
      <c r="H1652" s="3">
        <v>0.0</v>
      </c>
      <c r="I1652" s="1"/>
      <c r="J1652" s="3">
        <v>836.0</v>
      </c>
    </row>
    <row r="1653">
      <c r="A1653" s="3">
        <v>1439.0</v>
      </c>
      <c r="B1653" s="3">
        <v>1439.0</v>
      </c>
      <c r="C1653" s="3">
        <v>972.0</v>
      </c>
      <c r="D1653" s="3">
        <v>1.0</v>
      </c>
      <c r="E1653" s="1" t="s">
        <v>610</v>
      </c>
      <c r="F1653" s="3">
        <v>9.0</v>
      </c>
      <c r="G1653" s="3">
        <v>1.0</v>
      </c>
      <c r="H1653" s="3">
        <v>0.0</v>
      </c>
      <c r="I1653" s="1"/>
      <c r="J1653" s="3">
        <v>836.0</v>
      </c>
    </row>
    <row r="1654">
      <c r="A1654" s="3">
        <v>1440.0</v>
      </c>
      <c r="B1654" s="3">
        <v>1440.0</v>
      </c>
      <c r="C1654" s="3">
        <v>0.0</v>
      </c>
      <c r="D1654" s="3">
        <v>1.0</v>
      </c>
      <c r="E1654" s="1" t="s">
        <v>609</v>
      </c>
      <c r="F1654" s="3">
        <v>10.0</v>
      </c>
      <c r="G1654" s="3">
        <v>1.0</v>
      </c>
      <c r="H1654" s="3">
        <v>0.0</v>
      </c>
      <c r="I1654" s="1"/>
      <c r="J1654" s="3">
        <v>836.0</v>
      </c>
    </row>
    <row r="1655">
      <c r="A1655" s="3">
        <v>1441.0</v>
      </c>
      <c r="B1655" s="3">
        <v>1441.0</v>
      </c>
      <c r="C1655" s="3">
        <v>727.0</v>
      </c>
      <c r="D1655" s="3">
        <v>1.0</v>
      </c>
      <c r="E1655" s="1" t="s">
        <v>611</v>
      </c>
      <c r="F1655" s="3">
        <v>11.0</v>
      </c>
      <c r="G1655" s="3">
        <v>1.0</v>
      </c>
      <c r="H1655" s="3">
        <v>0.0</v>
      </c>
      <c r="I1655" s="1"/>
      <c r="J1655" s="3">
        <v>836.0</v>
      </c>
    </row>
    <row r="1656">
      <c r="A1656" s="3">
        <v>1442.0</v>
      </c>
      <c r="B1656" s="3">
        <v>1442.0</v>
      </c>
      <c r="C1656" s="3">
        <v>0.0</v>
      </c>
      <c r="D1656" s="3">
        <v>1.0</v>
      </c>
      <c r="E1656" s="1" t="s">
        <v>609</v>
      </c>
      <c r="F1656" s="3">
        <v>12.0</v>
      </c>
      <c r="G1656" s="3">
        <v>1.0</v>
      </c>
      <c r="H1656" s="3">
        <v>0.0</v>
      </c>
      <c r="I1656" s="1"/>
      <c r="J1656" s="3">
        <v>836.0</v>
      </c>
    </row>
    <row r="1657">
      <c r="A1657" s="3">
        <v>1443.0</v>
      </c>
      <c r="B1657" s="3">
        <v>1443.0</v>
      </c>
      <c r="C1657" s="3">
        <v>971.0</v>
      </c>
      <c r="D1657" s="3">
        <v>1.0</v>
      </c>
      <c r="E1657" s="1" t="s">
        <v>612</v>
      </c>
      <c r="F1657" s="3">
        <v>13.0</v>
      </c>
      <c r="G1657" s="3">
        <v>1.0</v>
      </c>
      <c r="H1657" s="3">
        <v>0.0</v>
      </c>
      <c r="I1657" s="1"/>
      <c r="J1657" s="3">
        <v>836.0</v>
      </c>
    </row>
    <row r="1658">
      <c r="A1658" s="3">
        <v>1444.0</v>
      </c>
      <c r="B1658" s="3">
        <v>1444.0</v>
      </c>
      <c r="C1658" s="3">
        <v>728.0</v>
      </c>
      <c r="D1658" s="3">
        <v>1.0</v>
      </c>
      <c r="E1658" s="1" t="s">
        <v>613</v>
      </c>
      <c r="F1658" s="3">
        <v>14.0</v>
      </c>
      <c r="G1658" s="3">
        <v>1.0</v>
      </c>
      <c r="H1658" s="3">
        <v>0.0</v>
      </c>
      <c r="I1658" s="1"/>
      <c r="J1658" s="3">
        <v>836.0</v>
      </c>
    </row>
    <row r="1659">
      <c r="A1659" s="3">
        <v>1445.0</v>
      </c>
      <c r="B1659" s="3">
        <v>1445.0</v>
      </c>
      <c r="C1659" s="3">
        <v>976.0</v>
      </c>
      <c r="D1659" s="3">
        <v>1.0</v>
      </c>
      <c r="E1659" s="1" t="s">
        <v>614</v>
      </c>
      <c r="F1659" s="3">
        <v>15.0</v>
      </c>
      <c r="G1659" s="3">
        <v>1.0</v>
      </c>
      <c r="H1659" s="3">
        <v>0.0</v>
      </c>
      <c r="I1659" s="1"/>
      <c r="J1659" s="3">
        <v>836.0</v>
      </c>
    </row>
    <row r="1660">
      <c r="A1660" s="3">
        <v>1446.0</v>
      </c>
      <c r="B1660" s="3">
        <v>1446.0</v>
      </c>
      <c r="C1660" s="3">
        <v>729.0</v>
      </c>
      <c r="D1660" s="3">
        <v>1.0</v>
      </c>
      <c r="E1660" s="1" t="s">
        <v>615</v>
      </c>
      <c r="F1660" s="3">
        <v>16.0</v>
      </c>
      <c r="G1660" s="3">
        <v>1.0</v>
      </c>
      <c r="H1660" s="3">
        <v>0.0</v>
      </c>
      <c r="I1660" s="1"/>
      <c r="J1660" s="3">
        <v>836.0</v>
      </c>
    </row>
    <row r="1661">
      <c r="A1661" s="3">
        <v>1447.0</v>
      </c>
      <c r="B1661" s="3">
        <v>1447.0</v>
      </c>
      <c r="C1661" s="3">
        <v>973.0</v>
      </c>
      <c r="D1661" s="3">
        <v>1.0</v>
      </c>
      <c r="E1661" s="1" t="s">
        <v>616</v>
      </c>
      <c r="F1661" s="3">
        <v>17.0</v>
      </c>
      <c r="G1661" s="3">
        <v>1.0</v>
      </c>
      <c r="H1661" s="3">
        <v>0.0</v>
      </c>
      <c r="I1661" s="1"/>
      <c r="J1661" s="3">
        <v>836.0</v>
      </c>
    </row>
    <row r="1662">
      <c r="A1662" s="3">
        <v>1448.0</v>
      </c>
      <c r="B1662" s="3">
        <v>1448.0</v>
      </c>
      <c r="C1662" s="3">
        <v>974.0</v>
      </c>
      <c r="D1662" s="3">
        <v>1.0</v>
      </c>
      <c r="E1662" s="1" t="s">
        <v>617</v>
      </c>
      <c r="F1662" s="3">
        <v>29.0</v>
      </c>
      <c r="G1662" s="3">
        <v>1.0</v>
      </c>
      <c r="H1662" s="3">
        <v>0.0</v>
      </c>
      <c r="I1662" s="1"/>
      <c r="J1662" s="3">
        <v>836.0</v>
      </c>
    </row>
    <row r="1663">
      <c r="A1663" s="3">
        <v>1449.0</v>
      </c>
      <c r="B1663" s="3">
        <v>1449.0</v>
      </c>
      <c r="C1663" s="3">
        <v>975.0</v>
      </c>
      <c r="D1663" s="3">
        <v>1.0</v>
      </c>
      <c r="E1663" s="1" t="s">
        <v>618</v>
      </c>
      <c r="F1663" s="3">
        <v>30.0</v>
      </c>
      <c r="G1663" s="3">
        <v>1.0</v>
      </c>
      <c r="H1663" s="3">
        <v>0.0</v>
      </c>
      <c r="I1663" s="1"/>
      <c r="J1663" s="3">
        <v>836.0</v>
      </c>
    </row>
    <row r="1664">
      <c r="A1664" s="3">
        <v>1450.0</v>
      </c>
      <c r="B1664" s="3">
        <v>1450.0</v>
      </c>
      <c r="C1664" s="3">
        <v>979.0</v>
      </c>
      <c r="D1664" s="3">
        <v>1.0</v>
      </c>
      <c r="E1664" s="1" t="s">
        <v>619</v>
      </c>
      <c r="F1664" s="3">
        <v>18.0</v>
      </c>
      <c r="G1664" s="3">
        <v>1.0</v>
      </c>
      <c r="H1664" s="3">
        <v>0.0</v>
      </c>
      <c r="I1664" s="1"/>
      <c r="J1664" s="3">
        <v>836.0</v>
      </c>
    </row>
    <row r="1665">
      <c r="A1665" s="3">
        <v>1451.0</v>
      </c>
      <c r="B1665" s="3">
        <v>1451.0</v>
      </c>
      <c r="C1665" s="3">
        <v>978.0</v>
      </c>
      <c r="D1665" s="3">
        <v>1.0</v>
      </c>
      <c r="E1665" s="1" t="s">
        <v>620</v>
      </c>
      <c r="F1665" s="3">
        <v>19.0</v>
      </c>
      <c r="G1665" s="3">
        <v>1.0</v>
      </c>
      <c r="H1665" s="3">
        <v>0.0</v>
      </c>
      <c r="I1665" s="1"/>
      <c r="J1665" s="3">
        <v>836.0</v>
      </c>
    </row>
    <row r="1666">
      <c r="A1666" s="3">
        <v>1452.0</v>
      </c>
      <c r="B1666" s="3">
        <v>1452.0</v>
      </c>
      <c r="C1666" s="3">
        <v>0.0</v>
      </c>
      <c r="D1666" s="3">
        <v>1.0</v>
      </c>
      <c r="E1666" s="1" t="s">
        <v>609</v>
      </c>
      <c r="F1666" s="3">
        <v>20.0</v>
      </c>
      <c r="G1666" s="3">
        <v>1.0</v>
      </c>
      <c r="H1666" s="3">
        <v>0.0</v>
      </c>
      <c r="I1666" s="1"/>
      <c r="J1666" s="3">
        <v>836.0</v>
      </c>
    </row>
    <row r="1667">
      <c r="A1667" s="3">
        <v>1453.0</v>
      </c>
      <c r="B1667" s="3">
        <v>1453.0</v>
      </c>
      <c r="C1667" s="3">
        <v>980.0</v>
      </c>
      <c r="D1667" s="3">
        <v>1.0</v>
      </c>
      <c r="E1667" s="1" t="s">
        <v>609</v>
      </c>
      <c r="F1667" s="3">
        <v>21.0</v>
      </c>
      <c r="G1667" s="3">
        <v>1.0</v>
      </c>
      <c r="H1667" s="3">
        <v>0.0</v>
      </c>
      <c r="I1667" s="1"/>
      <c r="J1667" s="3">
        <v>836.0</v>
      </c>
    </row>
    <row r="1668">
      <c r="A1668" s="3">
        <v>1454.0</v>
      </c>
      <c r="B1668" s="3">
        <v>1454.0</v>
      </c>
      <c r="C1668" s="3">
        <v>977.0</v>
      </c>
      <c r="D1668" s="3">
        <v>1.0</v>
      </c>
      <c r="E1668" s="1" t="s">
        <v>621</v>
      </c>
      <c r="F1668" s="3">
        <v>22.0</v>
      </c>
      <c r="G1668" s="3">
        <v>1.0</v>
      </c>
      <c r="H1668" s="3">
        <v>0.0</v>
      </c>
      <c r="I1668" s="1"/>
      <c r="J1668" s="3">
        <v>836.0</v>
      </c>
    </row>
    <row r="1669">
      <c r="A1669" s="3">
        <v>1455.0</v>
      </c>
      <c r="B1669" s="3">
        <v>1455.0</v>
      </c>
      <c r="C1669" s="3">
        <v>981.0</v>
      </c>
      <c r="D1669" s="3">
        <v>1.0</v>
      </c>
      <c r="E1669" s="1" t="s">
        <v>622</v>
      </c>
      <c r="F1669" s="3">
        <v>23.0</v>
      </c>
      <c r="G1669" s="3">
        <v>1.0</v>
      </c>
      <c r="H1669" s="3">
        <v>0.0</v>
      </c>
      <c r="I1669" s="1"/>
      <c r="J1669" s="3">
        <v>836.0</v>
      </c>
    </row>
    <row r="1670">
      <c r="A1670" s="3">
        <v>1456.0</v>
      </c>
      <c r="B1670" s="3">
        <v>1456.0</v>
      </c>
      <c r="C1670" s="3">
        <v>982.0</v>
      </c>
      <c r="D1670" s="3">
        <v>1.0</v>
      </c>
      <c r="E1670" s="1" t="s">
        <v>623</v>
      </c>
      <c r="F1670" s="3">
        <v>24.0</v>
      </c>
      <c r="G1670" s="3">
        <v>1.0</v>
      </c>
      <c r="H1670" s="3">
        <v>0.0</v>
      </c>
      <c r="I1670" s="1"/>
      <c r="J1670" s="3">
        <v>836.0</v>
      </c>
    </row>
    <row r="1671">
      <c r="A1671" s="3">
        <v>1457.0</v>
      </c>
      <c r="B1671" s="3">
        <v>1457.0</v>
      </c>
      <c r="C1671" s="3">
        <v>983.0</v>
      </c>
      <c r="D1671" s="3">
        <v>1.0</v>
      </c>
      <c r="E1671" s="1" t="s">
        <v>624</v>
      </c>
      <c r="F1671" s="3">
        <v>25.0</v>
      </c>
      <c r="G1671" s="3">
        <v>1.0</v>
      </c>
      <c r="H1671" s="3">
        <v>0.0</v>
      </c>
      <c r="I1671" s="1"/>
      <c r="J1671" s="3">
        <v>836.0</v>
      </c>
    </row>
    <row r="1672">
      <c r="A1672" s="3">
        <v>1458.0</v>
      </c>
      <c r="B1672" s="3">
        <v>1458.0</v>
      </c>
      <c r="C1672" s="3">
        <v>0.0</v>
      </c>
      <c r="D1672" s="3">
        <v>1.0</v>
      </c>
      <c r="E1672" s="1" t="s">
        <v>609</v>
      </c>
      <c r="F1672" s="3">
        <v>26.0</v>
      </c>
      <c r="G1672" s="3">
        <v>1.0</v>
      </c>
      <c r="H1672" s="3">
        <v>0.0</v>
      </c>
      <c r="I1672" s="1"/>
      <c r="J1672" s="3">
        <v>836.0</v>
      </c>
    </row>
    <row r="1673">
      <c r="A1673" s="3">
        <v>1459.0</v>
      </c>
      <c r="B1673" s="3">
        <v>1459.0</v>
      </c>
      <c r="C1673" s="3">
        <v>0.0</v>
      </c>
      <c r="D1673" s="3">
        <v>1.0</v>
      </c>
      <c r="E1673" s="1" t="s">
        <v>609</v>
      </c>
      <c r="F1673" s="3">
        <v>27.0</v>
      </c>
      <c r="G1673" s="3">
        <v>1.0</v>
      </c>
      <c r="H1673" s="3">
        <v>0.0</v>
      </c>
      <c r="I1673" s="1"/>
      <c r="J1673" s="3">
        <v>836.0</v>
      </c>
    </row>
    <row r="1674">
      <c r="A1674" s="3">
        <v>1460.0</v>
      </c>
      <c r="B1674" s="3">
        <v>1460.0</v>
      </c>
      <c r="C1674" s="3">
        <v>0.0</v>
      </c>
      <c r="D1674" s="3">
        <v>1.0</v>
      </c>
      <c r="E1674" s="1" t="s">
        <v>609</v>
      </c>
      <c r="F1674" s="3">
        <v>28.0</v>
      </c>
      <c r="G1674" s="3">
        <v>1.0</v>
      </c>
      <c r="H1674" s="3">
        <v>0.0</v>
      </c>
      <c r="I1674" s="1"/>
      <c r="J1674" s="3">
        <v>836.0</v>
      </c>
    </row>
    <row r="1675">
      <c r="A1675" s="3">
        <v>1461.0</v>
      </c>
      <c r="B1675" s="3">
        <v>1461.0</v>
      </c>
      <c r="C1675" s="3">
        <v>802.0</v>
      </c>
      <c r="D1675" s="3">
        <v>1.0</v>
      </c>
      <c r="E1675" s="1" t="s">
        <v>625</v>
      </c>
      <c r="F1675" s="3">
        <v>1.0</v>
      </c>
      <c r="G1675" s="3">
        <v>1.0</v>
      </c>
      <c r="H1675" s="3">
        <v>0.0</v>
      </c>
      <c r="I1675" s="1"/>
      <c r="J1675" s="3">
        <v>836.0</v>
      </c>
    </row>
    <row r="1676">
      <c r="A1676" s="3">
        <v>1462.0</v>
      </c>
      <c r="B1676" s="3">
        <v>1462.0</v>
      </c>
      <c r="C1676" s="3">
        <v>737.0</v>
      </c>
      <c r="D1676" s="3">
        <v>1.0</v>
      </c>
      <c r="E1676" s="1" t="s">
        <v>626</v>
      </c>
      <c r="F1676" s="1" t="s">
        <v>15</v>
      </c>
      <c r="G1676" s="3">
        <v>1.0</v>
      </c>
      <c r="H1676" s="3">
        <v>0.0</v>
      </c>
      <c r="I1676" s="1"/>
      <c r="J1676" s="3">
        <v>836.0</v>
      </c>
    </row>
    <row r="1677">
      <c r="A1677" s="3">
        <v>1463.0</v>
      </c>
      <c r="B1677" s="3">
        <v>1463.0</v>
      </c>
      <c r="C1677" s="3">
        <v>738.0</v>
      </c>
      <c r="D1677" s="3">
        <v>1.0</v>
      </c>
      <c r="E1677" s="1" t="s">
        <v>626</v>
      </c>
      <c r="F1677" s="1" t="s">
        <v>19</v>
      </c>
      <c r="G1677" s="3">
        <v>1.0</v>
      </c>
      <c r="H1677" s="3">
        <v>0.0</v>
      </c>
      <c r="I1677" s="1"/>
      <c r="J1677" s="3">
        <v>836.0</v>
      </c>
    </row>
    <row r="1678">
      <c r="A1678" s="3">
        <v>1464.0</v>
      </c>
      <c r="B1678" s="3">
        <v>1464.0</v>
      </c>
      <c r="C1678" s="3">
        <v>739.0</v>
      </c>
      <c r="D1678" s="3">
        <v>1.0</v>
      </c>
      <c r="E1678" s="1" t="s">
        <v>626</v>
      </c>
      <c r="F1678" s="1" t="s">
        <v>35</v>
      </c>
      <c r="G1678" s="3">
        <v>1.0</v>
      </c>
      <c r="H1678" s="3">
        <v>0.0</v>
      </c>
      <c r="I1678" s="1"/>
      <c r="J1678" s="3">
        <v>836.0</v>
      </c>
    </row>
    <row r="1679">
      <c r="A1679" s="3">
        <v>1465.0</v>
      </c>
      <c r="B1679" s="3">
        <v>1465.0</v>
      </c>
      <c r="C1679" s="3">
        <v>740.0</v>
      </c>
      <c r="D1679" s="3">
        <v>1.0</v>
      </c>
      <c r="E1679" s="1" t="s">
        <v>626</v>
      </c>
      <c r="F1679" s="1" t="s">
        <v>126</v>
      </c>
      <c r="G1679" s="3">
        <v>1.0</v>
      </c>
      <c r="H1679" s="3">
        <v>0.0</v>
      </c>
      <c r="I1679" s="1"/>
      <c r="J1679" s="3">
        <v>836.0</v>
      </c>
    </row>
    <row r="1680">
      <c r="A1680" s="3">
        <v>1466.0</v>
      </c>
      <c r="B1680" s="3">
        <v>1466.0</v>
      </c>
      <c r="C1680" s="3">
        <v>998.0</v>
      </c>
      <c r="D1680" s="3">
        <v>1.0</v>
      </c>
      <c r="E1680" s="1" t="s">
        <v>626</v>
      </c>
      <c r="F1680" s="1" t="s">
        <v>37</v>
      </c>
      <c r="G1680" s="3">
        <v>1.0</v>
      </c>
      <c r="H1680" s="3">
        <v>0.0</v>
      </c>
      <c r="I1680" s="1"/>
      <c r="J1680" s="3">
        <v>836.0</v>
      </c>
    </row>
    <row r="1681">
      <c r="A1681" s="3">
        <v>1467.0</v>
      </c>
      <c r="B1681" s="3">
        <v>1467.0</v>
      </c>
      <c r="C1681" s="3">
        <v>1000.0</v>
      </c>
      <c r="D1681" s="3">
        <v>1.0</v>
      </c>
      <c r="E1681" s="1" t="s">
        <v>626</v>
      </c>
      <c r="F1681" s="1" t="s">
        <v>200</v>
      </c>
      <c r="G1681" s="3">
        <v>1.0</v>
      </c>
      <c r="H1681" s="3">
        <v>0.0</v>
      </c>
      <c r="I1681" s="1"/>
      <c r="J1681" s="3">
        <v>836.0</v>
      </c>
    </row>
    <row r="1682">
      <c r="A1682" s="3">
        <v>1468.0</v>
      </c>
      <c r="B1682" s="3">
        <v>1468.0</v>
      </c>
      <c r="C1682" s="3">
        <v>999.0</v>
      </c>
      <c r="D1682" s="3">
        <v>1.0</v>
      </c>
      <c r="E1682" s="1" t="s">
        <v>626</v>
      </c>
      <c r="F1682" s="1" t="s">
        <v>188</v>
      </c>
      <c r="G1682" s="3">
        <v>1.0</v>
      </c>
      <c r="H1682" s="3">
        <v>0.0</v>
      </c>
      <c r="I1682" s="1"/>
      <c r="J1682" s="3">
        <v>836.0</v>
      </c>
    </row>
    <row r="1683">
      <c r="A1683" s="3">
        <v>1469.0</v>
      </c>
      <c r="B1683" s="3">
        <v>1469.0</v>
      </c>
      <c r="C1683" s="3">
        <v>1001.0</v>
      </c>
      <c r="D1683" s="3">
        <v>1.0</v>
      </c>
      <c r="E1683" s="1" t="s">
        <v>626</v>
      </c>
      <c r="F1683" s="1" t="s">
        <v>189</v>
      </c>
      <c r="G1683" s="3">
        <v>1.0</v>
      </c>
      <c r="H1683" s="3">
        <v>0.0</v>
      </c>
      <c r="I1683" s="1"/>
      <c r="J1683" s="3">
        <v>836.0</v>
      </c>
    </row>
    <row r="1684">
      <c r="A1684" s="3">
        <v>1470.0</v>
      </c>
      <c r="B1684" s="3">
        <v>1470.0</v>
      </c>
      <c r="C1684" s="3">
        <v>0.0</v>
      </c>
      <c r="D1684" s="3">
        <v>1.0</v>
      </c>
      <c r="E1684" s="1" t="s">
        <v>626</v>
      </c>
      <c r="F1684" s="3">
        <v>9.0</v>
      </c>
      <c r="G1684" s="3">
        <v>1.0</v>
      </c>
      <c r="H1684" s="3">
        <v>0.0</v>
      </c>
      <c r="I1684" s="1"/>
      <c r="J1684" s="3">
        <v>836.0</v>
      </c>
    </row>
    <row r="1685">
      <c r="A1685" s="3">
        <v>1471.0</v>
      </c>
      <c r="B1685" s="3">
        <v>1471.0</v>
      </c>
      <c r="C1685" s="3">
        <v>0.0</v>
      </c>
      <c r="D1685" s="3">
        <v>1.0</v>
      </c>
      <c r="E1685" s="1" t="s">
        <v>626</v>
      </c>
      <c r="F1685" s="3">
        <v>10.0</v>
      </c>
      <c r="G1685" s="3">
        <v>1.0</v>
      </c>
      <c r="H1685" s="3">
        <v>0.0</v>
      </c>
      <c r="I1685" s="1"/>
      <c r="J1685" s="3">
        <v>836.0</v>
      </c>
    </row>
    <row r="1686">
      <c r="A1686" s="3">
        <v>1472.0</v>
      </c>
      <c r="B1686" s="3">
        <v>1472.0</v>
      </c>
      <c r="C1686" s="3">
        <v>0.0</v>
      </c>
      <c r="D1686" s="3">
        <v>1.0</v>
      </c>
      <c r="E1686" s="1" t="s">
        <v>626</v>
      </c>
      <c r="F1686" s="3">
        <v>13.0</v>
      </c>
      <c r="G1686" s="3">
        <v>1.0</v>
      </c>
      <c r="H1686" s="3">
        <v>0.0</v>
      </c>
      <c r="I1686" s="1"/>
      <c r="J1686" s="3">
        <v>836.0</v>
      </c>
    </row>
    <row r="1687">
      <c r="A1687" s="3">
        <v>1473.0</v>
      </c>
      <c r="B1687" s="3">
        <v>1473.0</v>
      </c>
      <c r="C1687" s="3">
        <v>0.0</v>
      </c>
      <c r="D1687" s="3">
        <v>1.0</v>
      </c>
      <c r="E1687" s="1" t="s">
        <v>626</v>
      </c>
      <c r="F1687" s="3">
        <v>11.0</v>
      </c>
      <c r="G1687" s="3">
        <v>1.0</v>
      </c>
      <c r="H1687" s="3">
        <v>0.0</v>
      </c>
      <c r="I1687" s="1"/>
      <c r="J1687" s="3">
        <v>836.0</v>
      </c>
    </row>
    <row r="1688">
      <c r="A1688" s="3">
        <v>1474.0</v>
      </c>
      <c r="B1688" s="3">
        <v>1474.0</v>
      </c>
      <c r="C1688" s="3">
        <v>0.0</v>
      </c>
      <c r="D1688" s="3">
        <v>1.0</v>
      </c>
      <c r="E1688" s="1" t="s">
        <v>626</v>
      </c>
      <c r="F1688" s="3">
        <v>12.0</v>
      </c>
      <c r="G1688" s="3">
        <v>1.0</v>
      </c>
      <c r="H1688" s="3">
        <v>0.0</v>
      </c>
      <c r="I1688" s="1"/>
      <c r="J1688" s="3">
        <v>836.0</v>
      </c>
    </row>
    <row r="1689">
      <c r="A1689" s="3">
        <v>1475.0</v>
      </c>
      <c r="B1689" s="3">
        <v>1475.0</v>
      </c>
      <c r="C1689" s="3">
        <v>0.0</v>
      </c>
      <c r="D1689" s="3">
        <v>1.0</v>
      </c>
      <c r="E1689" s="1" t="s">
        <v>626</v>
      </c>
      <c r="F1689" s="3">
        <v>14.0</v>
      </c>
      <c r="G1689" s="3">
        <v>1.0</v>
      </c>
      <c r="H1689" s="3">
        <v>0.0</v>
      </c>
      <c r="I1689" s="1"/>
      <c r="J1689" s="3">
        <v>836.0</v>
      </c>
    </row>
    <row r="1690">
      <c r="A1690" s="3">
        <v>1476.0</v>
      </c>
      <c r="B1690" s="3">
        <v>1476.0</v>
      </c>
      <c r="C1690" s="3">
        <v>0.0</v>
      </c>
      <c r="D1690" s="3">
        <v>1.0</v>
      </c>
      <c r="E1690" s="1" t="s">
        <v>626</v>
      </c>
      <c r="F1690" s="3">
        <v>15.0</v>
      </c>
      <c r="G1690" s="3">
        <v>1.0</v>
      </c>
      <c r="H1690" s="3">
        <v>0.0</v>
      </c>
      <c r="I1690" s="1"/>
      <c r="J1690" s="3">
        <v>836.0</v>
      </c>
    </row>
    <row r="1691">
      <c r="A1691" s="3">
        <v>1477.0</v>
      </c>
      <c r="B1691" s="3">
        <v>1477.0</v>
      </c>
      <c r="C1691" s="3">
        <v>659.0</v>
      </c>
      <c r="D1691" s="3">
        <v>1.0</v>
      </c>
      <c r="E1691" s="2" t="s">
        <v>627</v>
      </c>
      <c r="F1691" s="1"/>
      <c r="G1691" s="3">
        <v>1.0</v>
      </c>
      <c r="H1691" s="3">
        <v>0.0</v>
      </c>
      <c r="I1691" s="1"/>
      <c r="J1691" s="3">
        <v>836.0</v>
      </c>
    </row>
    <row r="1692">
      <c r="A1692" s="3">
        <v>1478.0</v>
      </c>
      <c r="B1692" s="3">
        <v>1478.0</v>
      </c>
      <c r="C1692" s="3">
        <v>736.0</v>
      </c>
      <c r="D1692" s="3">
        <v>1.0</v>
      </c>
      <c r="E1692" s="2" t="s">
        <v>628</v>
      </c>
      <c r="F1692" s="1"/>
      <c r="G1692" s="3">
        <v>1.0</v>
      </c>
      <c r="H1692" s="3">
        <v>0.0</v>
      </c>
      <c r="I1692" s="1"/>
      <c r="J1692" s="3">
        <v>836.0</v>
      </c>
    </row>
    <row r="1693">
      <c r="A1693" s="3">
        <v>1479.0</v>
      </c>
      <c r="B1693" s="3">
        <v>1479.0</v>
      </c>
      <c r="C1693" s="3">
        <v>692.0</v>
      </c>
      <c r="D1693" s="3">
        <v>1.0</v>
      </c>
      <c r="E1693" s="1" t="s">
        <v>629</v>
      </c>
      <c r="F1693" s="1"/>
      <c r="G1693" s="3">
        <v>1.0</v>
      </c>
      <c r="H1693" s="3">
        <v>0.0</v>
      </c>
      <c r="I1693" s="1"/>
      <c r="J1693" s="3">
        <v>836.0</v>
      </c>
    </row>
    <row r="1694">
      <c r="A1694" s="3">
        <v>1480.0</v>
      </c>
      <c r="B1694" s="3">
        <v>1480.0</v>
      </c>
      <c r="C1694" s="3">
        <v>691.0</v>
      </c>
      <c r="D1694" s="3">
        <v>1.0</v>
      </c>
      <c r="E1694" s="2" t="s">
        <v>630</v>
      </c>
      <c r="F1694" s="1"/>
      <c r="G1694" s="3">
        <v>1.0</v>
      </c>
      <c r="H1694" s="3">
        <v>0.0</v>
      </c>
      <c r="I1694" s="1"/>
      <c r="J1694" s="3">
        <v>836.0</v>
      </c>
    </row>
    <row r="1695">
      <c r="A1695" s="3">
        <v>1481.0</v>
      </c>
      <c r="B1695" s="3">
        <v>1481.0</v>
      </c>
      <c r="C1695" s="3">
        <v>694.0</v>
      </c>
      <c r="D1695" s="3">
        <v>1.0</v>
      </c>
      <c r="E1695" s="1" t="s">
        <v>631</v>
      </c>
      <c r="F1695" s="1" t="s">
        <v>15</v>
      </c>
      <c r="G1695" s="3">
        <v>1.0</v>
      </c>
      <c r="H1695" s="3">
        <v>0.0</v>
      </c>
      <c r="I1695" s="1"/>
      <c r="J1695" s="3">
        <v>836.0</v>
      </c>
    </row>
    <row r="1696">
      <c r="A1696" s="3">
        <v>1482.0</v>
      </c>
      <c r="B1696" s="3">
        <v>1482.0</v>
      </c>
      <c r="C1696" s="3">
        <v>0.0</v>
      </c>
      <c r="D1696" s="3">
        <v>1.0</v>
      </c>
      <c r="E1696" s="1" t="s">
        <v>631</v>
      </c>
      <c r="F1696" s="1" t="s">
        <v>93</v>
      </c>
      <c r="G1696" s="3">
        <v>1.0</v>
      </c>
      <c r="H1696" s="3">
        <v>0.0</v>
      </c>
      <c r="I1696" s="1"/>
      <c r="J1696" s="3">
        <v>836.0</v>
      </c>
    </row>
    <row r="1697">
      <c r="A1697" s="3">
        <v>1483.0</v>
      </c>
      <c r="B1697" s="3">
        <v>1483.0</v>
      </c>
      <c r="C1697" s="3">
        <v>995.0</v>
      </c>
      <c r="D1697" s="3">
        <v>1.0</v>
      </c>
      <c r="E1697" s="1" t="s">
        <v>631</v>
      </c>
      <c r="F1697" s="1" t="s">
        <v>19</v>
      </c>
      <c r="G1697" s="3">
        <v>1.0</v>
      </c>
      <c r="H1697" s="3">
        <v>0.0</v>
      </c>
      <c r="I1697" s="1"/>
      <c r="J1697" s="3">
        <v>836.0</v>
      </c>
    </row>
    <row r="1698">
      <c r="A1698" s="3">
        <v>1550.0</v>
      </c>
      <c r="B1698" s="3">
        <v>1550.0</v>
      </c>
      <c r="C1698" s="3">
        <v>655.0</v>
      </c>
      <c r="D1698" s="3">
        <v>1.0</v>
      </c>
      <c r="E1698" s="2" t="s">
        <v>632</v>
      </c>
      <c r="F1698" s="1"/>
      <c r="G1698" s="3">
        <v>1.0</v>
      </c>
      <c r="H1698" s="3">
        <v>0.0</v>
      </c>
      <c r="I1698" s="1"/>
      <c r="J1698" s="3">
        <v>836.0</v>
      </c>
    </row>
    <row r="1699">
      <c r="A1699" s="3">
        <v>1551.0</v>
      </c>
      <c r="B1699" s="3">
        <v>1551.0</v>
      </c>
      <c r="C1699" s="3">
        <v>0.0</v>
      </c>
      <c r="D1699" s="3">
        <v>1.0</v>
      </c>
      <c r="E1699" s="1" t="s">
        <v>632</v>
      </c>
      <c r="F1699" s="1" t="s">
        <v>93</v>
      </c>
      <c r="G1699" s="3">
        <v>1.0</v>
      </c>
      <c r="H1699" s="3">
        <v>0.0</v>
      </c>
      <c r="I1699" s="1"/>
      <c r="J1699" s="3">
        <v>836.0</v>
      </c>
    </row>
    <row r="1700">
      <c r="A1700" s="3">
        <v>1552.0</v>
      </c>
      <c r="B1700" s="3">
        <v>1552.0</v>
      </c>
      <c r="C1700" s="3">
        <v>654.0</v>
      </c>
      <c r="D1700" s="3">
        <v>1.0</v>
      </c>
      <c r="E1700" s="1" t="s">
        <v>633</v>
      </c>
      <c r="F1700" s="3">
        <v>1.0</v>
      </c>
      <c r="G1700" s="3">
        <v>1.0</v>
      </c>
      <c r="H1700" s="3">
        <v>0.0</v>
      </c>
      <c r="I1700" s="1"/>
      <c r="J1700" s="3">
        <v>836.0</v>
      </c>
    </row>
    <row r="1701">
      <c r="A1701" s="3">
        <v>1553.0</v>
      </c>
      <c r="B1701" s="3">
        <v>1553.0</v>
      </c>
      <c r="C1701" s="3">
        <v>1055.0</v>
      </c>
      <c r="D1701" s="3">
        <v>1.0</v>
      </c>
      <c r="E1701" s="1" t="s">
        <v>633</v>
      </c>
      <c r="F1701" s="3">
        <v>6.0</v>
      </c>
      <c r="G1701" s="3">
        <v>1.0</v>
      </c>
      <c r="H1701" s="3">
        <v>0.0</v>
      </c>
      <c r="I1701" s="1"/>
      <c r="J1701" s="3">
        <v>836.0</v>
      </c>
    </row>
    <row r="1702">
      <c r="A1702" s="3">
        <v>1554.0</v>
      </c>
      <c r="B1702" s="3">
        <v>1554.0</v>
      </c>
      <c r="C1702" s="3">
        <v>1053.0</v>
      </c>
      <c r="D1702" s="3">
        <v>1.0</v>
      </c>
      <c r="E1702" s="1" t="s">
        <v>633</v>
      </c>
      <c r="F1702" s="3">
        <v>4.0</v>
      </c>
      <c r="G1702" s="3">
        <v>1.0</v>
      </c>
      <c r="H1702" s="3">
        <v>0.0</v>
      </c>
      <c r="I1702" s="1"/>
      <c r="J1702" s="3">
        <v>836.0</v>
      </c>
    </row>
    <row r="1703">
      <c r="A1703" s="3">
        <v>1555.0</v>
      </c>
      <c r="B1703" s="3">
        <v>1555.0</v>
      </c>
      <c r="C1703" s="3">
        <v>1052.0</v>
      </c>
      <c r="D1703" s="3">
        <v>1.0</v>
      </c>
      <c r="E1703" s="1" t="s">
        <v>633</v>
      </c>
      <c r="F1703" s="3">
        <v>3.0</v>
      </c>
      <c r="G1703" s="3">
        <v>1.0</v>
      </c>
      <c r="H1703" s="3">
        <v>0.0</v>
      </c>
      <c r="I1703" s="1"/>
      <c r="J1703" s="3">
        <v>836.0</v>
      </c>
    </row>
    <row r="1704">
      <c r="A1704" s="3">
        <v>1556.0</v>
      </c>
      <c r="B1704" s="3">
        <v>1556.0</v>
      </c>
      <c r="C1704" s="3">
        <v>1054.0</v>
      </c>
      <c r="D1704" s="3">
        <v>1.0</v>
      </c>
      <c r="E1704" s="1" t="s">
        <v>633</v>
      </c>
      <c r="F1704" s="3">
        <v>5.0</v>
      </c>
      <c r="G1704" s="3">
        <v>1.0</v>
      </c>
      <c r="H1704" s="3">
        <v>0.0</v>
      </c>
      <c r="I1704" s="1"/>
      <c r="J1704" s="3">
        <v>836.0</v>
      </c>
    </row>
    <row r="1705">
      <c r="A1705" s="3">
        <v>1557.0</v>
      </c>
      <c r="B1705" s="3">
        <v>1557.0</v>
      </c>
      <c r="C1705" s="3">
        <v>1051.0</v>
      </c>
      <c r="D1705" s="3">
        <v>1.0</v>
      </c>
      <c r="E1705" s="1" t="s">
        <v>633</v>
      </c>
      <c r="F1705" s="3">
        <v>2.0</v>
      </c>
      <c r="G1705" s="3">
        <v>1.0</v>
      </c>
      <c r="H1705" s="3">
        <v>0.0</v>
      </c>
      <c r="I1705" s="1"/>
      <c r="J1705" s="3">
        <v>836.0</v>
      </c>
    </row>
    <row r="1706">
      <c r="A1706" s="3">
        <v>1558.0</v>
      </c>
      <c r="B1706" s="3">
        <v>1558.0</v>
      </c>
      <c r="C1706" s="3">
        <v>1058.0</v>
      </c>
      <c r="D1706" s="3">
        <v>1.0</v>
      </c>
      <c r="E1706" s="1" t="s">
        <v>633</v>
      </c>
      <c r="F1706" s="3">
        <v>9.0</v>
      </c>
      <c r="G1706" s="3">
        <v>1.0</v>
      </c>
      <c r="H1706" s="3">
        <v>0.0</v>
      </c>
      <c r="I1706" s="1"/>
      <c r="J1706" s="3">
        <v>836.0</v>
      </c>
    </row>
    <row r="1707">
      <c r="A1707" s="3">
        <v>1559.0</v>
      </c>
      <c r="B1707" s="3">
        <v>1559.0</v>
      </c>
      <c r="C1707" s="3">
        <v>1057.0</v>
      </c>
      <c r="D1707" s="3">
        <v>1.0</v>
      </c>
      <c r="E1707" s="1" t="s">
        <v>633</v>
      </c>
      <c r="F1707" s="3">
        <v>8.0</v>
      </c>
      <c r="G1707" s="3">
        <v>1.0</v>
      </c>
      <c r="H1707" s="3">
        <v>0.0</v>
      </c>
      <c r="I1707" s="1"/>
      <c r="J1707" s="3">
        <v>836.0</v>
      </c>
    </row>
    <row r="1708">
      <c r="A1708" s="3">
        <v>1560.0</v>
      </c>
      <c r="B1708" s="3">
        <v>1560.0</v>
      </c>
      <c r="C1708" s="3">
        <v>1056.0</v>
      </c>
      <c r="D1708" s="3">
        <v>1.0</v>
      </c>
      <c r="E1708" s="1" t="s">
        <v>633</v>
      </c>
      <c r="F1708" s="3">
        <v>7.0</v>
      </c>
      <c r="G1708" s="3">
        <v>1.0</v>
      </c>
      <c r="H1708" s="3">
        <v>0.0</v>
      </c>
      <c r="I1708" s="1"/>
      <c r="J1708" s="3">
        <v>836.0</v>
      </c>
    </row>
    <row r="1709">
      <c r="A1709" s="3">
        <v>1561.0</v>
      </c>
      <c r="B1709" s="3">
        <v>1561.0</v>
      </c>
      <c r="C1709" s="3">
        <v>780.0</v>
      </c>
      <c r="D1709" s="3">
        <v>1.0</v>
      </c>
      <c r="E1709" s="1" t="s">
        <v>634</v>
      </c>
      <c r="F1709" s="1" t="s">
        <v>35</v>
      </c>
      <c r="G1709" s="3">
        <v>1.0</v>
      </c>
      <c r="H1709" s="3">
        <v>0.0</v>
      </c>
      <c r="I1709" s="1"/>
      <c r="J1709" s="3">
        <v>836.0</v>
      </c>
    </row>
    <row r="1710">
      <c r="A1710" s="3">
        <v>1562.0</v>
      </c>
      <c r="B1710" s="3">
        <v>1562.0</v>
      </c>
      <c r="C1710" s="3">
        <v>779.0</v>
      </c>
      <c r="D1710" s="3">
        <v>1.0</v>
      </c>
      <c r="E1710" s="1" t="s">
        <v>634</v>
      </c>
      <c r="F1710" s="1" t="s">
        <v>19</v>
      </c>
      <c r="G1710" s="3">
        <v>1.0</v>
      </c>
      <c r="H1710" s="3">
        <v>0.0</v>
      </c>
      <c r="I1710" s="1"/>
      <c r="J1710" s="3">
        <v>836.0</v>
      </c>
    </row>
    <row r="1711">
      <c r="A1711" s="3">
        <v>1563.0</v>
      </c>
      <c r="B1711" s="3">
        <v>1563.0</v>
      </c>
      <c r="C1711" s="3">
        <v>781.0</v>
      </c>
      <c r="D1711" s="3">
        <v>1.0</v>
      </c>
      <c r="E1711" s="1" t="s">
        <v>634</v>
      </c>
      <c r="F1711" s="1" t="s">
        <v>126</v>
      </c>
      <c r="G1711" s="3">
        <v>1.0</v>
      </c>
      <c r="H1711" s="3">
        <v>0.0</v>
      </c>
      <c r="I1711" s="1"/>
      <c r="J1711" s="3">
        <v>836.0</v>
      </c>
    </row>
    <row r="1712">
      <c r="A1712" s="3">
        <v>1564.0</v>
      </c>
      <c r="B1712" s="3">
        <v>1564.0</v>
      </c>
      <c r="C1712" s="3">
        <v>782.0</v>
      </c>
      <c r="D1712" s="3">
        <v>1.0</v>
      </c>
      <c r="E1712" s="1" t="s">
        <v>634</v>
      </c>
      <c r="F1712" s="1" t="s">
        <v>37</v>
      </c>
      <c r="G1712" s="3">
        <v>1.0</v>
      </c>
      <c r="H1712" s="3">
        <v>0.0</v>
      </c>
      <c r="I1712" s="1"/>
      <c r="J1712" s="3">
        <v>836.0</v>
      </c>
    </row>
    <row r="1713">
      <c r="A1713" s="3">
        <v>1565.0</v>
      </c>
      <c r="B1713" s="3">
        <v>1565.0</v>
      </c>
      <c r="C1713" s="3">
        <v>778.0</v>
      </c>
      <c r="D1713" s="3">
        <v>1.0</v>
      </c>
      <c r="E1713" s="1" t="s">
        <v>634</v>
      </c>
      <c r="F1713" s="1" t="s">
        <v>15</v>
      </c>
      <c r="G1713" s="3">
        <v>1.0</v>
      </c>
      <c r="H1713" s="3">
        <v>0.0</v>
      </c>
      <c r="I1713" s="1"/>
      <c r="J1713" s="3">
        <v>836.0</v>
      </c>
    </row>
    <row r="1714">
      <c r="A1714" s="3">
        <v>1566.0</v>
      </c>
      <c r="B1714" s="3">
        <v>1566.0</v>
      </c>
      <c r="C1714" s="3">
        <v>1002.0</v>
      </c>
      <c r="D1714" s="3">
        <v>1.0</v>
      </c>
      <c r="E1714" s="1" t="s">
        <v>635</v>
      </c>
      <c r="F1714" s="1" t="s">
        <v>115</v>
      </c>
      <c r="G1714" s="3">
        <v>1.0</v>
      </c>
      <c r="H1714" s="3">
        <v>0.0</v>
      </c>
      <c r="I1714" s="1"/>
      <c r="J1714" s="3">
        <v>836.0</v>
      </c>
    </row>
    <row r="1715">
      <c r="A1715" s="3">
        <v>1567.0</v>
      </c>
      <c r="B1715" s="3">
        <v>1567.0</v>
      </c>
      <c r="C1715" s="3">
        <v>784.0</v>
      </c>
      <c r="D1715" s="3">
        <v>1.0</v>
      </c>
      <c r="E1715" s="1" t="s">
        <v>635</v>
      </c>
      <c r="F1715" s="1" t="s">
        <v>25</v>
      </c>
      <c r="G1715" s="3">
        <v>1.0</v>
      </c>
      <c r="H1715" s="3">
        <v>0.0</v>
      </c>
      <c r="I1715" s="1"/>
      <c r="J1715" s="3">
        <v>836.0</v>
      </c>
    </row>
    <row r="1716">
      <c r="A1716" s="3">
        <v>1568.0</v>
      </c>
      <c r="B1716" s="3">
        <v>1568.0</v>
      </c>
      <c r="C1716" s="3">
        <v>786.0</v>
      </c>
      <c r="D1716" s="3">
        <v>1.0</v>
      </c>
      <c r="E1716" s="1" t="s">
        <v>635</v>
      </c>
      <c r="F1716" s="1" t="s">
        <v>27</v>
      </c>
      <c r="G1716" s="3">
        <v>1.0</v>
      </c>
      <c r="H1716" s="3">
        <v>0.0</v>
      </c>
      <c r="I1716" s="1"/>
      <c r="J1716" s="3">
        <v>836.0</v>
      </c>
    </row>
    <row r="1717">
      <c r="A1717" s="3">
        <v>1569.0</v>
      </c>
      <c r="B1717" s="3">
        <v>1569.0</v>
      </c>
      <c r="C1717" s="3">
        <v>785.0</v>
      </c>
      <c r="D1717" s="3">
        <v>1.0</v>
      </c>
      <c r="E1717" s="1" t="s">
        <v>635</v>
      </c>
      <c r="F1717" s="1" t="s">
        <v>26</v>
      </c>
      <c r="G1717" s="3">
        <v>1.0</v>
      </c>
      <c r="H1717" s="3">
        <v>0.0</v>
      </c>
      <c r="I1717" s="1"/>
      <c r="J1717" s="3">
        <v>836.0</v>
      </c>
    </row>
    <row r="1718">
      <c r="A1718" s="3">
        <v>1570.0</v>
      </c>
      <c r="B1718" s="3">
        <v>1570.0</v>
      </c>
      <c r="C1718" s="3">
        <v>787.0</v>
      </c>
      <c r="D1718" s="3">
        <v>1.0</v>
      </c>
      <c r="E1718" s="1" t="s">
        <v>635</v>
      </c>
      <c r="F1718" s="1" t="s">
        <v>28</v>
      </c>
      <c r="G1718" s="3">
        <v>1.0</v>
      </c>
      <c r="H1718" s="3">
        <v>0.0</v>
      </c>
      <c r="I1718" s="1"/>
      <c r="J1718" s="3">
        <v>836.0</v>
      </c>
    </row>
    <row r="1719">
      <c r="A1719" s="3">
        <v>1571.0</v>
      </c>
      <c r="B1719" s="3">
        <v>1571.0</v>
      </c>
      <c r="C1719" s="3">
        <v>788.0</v>
      </c>
      <c r="D1719" s="3">
        <v>1.0</v>
      </c>
      <c r="E1719" s="1" t="s">
        <v>635</v>
      </c>
      <c r="F1719" s="1" t="s">
        <v>155</v>
      </c>
      <c r="G1719" s="3">
        <v>1.0</v>
      </c>
      <c r="H1719" s="3">
        <v>0.0</v>
      </c>
      <c r="I1719" s="1"/>
      <c r="J1719" s="3">
        <v>836.0</v>
      </c>
    </row>
    <row r="1720">
      <c r="A1720" s="3">
        <v>1572.0</v>
      </c>
      <c r="B1720" s="3">
        <v>1572.0</v>
      </c>
      <c r="C1720" s="3">
        <v>783.0</v>
      </c>
      <c r="D1720" s="3">
        <v>1.0</v>
      </c>
      <c r="E1720" s="1" t="s">
        <v>635</v>
      </c>
      <c r="F1720" s="1" t="s">
        <v>24</v>
      </c>
      <c r="G1720" s="3">
        <v>1.0</v>
      </c>
      <c r="H1720" s="3">
        <v>0.0</v>
      </c>
      <c r="I1720" s="1"/>
      <c r="J1720" s="3">
        <v>836.0</v>
      </c>
    </row>
    <row r="1721">
      <c r="A1721" s="3">
        <v>1573.0</v>
      </c>
      <c r="B1721" s="3">
        <v>1573.0</v>
      </c>
      <c r="C1721" s="3">
        <v>791.0</v>
      </c>
      <c r="D1721" s="3">
        <v>1.0</v>
      </c>
      <c r="E1721" s="1" t="s">
        <v>635</v>
      </c>
      <c r="F1721" s="1" t="s">
        <v>153</v>
      </c>
      <c r="G1721" s="3">
        <v>1.0</v>
      </c>
      <c r="H1721" s="3">
        <v>0.0</v>
      </c>
      <c r="I1721" s="1"/>
      <c r="J1721" s="3">
        <v>836.0</v>
      </c>
    </row>
    <row r="1722">
      <c r="A1722" s="3">
        <v>1574.0</v>
      </c>
      <c r="B1722" s="3">
        <v>1574.0</v>
      </c>
      <c r="C1722" s="3">
        <v>792.0</v>
      </c>
      <c r="D1722" s="3">
        <v>1.0</v>
      </c>
      <c r="E1722" s="1" t="s">
        <v>635</v>
      </c>
      <c r="F1722" s="1" t="s">
        <v>160</v>
      </c>
      <c r="G1722" s="3">
        <v>1.0</v>
      </c>
      <c r="H1722" s="3">
        <v>0.0</v>
      </c>
      <c r="I1722" s="1"/>
      <c r="J1722" s="3">
        <v>836.0</v>
      </c>
    </row>
    <row r="1723">
      <c r="A1723" s="3">
        <v>1575.0</v>
      </c>
      <c r="B1723" s="3">
        <v>1575.0</v>
      </c>
      <c r="C1723" s="3">
        <v>790.0</v>
      </c>
      <c r="D1723" s="3">
        <v>1.0</v>
      </c>
      <c r="E1723" s="1" t="s">
        <v>635</v>
      </c>
      <c r="F1723" s="1" t="s">
        <v>161</v>
      </c>
      <c r="G1723" s="3">
        <v>1.0</v>
      </c>
      <c r="H1723" s="3">
        <v>0.0</v>
      </c>
      <c r="I1723" s="1"/>
      <c r="J1723" s="3">
        <v>836.0</v>
      </c>
    </row>
    <row r="1724">
      <c r="A1724" s="3">
        <v>1576.0</v>
      </c>
      <c r="B1724" s="3">
        <v>1576.0</v>
      </c>
      <c r="C1724" s="3">
        <v>789.0</v>
      </c>
      <c r="D1724" s="3">
        <v>1.0</v>
      </c>
      <c r="E1724" s="1" t="s">
        <v>635</v>
      </c>
      <c r="F1724" s="1" t="s">
        <v>163</v>
      </c>
      <c r="G1724" s="3">
        <v>1.0</v>
      </c>
      <c r="H1724" s="3">
        <v>0.0</v>
      </c>
      <c r="I1724" s="1"/>
      <c r="J1724" s="3">
        <v>836.0</v>
      </c>
    </row>
    <row r="1725">
      <c r="A1725" s="3">
        <v>1577.0</v>
      </c>
      <c r="B1725" s="3">
        <v>1577.0</v>
      </c>
      <c r="C1725" s="3">
        <v>793.0</v>
      </c>
      <c r="D1725" s="3">
        <v>1.0</v>
      </c>
      <c r="E1725" s="1" t="s">
        <v>635</v>
      </c>
      <c r="F1725" s="1" t="s">
        <v>162</v>
      </c>
      <c r="G1725" s="3">
        <v>1.0</v>
      </c>
      <c r="H1725" s="3">
        <v>0.0</v>
      </c>
      <c r="I1725" s="1"/>
      <c r="J1725" s="3">
        <v>836.0</v>
      </c>
    </row>
    <row r="1726">
      <c r="A1726" s="3">
        <v>1578.0</v>
      </c>
      <c r="B1726" s="3">
        <v>1578.0</v>
      </c>
      <c r="C1726" s="3">
        <v>794.0</v>
      </c>
      <c r="D1726" s="3">
        <v>1.0</v>
      </c>
      <c r="E1726" s="1" t="s">
        <v>635</v>
      </c>
      <c r="F1726" s="1" t="s">
        <v>159</v>
      </c>
      <c r="G1726" s="3">
        <v>1.0</v>
      </c>
      <c r="H1726" s="3">
        <v>0.0</v>
      </c>
      <c r="I1726" s="1"/>
      <c r="J1726" s="3">
        <v>836.0</v>
      </c>
    </row>
    <row r="1727">
      <c r="A1727" s="3">
        <v>1579.0</v>
      </c>
      <c r="B1727" s="3">
        <v>1579.0</v>
      </c>
      <c r="C1727" s="3">
        <v>702.0</v>
      </c>
      <c r="D1727" s="3">
        <v>1.0</v>
      </c>
      <c r="E1727" s="1" t="s">
        <v>636</v>
      </c>
      <c r="F1727" s="3">
        <v>3.0</v>
      </c>
      <c r="G1727" s="3">
        <v>1.0</v>
      </c>
      <c r="H1727" s="3">
        <v>0.0</v>
      </c>
      <c r="I1727" s="1"/>
      <c r="J1727" s="3">
        <v>836.0</v>
      </c>
    </row>
    <row r="1728">
      <c r="A1728" s="3">
        <v>1580.0</v>
      </c>
      <c r="B1728" s="3">
        <v>1580.0</v>
      </c>
      <c r="C1728" s="3">
        <v>701.0</v>
      </c>
      <c r="D1728" s="3">
        <v>1.0</v>
      </c>
      <c r="E1728" s="1" t="s">
        <v>636</v>
      </c>
      <c r="F1728" s="3">
        <v>2.0</v>
      </c>
      <c r="G1728" s="3">
        <v>1.0</v>
      </c>
      <c r="H1728" s="3">
        <v>0.0</v>
      </c>
      <c r="I1728" s="1"/>
      <c r="J1728" s="3">
        <v>836.0</v>
      </c>
    </row>
    <row r="1729">
      <c r="A1729" s="3">
        <v>1581.0</v>
      </c>
      <c r="B1729" s="3">
        <v>1581.0</v>
      </c>
      <c r="C1729" s="3">
        <v>700.0</v>
      </c>
      <c r="D1729" s="3">
        <v>1.0</v>
      </c>
      <c r="E1729" s="1" t="s">
        <v>636</v>
      </c>
      <c r="F1729" s="1" t="s">
        <v>24</v>
      </c>
      <c r="G1729" s="3">
        <v>1.0</v>
      </c>
      <c r="H1729" s="3">
        <v>0.0</v>
      </c>
      <c r="I1729" s="1"/>
      <c r="J1729" s="3">
        <v>836.0</v>
      </c>
    </row>
    <row r="1730">
      <c r="A1730" s="3">
        <v>1582.0</v>
      </c>
      <c r="B1730" s="3">
        <v>1582.0</v>
      </c>
      <c r="C1730" s="3">
        <v>997.0</v>
      </c>
      <c r="D1730" s="3">
        <v>1.0</v>
      </c>
      <c r="E1730" s="1" t="s">
        <v>636</v>
      </c>
      <c r="F1730" s="1" t="s">
        <v>25</v>
      </c>
      <c r="G1730" s="3">
        <v>1.0</v>
      </c>
      <c r="H1730" s="3">
        <v>0.0</v>
      </c>
      <c r="I1730" s="1"/>
      <c r="J1730" s="3">
        <v>836.0</v>
      </c>
    </row>
    <row r="1731">
      <c r="A1731" s="3">
        <v>1583.0</v>
      </c>
      <c r="B1731" s="3">
        <v>1583.0</v>
      </c>
      <c r="C1731" s="3">
        <v>0.0</v>
      </c>
      <c r="D1731" s="3">
        <v>1.0</v>
      </c>
      <c r="E1731" s="1" t="s">
        <v>637</v>
      </c>
      <c r="F1731" s="1" t="s">
        <v>37</v>
      </c>
      <c r="G1731" s="3">
        <v>1.0</v>
      </c>
      <c r="H1731" s="3">
        <v>0.0</v>
      </c>
      <c r="I1731" s="1"/>
      <c r="J1731" s="3">
        <v>836.0</v>
      </c>
    </row>
    <row r="1732">
      <c r="A1732" s="3">
        <v>1584.0</v>
      </c>
      <c r="B1732" s="3">
        <v>1584.0</v>
      </c>
      <c r="C1732" s="3">
        <v>0.0</v>
      </c>
      <c r="D1732" s="3">
        <v>1.0</v>
      </c>
      <c r="E1732" s="1" t="s">
        <v>637</v>
      </c>
      <c r="F1732" s="1" t="s">
        <v>188</v>
      </c>
      <c r="G1732" s="3">
        <v>1.0</v>
      </c>
      <c r="H1732" s="3">
        <v>0.0</v>
      </c>
      <c r="I1732" s="1"/>
      <c r="J1732" s="3">
        <v>836.0</v>
      </c>
    </row>
    <row r="1733">
      <c r="A1733" s="3">
        <v>1585.0</v>
      </c>
      <c r="B1733" s="3">
        <v>1585.0</v>
      </c>
      <c r="C1733" s="3">
        <v>0.0</v>
      </c>
      <c r="D1733" s="3">
        <v>1.0</v>
      </c>
      <c r="E1733" s="1" t="s">
        <v>637</v>
      </c>
      <c r="F1733" s="1" t="s">
        <v>200</v>
      </c>
      <c r="G1733" s="3">
        <v>1.0</v>
      </c>
      <c r="H1733" s="3">
        <v>0.0</v>
      </c>
      <c r="I1733" s="1"/>
      <c r="J1733" s="3">
        <v>836.0</v>
      </c>
    </row>
    <row r="1734">
      <c r="A1734" s="3">
        <v>1586.0</v>
      </c>
      <c r="B1734" s="3">
        <v>1586.0</v>
      </c>
      <c r="C1734" s="3">
        <v>1109.0</v>
      </c>
      <c r="D1734" s="3">
        <v>1.0</v>
      </c>
      <c r="E1734" s="1" t="s">
        <v>637</v>
      </c>
      <c r="F1734" s="1" t="s">
        <v>15</v>
      </c>
      <c r="G1734" s="3">
        <v>1.0</v>
      </c>
      <c r="H1734" s="3">
        <v>0.0</v>
      </c>
      <c r="I1734" s="1"/>
      <c r="J1734" s="3">
        <v>836.0</v>
      </c>
    </row>
    <row r="1735">
      <c r="A1735" s="3">
        <v>1587.0</v>
      </c>
      <c r="B1735" s="3">
        <v>1587.0</v>
      </c>
      <c r="C1735" s="3">
        <v>1110.0</v>
      </c>
      <c r="D1735" s="3">
        <v>1.0</v>
      </c>
      <c r="E1735" s="1" t="s">
        <v>637</v>
      </c>
      <c r="F1735" s="1" t="s">
        <v>19</v>
      </c>
      <c r="G1735" s="3">
        <v>1.0</v>
      </c>
      <c r="H1735" s="3">
        <v>0.0</v>
      </c>
      <c r="I1735" s="1"/>
      <c r="J1735" s="3">
        <v>836.0</v>
      </c>
    </row>
    <row r="1736">
      <c r="A1736" s="3">
        <v>1588.0</v>
      </c>
      <c r="B1736" s="3">
        <v>1588.0</v>
      </c>
      <c r="C1736" s="3">
        <v>1111.0</v>
      </c>
      <c r="D1736" s="3">
        <v>1.0</v>
      </c>
      <c r="E1736" s="1" t="s">
        <v>637</v>
      </c>
      <c r="F1736" s="1" t="s">
        <v>35</v>
      </c>
      <c r="G1736" s="3">
        <v>1.0</v>
      </c>
      <c r="H1736" s="3">
        <v>0.0</v>
      </c>
      <c r="I1736" s="1"/>
      <c r="J1736" s="3">
        <v>836.0</v>
      </c>
    </row>
    <row r="1737">
      <c r="A1737" s="3">
        <v>1589.0</v>
      </c>
      <c r="B1737" s="3">
        <v>1589.0</v>
      </c>
      <c r="C1737" s="3">
        <v>1112.0</v>
      </c>
      <c r="D1737" s="3">
        <v>1.0</v>
      </c>
      <c r="E1737" s="1" t="s">
        <v>637</v>
      </c>
      <c r="F1737" s="1" t="s">
        <v>126</v>
      </c>
      <c r="G1737" s="3">
        <v>1.0</v>
      </c>
      <c r="H1737" s="3">
        <v>0.0</v>
      </c>
      <c r="I1737" s="1"/>
      <c r="J1737" s="3">
        <v>836.0</v>
      </c>
    </row>
    <row r="1738">
      <c r="A1738" s="3">
        <v>1590.0</v>
      </c>
      <c r="B1738" s="3">
        <v>1590.0</v>
      </c>
      <c r="C1738" s="3">
        <v>703.0</v>
      </c>
      <c r="D1738" s="3">
        <v>1.0</v>
      </c>
      <c r="E1738" s="1" t="s">
        <v>638</v>
      </c>
      <c r="F1738" s="1"/>
      <c r="G1738" s="3">
        <v>1.0</v>
      </c>
      <c r="H1738" s="3">
        <v>0.0</v>
      </c>
      <c r="I1738" s="1"/>
      <c r="J1738" s="3">
        <v>836.0</v>
      </c>
    </row>
    <row r="1739">
      <c r="A1739" s="3">
        <v>1591.0</v>
      </c>
      <c r="B1739" s="3">
        <v>1591.0</v>
      </c>
      <c r="C1739" s="3">
        <v>683.0</v>
      </c>
      <c r="D1739" s="3">
        <v>1.0</v>
      </c>
      <c r="E1739" s="1" t="s">
        <v>639</v>
      </c>
      <c r="F1739" s="1" t="s">
        <v>15</v>
      </c>
      <c r="G1739" s="3">
        <v>1.0</v>
      </c>
      <c r="H1739" s="3">
        <v>0.0</v>
      </c>
      <c r="I1739" s="1"/>
      <c r="J1739" s="3">
        <v>836.0</v>
      </c>
    </row>
    <row r="1740">
      <c r="A1740" s="3">
        <v>1592.0</v>
      </c>
      <c r="B1740" s="3">
        <v>1592.0</v>
      </c>
      <c r="C1740" s="3">
        <v>684.0</v>
      </c>
      <c r="D1740" s="3">
        <v>1.0</v>
      </c>
      <c r="E1740" s="1" t="s">
        <v>639</v>
      </c>
      <c r="F1740" s="1" t="s">
        <v>19</v>
      </c>
      <c r="G1740" s="3">
        <v>1.0</v>
      </c>
      <c r="H1740" s="3">
        <v>0.0</v>
      </c>
      <c r="I1740" s="1"/>
      <c r="J1740" s="3">
        <v>836.0</v>
      </c>
    </row>
    <row r="1741">
      <c r="A1741" s="3">
        <v>1593.0</v>
      </c>
      <c r="B1741" s="3">
        <v>1593.0</v>
      </c>
      <c r="C1741" s="3">
        <v>685.0</v>
      </c>
      <c r="D1741" s="3">
        <v>1.0</v>
      </c>
      <c r="E1741" s="1" t="s">
        <v>639</v>
      </c>
      <c r="F1741" s="1" t="s">
        <v>35</v>
      </c>
      <c r="G1741" s="3">
        <v>1.0</v>
      </c>
      <c r="H1741" s="3">
        <v>0.0</v>
      </c>
      <c r="I1741" s="1"/>
      <c r="J1741" s="3">
        <v>836.0</v>
      </c>
    </row>
    <row r="1742">
      <c r="A1742" s="3">
        <v>1594.0</v>
      </c>
      <c r="B1742" s="3">
        <v>1594.0</v>
      </c>
      <c r="C1742" s="3">
        <v>677.0</v>
      </c>
      <c r="D1742" s="3">
        <v>1.0</v>
      </c>
      <c r="E1742" s="1" t="s">
        <v>68</v>
      </c>
      <c r="F1742" s="1" t="s">
        <v>15</v>
      </c>
      <c r="G1742" s="3">
        <v>1.0</v>
      </c>
      <c r="H1742" s="3">
        <v>0.0</v>
      </c>
      <c r="I1742" s="1"/>
      <c r="J1742" s="3">
        <v>836.0</v>
      </c>
    </row>
    <row r="1743">
      <c r="A1743" s="3">
        <v>1595.0</v>
      </c>
      <c r="B1743" s="3">
        <v>1595.0</v>
      </c>
      <c r="C1743" s="3">
        <v>678.0</v>
      </c>
      <c r="D1743" s="3">
        <v>1.0</v>
      </c>
      <c r="E1743" s="1" t="s">
        <v>68</v>
      </c>
      <c r="F1743" s="1" t="s">
        <v>19</v>
      </c>
      <c r="G1743" s="3">
        <v>1.0</v>
      </c>
      <c r="H1743" s="3">
        <v>0.0</v>
      </c>
      <c r="I1743" s="1"/>
      <c r="J1743" s="3">
        <v>836.0</v>
      </c>
    </row>
    <row r="1744">
      <c r="A1744" s="3">
        <v>1596.0</v>
      </c>
      <c r="B1744" s="3">
        <v>1596.0</v>
      </c>
      <c r="C1744" s="3">
        <v>679.0</v>
      </c>
      <c r="D1744" s="3">
        <v>1.0</v>
      </c>
      <c r="E1744" s="1" t="s">
        <v>68</v>
      </c>
      <c r="F1744" s="1" t="s">
        <v>35</v>
      </c>
      <c r="G1744" s="3">
        <v>1.0</v>
      </c>
      <c r="H1744" s="3">
        <v>0.0</v>
      </c>
      <c r="I1744" s="1"/>
      <c r="J1744" s="3">
        <v>836.0</v>
      </c>
    </row>
    <row r="1745">
      <c r="A1745" s="3">
        <v>1597.0</v>
      </c>
      <c r="B1745" s="3">
        <v>1597.0</v>
      </c>
      <c r="C1745" s="3">
        <v>680.0</v>
      </c>
      <c r="D1745" s="3">
        <v>1.0</v>
      </c>
      <c r="E1745" s="1" t="s">
        <v>68</v>
      </c>
      <c r="F1745" s="1" t="s">
        <v>126</v>
      </c>
      <c r="G1745" s="3">
        <v>1.0</v>
      </c>
      <c r="H1745" s="3">
        <v>0.0</v>
      </c>
      <c r="I1745" s="1"/>
      <c r="J1745" s="3">
        <v>836.0</v>
      </c>
    </row>
    <row r="1746">
      <c r="A1746" s="3">
        <v>1598.0</v>
      </c>
      <c r="B1746" s="3">
        <v>1598.0</v>
      </c>
      <c r="C1746" s="3">
        <v>681.0</v>
      </c>
      <c r="D1746" s="3">
        <v>1.0</v>
      </c>
      <c r="E1746" s="1" t="s">
        <v>68</v>
      </c>
      <c r="F1746" s="1" t="s">
        <v>37</v>
      </c>
      <c r="G1746" s="3">
        <v>1.0</v>
      </c>
      <c r="H1746" s="3">
        <v>0.0</v>
      </c>
      <c r="I1746" s="1"/>
      <c r="J1746" s="3">
        <v>836.0</v>
      </c>
    </row>
    <row r="1747">
      <c r="A1747" s="3">
        <v>1599.0</v>
      </c>
      <c r="B1747" s="3">
        <v>1599.0</v>
      </c>
      <c r="C1747" s="3">
        <v>1108.0</v>
      </c>
      <c r="D1747" s="3">
        <v>1.0</v>
      </c>
      <c r="E1747" s="1" t="s">
        <v>68</v>
      </c>
      <c r="F1747" s="1" t="s">
        <v>189</v>
      </c>
      <c r="G1747" s="3">
        <v>1.0</v>
      </c>
      <c r="H1747" s="3">
        <v>0.0</v>
      </c>
      <c r="I1747" s="1"/>
      <c r="J1747" s="3">
        <v>836.0</v>
      </c>
    </row>
    <row r="1748">
      <c r="A1748" s="3">
        <v>1600.0</v>
      </c>
      <c r="B1748" s="3">
        <v>1600.0</v>
      </c>
      <c r="C1748" s="3">
        <v>1005.0</v>
      </c>
      <c r="D1748" s="3">
        <v>1.0</v>
      </c>
      <c r="E1748" s="1" t="s">
        <v>68</v>
      </c>
      <c r="F1748" s="1" t="s">
        <v>200</v>
      </c>
      <c r="G1748" s="3">
        <v>1.0</v>
      </c>
      <c r="H1748" s="3">
        <v>0.0</v>
      </c>
      <c r="I1748" s="1"/>
      <c r="J1748" s="3">
        <v>836.0</v>
      </c>
    </row>
    <row r="1749">
      <c r="A1749" s="3">
        <v>1601.0</v>
      </c>
      <c r="B1749" s="3">
        <v>1601.0</v>
      </c>
      <c r="C1749" s="3">
        <v>682.0</v>
      </c>
      <c r="D1749" s="3">
        <v>1.0</v>
      </c>
      <c r="E1749" s="1" t="s">
        <v>68</v>
      </c>
      <c r="F1749" s="1" t="s">
        <v>188</v>
      </c>
      <c r="G1749" s="3">
        <v>1.0</v>
      </c>
      <c r="H1749" s="3">
        <v>0.0</v>
      </c>
      <c r="I1749" s="1"/>
      <c r="J1749" s="3">
        <v>836.0</v>
      </c>
    </row>
    <row r="1750">
      <c r="A1750" s="3">
        <v>1602.0</v>
      </c>
      <c r="B1750" s="3">
        <v>1602.0</v>
      </c>
      <c r="C1750" s="3">
        <v>989.0</v>
      </c>
      <c r="D1750" s="3">
        <v>1.0</v>
      </c>
      <c r="E1750" s="1" t="s">
        <v>640</v>
      </c>
      <c r="F1750" s="1" t="s">
        <v>161</v>
      </c>
      <c r="G1750" s="3">
        <v>1.0</v>
      </c>
      <c r="H1750" s="3">
        <v>0.0</v>
      </c>
      <c r="I1750" s="1"/>
      <c r="J1750" s="3">
        <v>836.0</v>
      </c>
    </row>
    <row r="1751">
      <c r="A1751" s="3">
        <v>1603.0</v>
      </c>
      <c r="B1751" s="3">
        <v>1603.0</v>
      </c>
      <c r="C1751" s="3">
        <v>988.0</v>
      </c>
      <c r="D1751" s="3">
        <v>1.0</v>
      </c>
      <c r="E1751" s="1" t="s">
        <v>640</v>
      </c>
      <c r="F1751" s="1" t="s">
        <v>163</v>
      </c>
      <c r="G1751" s="3">
        <v>1.0</v>
      </c>
      <c r="H1751" s="3">
        <v>0.0</v>
      </c>
      <c r="I1751" s="1"/>
      <c r="J1751" s="3">
        <v>836.0</v>
      </c>
    </row>
    <row r="1752">
      <c r="A1752" s="3">
        <v>1604.0</v>
      </c>
      <c r="B1752" s="3">
        <v>1604.0</v>
      </c>
      <c r="C1752" s="3">
        <v>686.0</v>
      </c>
      <c r="D1752" s="3">
        <v>1.0</v>
      </c>
      <c r="E1752" s="1" t="s">
        <v>640</v>
      </c>
      <c r="F1752" s="1" t="s">
        <v>24</v>
      </c>
      <c r="G1752" s="3">
        <v>1.0</v>
      </c>
      <c r="H1752" s="3">
        <v>0.0</v>
      </c>
      <c r="I1752" s="1"/>
      <c r="J1752" s="3">
        <v>836.0</v>
      </c>
    </row>
    <row r="1753">
      <c r="A1753" s="3">
        <v>1605.0</v>
      </c>
      <c r="B1753" s="3">
        <v>1605.0</v>
      </c>
      <c r="C1753" s="3">
        <v>987.0</v>
      </c>
      <c r="D1753" s="3">
        <v>1.0</v>
      </c>
      <c r="E1753" s="1" t="s">
        <v>640</v>
      </c>
      <c r="F1753" s="1" t="s">
        <v>26</v>
      </c>
      <c r="G1753" s="3">
        <v>1.0</v>
      </c>
      <c r="H1753" s="3">
        <v>0.0</v>
      </c>
      <c r="I1753" s="1"/>
      <c r="J1753" s="3">
        <v>836.0</v>
      </c>
    </row>
    <row r="1754">
      <c r="A1754" s="3">
        <v>1606.0</v>
      </c>
      <c r="B1754" s="3">
        <v>1606.0</v>
      </c>
      <c r="C1754" s="3">
        <v>0.0</v>
      </c>
      <c r="D1754" s="3">
        <v>1.0</v>
      </c>
      <c r="E1754" s="1" t="s">
        <v>640</v>
      </c>
      <c r="F1754" s="1" t="s">
        <v>641</v>
      </c>
      <c r="G1754" s="3">
        <v>1.0</v>
      </c>
      <c r="H1754" s="3">
        <v>0.0</v>
      </c>
      <c r="I1754" s="1"/>
      <c r="J1754" s="3">
        <v>836.0</v>
      </c>
    </row>
    <row r="1755">
      <c r="A1755" s="3">
        <v>1607.0</v>
      </c>
      <c r="B1755" s="3">
        <v>1607.0</v>
      </c>
      <c r="C1755" s="3">
        <v>687.0</v>
      </c>
      <c r="D1755" s="3">
        <v>1.0</v>
      </c>
      <c r="E1755" s="1" t="s">
        <v>640</v>
      </c>
      <c r="F1755" s="1" t="s">
        <v>25</v>
      </c>
      <c r="G1755" s="3">
        <v>1.0</v>
      </c>
      <c r="H1755" s="3">
        <v>0.0</v>
      </c>
      <c r="I1755" s="1"/>
      <c r="J1755" s="3">
        <v>836.0</v>
      </c>
    </row>
    <row r="1756">
      <c r="A1756" s="3">
        <v>1608.0</v>
      </c>
      <c r="B1756" s="3">
        <v>1608.0</v>
      </c>
      <c r="C1756" s="3">
        <v>690.0</v>
      </c>
      <c r="D1756" s="3">
        <v>1.0</v>
      </c>
      <c r="E1756" s="1" t="s">
        <v>642</v>
      </c>
      <c r="F1756" s="1" t="s">
        <v>19</v>
      </c>
      <c r="G1756" s="3">
        <v>1.0</v>
      </c>
      <c r="H1756" s="3">
        <v>0.0</v>
      </c>
      <c r="I1756" s="1"/>
      <c r="J1756" s="3">
        <v>836.0</v>
      </c>
    </row>
    <row r="1757">
      <c r="A1757" s="3">
        <v>1609.0</v>
      </c>
      <c r="B1757" s="3">
        <v>1609.0</v>
      </c>
      <c r="C1757" s="3">
        <v>689.0</v>
      </c>
      <c r="D1757" s="3">
        <v>1.0</v>
      </c>
      <c r="E1757" s="1" t="s">
        <v>642</v>
      </c>
      <c r="F1757" s="1" t="s">
        <v>15</v>
      </c>
      <c r="G1757" s="3">
        <v>1.0</v>
      </c>
      <c r="H1757" s="3">
        <v>0.0</v>
      </c>
      <c r="I1757" s="1"/>
      <c r="J1757" s="3">
        <v>836.0</v>
      </c>
    </row>
    <row r="1758">
      <c r="A1758" s="3">
        <v>1610.0</v>
      </c>
      <c r="B1758" s="3">
        <v>1610.0</v>
      </c>
      <c r="C1758" s="3">
        <v>993.0</v>
      </c>
      <c r="D1758" s="3">
        <v>1.0</v>
      </c>
      <c r="E1758" s="1" t="s">
        <v>643</v>
      </c>
      <c r="F1758" s="1"/>
      <c r="G1758" s="3">
        <v>1.0</v>
      </c>
      <c r="H1758" s="3">
        <v>0.0</v>
      </c>
      <c r="I1758" s="1"/>
      <c r="J1758" s="3">
        <v>836.0</v>
      </c>
    </row>
    <row r="1759">
      <c r="A1759" s="3">
        <v>1611.0</v>
      </c>
      <c r="B1759" s="3">
        <v>1611.0</v>
      </c>
      <c r="C1759" s="3">
        <v>0.0</v>
      </c>
      <c r="D1759" s="3">
        <v>1.0</v>
      </c>
      <c r="E1759" s="2" t="s">
        <v>644</v>
      </c>
      <c r="F1759" s="1"/>
      <c r="G1759" s="3">
        <v>1.0</v>
      </c>
      <c r="H1759" s="3">
        <v>0.0</v>
      </c>
      <c r="I1759" s="1"/>
      <c r="J1759" s="3">
        <v>836.0</v>
      </c>
    </row>
    <row r="1760">
      <c r="A1760" s="3">
        <v>1612.0</v>
      </c>
      <c r="B1760" s="3">
        <v>1612.0</v>
      </c>
      <c r="C1760" s="3">
        <v>0.0</v>
      </c>
      <c r="D1760" s="3">
        <v>1.0</v>
      </c>
      <c r="E1760" s="2" t="s">
        <v>645</v>
      </c>
      <c r="F1760" s="1"/>
      <c r="G1760" s="3">
        <v>1.0</v>
      </c>
      <c r="H1760" s="3">
        <v>0.0</v>
      </c>
      <c r="I1760" s="1"/>
      <c r="J1760" s="3">
        <v>836.0</v>
      </c>
    </row>
    <row r="1761">
      <c r="A1761" s="3">
        <v>1613.0</v>
      </c>
      <c r="B1761" s="3">
        <v>1613.0</v>
      </c>
      <c r="C1761" s="3">
        <v>0.0</v>
      </c>
      <c r="D1761" s="3">
        <v>1.0</v>
      </c>
      <c r="E1761" s="1" t="s">
        <v>646</v>
      </c>
      <c r="F1761" s="1" t="s">
        <v>106</v>
      </c>
      <c r="G1761" s="3">
        <v>1.0</v>
      </c>
      <c r="H1761" s="3">
        <v>0.0</v>
      </c>
      <c r="I1761" s="1"/>
      <c r="J1761" s="3">
        <v>836.0</v>
      </c>
    </row>
    <row r="1762">
      <c r="A1762" s="3">
        <v>1614.0</v>
      </c>
      <c r="B1762" s="3">
        <v>1614.0</v>
      </c>
      <c r="C1762" s="3">
        <v>0.0</v>
      </c>
      <c r="D1762" s="3">
        <v>1.0</v>
      </c>
      <c r="E1762" s="1" t="s">
        <v>646</v>
      </c>
      <c r="F1762" s="1" t="s">
        <v>93</v>
      </c>
      <c r="G1762" s="3">
        <v>1.0</v>
      </c>
      <c r="H1762" s="3">
        <v>0.0</v>
      </c>
      <c r="I1762" s="1"/>
      <c r="J1762" s="3">
        <v>836.0</v>
      </c>
    </row>
    <row r="1763">
      <c r="A1763" s="3">
        <v>1615.0</v>
      </c>
      <c r="B1763" s="3">
        <v>1615.0</v>
      </c>
      <c r="C1763" s="3">
        <v>990.0</v>
      </c>
      <c r="D1763" s="3">
        <v>1.0</v>
      </c>
      <c r="E1763" s="1" t="s">
        <v>646</v>
      </c>
      <c r="F1763" s="1" t="s">
        <v>25</v>
      </c>
      <c r="G1763" s="3">
        <v>1.0</v>
      </c>
      <c r="H1763" s="3">
        <v>0.0</v>
      </c>
      <c r="I1763" s="1"/>
      <c r="J1763" s="3">
        <v>836.0</v>
      </c>
    </row>
    <row r="1764">
      <c r="A1764" s="3">
        <v>1616.0</v>
      </c>
      <c r="B1764" s="3">
        <v>1616.0</v>
      </c>
      <c r="C1764" s="3">
        <v>688.0</v>
      </c>
      <c r="D1764" s="3">
        <v>1.0</v>
      </c>
      <c r="E1764" s="1" t="s">
        <v>646</v>
      </c>
      <c r="F1764" s="1" t="s">
        <v>24</v>
      </c>
      <c r="G1764" s="3">
        <v>1.0</v>
      </c>
      <c r="H1764" s="3">
        <v>0.0</v>
      </c>
      <c r="I1764" s="1"/>
      <c r="J1764" s="3">
        <v>836.0</v>
      </c>
    </row>
    <row r="1765">
      <c r="A1765" s="3">
        <v>1617.0</v>
      </c>
      <c r="B1765" s="3">
        <v>1617.0</v>
      </c>
      <c r="C1765" s="3">
        <v>992.0</v>
      </c>
      <c r="D1765" s="3">
        <v>1.0</v>
      </c>
      <c r="E1765" s="1" t="s">
        <v>646</v>
      </c>
      <c r="F1765" s="1" t="s">
        <v>161</v>
      </c>
      <c r="G1765" s="3">
        <v>1.0</v>
      </c>
      <c r="H1765" s="3">
        <v>0.0</v>
      </c>
      <c r="I1765" s="1"/>
      <c r="J1765" s="3">
        <v>836.0</v>
      </c>
    </row>
    <row r="1766">
      <c r="A1766" s="3">
        <v>1618.0</v>
      </c>
      <c r="B1766" s="3">
        <v>1618.0</v>
      </c>
      <c r="C1766" s="3">
        <v>991.0</v>
      </c>
      <c r="D1766" s="3">
        <v>1.0</v>
      </c>
      <c r="E1766" s="1" t="s">
        <v>646</v>
      </c>
      <c r="F1766" s="1" t="s">
        <v>163</v>
      </c>
      <c r="G1766" s="3">
        <v>1.0</v>
      </c>
      <c r="H1766" s="3">
        <v>0.0</v>
      </c>
      <c r="I1766" s="1"/>
      <c r="J1766" s="3">
        <v>836.0</v>
      </c>
    </row>
    <row r="1767">
      <c r="A1767" s="3">
        <v>1619.0</v>
      </c>
      <c r="B1767" s="3">
        <v>1619.0</v>
      </c>
      <c r="C1767" s="3">
        <v>0.0</v>
      </c>
      <c r="D1767" s="3">
        <v>1.0</v>
      </c>
      <c r="E1767" s="1" t="s">
        <v>647</v>
      </c>
      <c r="F1767" s="1" t="s">
        <v>93</v>
      </c>
      <c r="G1767" s="3">
        <v>1.0</v>
      </c>
      <c r="H1767" s="3">
        <v>0.0</v>
      </c>
      <c r="I1767" s="1"/>
      <c r="J1767" s="3">
        <v>836.0</v>
      </c>
    </row>
    <row r="1768">
      <c r="A1768" s="3">
        <v>1620.0</v>
      </c>
      <c r="B1768" s="3">
        <v>1620.0</v>
      </c>
      <c r="C1768" s="3">
        <v>0.0</v>
      </c>
      <c r="D1768" s="3">
        <v>1.0</v>
      </c>
      <c r="E1768" s="1" t="s">
        <v>647</v>
      </c>
      <c r="F1768" s="1" t="s">
        <v>106</v>
      </c>
      <c r="G1768" s="3">
        <v>1.0</v>
      </c>
      <c r="H1768" s="3">
        <v>0.0</v>
      </c>
      <c r="I1768" s="1"/>
      <c r="J1768" s="3">
        <v>836.0</v>
      </c>
    </row>
    <row r="1769">
      <c r="A1769" s="3">
        <v>1621.0</v>
      </c>
      <c r="B1769" s="3">
        <v>1621.0</v>
      </c>
      <c r="C1769" s="3">
        <v>0.0</v>
      </c>
      <c r="D1769" s="3">
        <v>1.0</v>
      </c>
      <c r="E1769" s="1" t="s">
        <v>647</v>
      </c>
      <c r="F1769" s="1" t="s">
        <v>208</v>
      </c>
      <c r="G1769" s="3">
        <v>1.0</v>
      </c>
      <c r="H1769" s="3">
        <v>0.0</v>
      </c>
      <c r="I1769" s="1"/>
      <c r="J1769" s="3">
        <v>836.0</v>
      </c>
    </row>
    <row r="1770">
      <c r="A1770" s="3">
        <v>1622.0</v>
      </c>
      <c r="B1770" s="3">
        <v>1622.0</v>
      </c>
      <c r="C1770" s="3">
        <v>0.0</v>
      </c>
      <c r="D1770" s="3">
        <v>1.0</v>
      </c>
      <c r="E1770" s="1" t="s">
        <v>647</v>
      </c>
      <c r="F1770" s="1" t="s">
        <v>257</v>
      </c>
      <c r="G1770" s="3">
        <v>1.0</v>
      </c>
      <c r="H1770" s="3">
        <v>0.0</v>
      </c>
      <c r="I1770" s="1"/>
      <c r="J1770" s="3">
        <v>836.0</v>
      </c>
    </row>
    <row r="1771">
      <c r="A1771" s="3">
        <v>1623.0</v>
      </c>
      <c r="B1771" s="3">
        <v>1623.0</v>
      </c>
      <c r="C1771" s="3">
        <v>0.0</v>
      </c>
      <c r="D1771" s="3">
        <v>1.0</v>
      </c>
      <c r="E1771" s="1" t="s">
        <v>647</v>
      </c>
      <c r="F1771" s="1" t="s">
        <v>107</v>
      </c>
      <c r="G1771" s="3">
        <v>1.0</v>
      </c>
      <c r="H1771" s="3">
        <v>0.0</v>
      </c>
      <c r="I1771" s="1"/>
      <c r="J1771" s="3">
        <v>836.0</v>
      </c>
    </row>
    <row r="1772">
      <c r="A1772" s="3">
        <v>1624.0</v>
      </c>
      <c r="B1772" s="3">
        <v>1624.0</v>
      </c>
      <c r="C1772" s="3">
        <v>0.0</v>
      </c>
      <c r="D1772" s="3">
        <v>1.0</v>
      </c>
      <c r="E1772" s="1" t="s">
        <v>647</v>
      </c>
      <c r="F1772" s="1" t="s">
        <v>258</v>
      </c>
      <c r="G1772" s="3">
        <v>1.0</v>
      </c>
      <c r="H1772" s="3">
        <v>0.0</v>
      </c>
      <c r="I1772" s="1"/>
      <c r="J1772" s="3">
        <v>836.0</v>
      </c>
    </row>
    <row r="1773">
      <c r="A1773" s="3">
        <v>1625.0</v>
      </c>
      <c r="B1773" s="3">
        <v>1625.0</v>
      </c>
      <c r="C1773" s="3">
        <v>0.0</v>
      </c>
      <c r="D1773" s="3">
        <v>1.0</v>
      </c>
      <c r="E1773" s="2" t="s">
        <v>648</v>
      </c>
      <c r="F1773" s="1"/>
      <c r="G1773" s="3">
        <v>1.0</v>
      </c>
      <c r="H1773" s="3">
        <v>0.0</v>
      </c>
      <c r="I1773" s="1"/>
      <c r="J1773" s="3">
        <v>836.0</v>
      </c>
    </row>
    <row r="1774">
      <c r="A1774" s="3">
        <v>1626.0</v>
      </c>
      <c r="B1774" s="3">
        <v>1626.0</v>
      </c>
      <c r="C1774" s="3">
        <v>757.0</v>
      </c>
      <c r="D1774" s="3">
        <v>1.0</v>
      </c>
      <c r="E1774" s="1" t="s">
        <v>649</v>
      </c>
      <c r="F1774" s="1" t="s">
        <v>15</v>
      </c>
      <c r="G1774" s="3">
        <v>1.0</v>
      </c>
      <c r="H1774" s="3">
        <v>0.0</v>
      </c>
      <c r="I1774" s="1"/>
      <c r="J1774" s="3">
        <v>836.0</v>
      </c>
    </row>
    <row r="1775">
      <c r="A1775" s="3">
        <v>1627.0</v>
      </c>
      <c r="B1775" s="3">
        <v>1627.0</v>
      </c>
      <c r="C1775" s="3">
        <v>758.0</v>
      </c>
      <c r="D1775" s="3">
        <v>1.0</v>
      </c>
      <c r="E1775" s="1" t="s">
        <v>649</v>
      </c>
      <c r="F1775" s="1" t="s">
        <v>19</v>
      </c>
      <c r="G1775" s="3">
        <v>1.0</v>
      </c>
      <c r="H1775" s="3">
        <v>0.0</v>
      </c>
      <c r="I1775" s="1"/>
      <c r="J1775" s="3">
        <v>836.0</v>
      </c>
    </row>
    <row r="1776">
      <c r="A1776" s="3">
        <v>1628.0</v>
      </c>
      <c r="B1776" s="3">
        <v>1628.0</v>
      </c>
      <c r="C1776" s="3">
        <v>759.0</v>
      </c>
      <c r="D1776" s="3">
        <v>1.0</v>
      </c>
      <c r="E1776" s="1" t="s">
        <v>649</v>
      </c>
      <c r="F1776" s="1" t="s">
        <v>35</v>
      </c>
      <c r="G1776" s="3">
        <v>1.0</v>
      </c>
      <c r="H1776" s="3">
        <v>0.0</v>
      </c>
      <c r="I1776" s="1"/>
      <c r="J1776" s="3">
        <v>836.0</v>
      </c>
    </row>
    <row r="1777">
      <c r="A1777" s="3">
        <v>1629.0</v>
      </c>
      <c r="B1777" s="3">
        <v>1629.0</v>
      </c>
      <c r="C1777" s="3">
        <v>760.0</v>
      </c>
      <c r="D1777" s="3">
        <v>1.0</v>
      </c>
      <c r="E1777" s="1" t="s">
        <v>649</v>
      </c>
      <c r="F1777" s="1" t="s">
        <v>126</v>
      </c>
      <c r="G1777" s="3">
        <v>1.0</v>
      </c>
      <c r="H1777" s="3">
        <v>0.0</v>
      </c>
      <c r="I1777" s="1"/>
      <c r="J1777" s="3">
        <v>836.0</v>
      </c>
    </row>
    <row r="1778">
      <c r="A1778" s="3">
        <v>1630.0</v>
      </c>
      <c r="B1778" s="3">
        <v>1630.0</v>
      </c>
      <c r="C1778" s="3">
        <v>676.0</v>
      </c>
      <c r="D1778" s="3">
        <v>1.0</v>
      </c>
      <c r="E1778" s="2" t="s">
        <v>650</v>
      </c>
      <c r="F1778" s="1"/>
      <c r="G1778" s="3">
        <v>1.0</v>
      </c>
      <c r="H1778" s="3">
        <v>0.0</v>
      </c>
      <c r="I1778" s="1"/>
      <c r="J1778" s="3">
        <v>836.0</v>
      </c>
    </row>
    <row r="1779">
      <c r="A1779" s="3">
        <v>1631.0</v>
      </c>
      <c r="B1779" s="3">
        <v>1631.0</v>
      </c>
      <c r="C1779" s="3">
        <v>661.0</v>
      </c>
      <c r="D1779" s="3">
        <v>1.0</v>
      </c>
      <c r="E1779" s="1" t="s">
        <v>651</v>
      </c>
      <c r="F1779" s="1" t="s">
        <v>19</v>
      </c>
      <c r="G1779" s="3">
        <v>1.0</v>
      </c>
      <c r="H1779" s="3">
        <v>0.0</v>
      </c>
      <c r="I1779" s="1"/>
      <c r="J1779" s="3">
        <v>836.0</v>
      </c>
    </row>
    <row r="1780">
      <c r="A1780" s="3">
        <v>1632.0</v>
      </c>
      <c r="B1780" s="3">
        <v>1632.0</v>
      </c>
      <c r="C1780" s="3">
        <v>662.0</v>
      </c>
      <c r="D1780" s="3">
        <v>1.0</v>
      </c>
      <c r="E1780" s="1" t="s">
        <v>651</v>
      </c>
      <c r="F1780" s="1" t="s">
        <v>35</v>
      </c>
      <c r="G1780" s="3">
        <v>1.0</v>
      </c>
      <c r="H1780" s="3">
        <v>0.0</v>
      </c>
      <c r="I1780" s="1"/>
      <c r="J1780" s="3">
        <v>836.0</v>
      </c>
    </row>
    <row r="1781">
      <c r="A1781" s="3">
        <v>1633.0</v>
      </c>
      <c r="B1781" s="3">
        <v>1633.0</v>
      </c>
      <c r="C1781" s="3">
        <v>663.0</v>
      </c>
      <c r="D1781" s="3">
        <v>1.0</v>
      </c>
      <c r="E1781" s="1" t="s">
        <v>651</v>
      </c>
      <c r="F1781" s="1" t="s">
        <v>126</v>
      </c>
      <c r="G1781" s="3">
        <v>1.0</v>
      </c>
      <c r="H1781" s="3">
        <v>0.0</v>
      </c>
      <c r="I1781" s="1"/>
      <c r="J1781" s="3">
        <v>836.0</v>
      </c>
    </row>
    <row r="1782">
      <c r="A1782" s="3">
        <v>1634.0</v>
      </c>
      <c r="B1782" s="3">
        <v>1634.0</v>
      </c>
      <c r="C1782" s="3">
        <v>0.0</v>
      </c>
      <c r="D1782" s="3">
        <v>1.0</v>
      </c>
      <c r="E1782" s="1" t="s">
        <v>637</v>
      </c>
      <c r="F1782" s="1" t="s">
        <v>93</v>
      </c>
      <c r="G1782" s="3">
        <v>1.0</v>
      </c>
      <c r="H1782" s="3">
        <v>0.0</v>
      </c>
      <c r="I1782" s="1"/>
      <c r="J1782" s="3">
        <v>836.0</v>
      </c>
    </row>
    <row r="1783">
      <c r="A1783" s="3">
        <v>1635.0</v>
      </c>
      <c r="B1783" s="3">
        <v>1635.0</v>
      </c>
      <c r="C1783" s="3">
        <v>0.0</v>
      </c>
      <c r="D1783" s="3">
        <v>1.0</v>
      </c>
      <c r="E1783" s="1" t="s">
        <v>116</v>
      </c>
      <c r="F1783" s="1"/>
      <c r="G1783" s="3">
        <v>0.0</v>
      </c>
      <c r="H1783" s="3">
        <v>0.0</v>
      </c>
      <c r="I1783" s="1"/>
      <c r="J1783" s="3">
        <v>836.0</v>
      </c>
    </row>
    <row r="1784">
      <c r="A1784" s="3">
        <v>1636.0</v>
      </c>
      <c r="B1784" s="3">
        <v>1636.0</v>
      </c>
      <c r="C1784" s="3">
        <v>0.0</v>
      </c>
      <c r="D1784" s="3">
        <v>1.0</v>
      </c>
      <c r="E1784" s="2" t="s">
        <v>652</v>
      </c>
      <c r="F1784" s="1"/>
      <c r="G1784" s="3">
        <v>1.0</v>
      </c>
      <c r="H1784" s="3">
        <v>0.0</v>
      </c>
      <c r="I1784" s="1"/>
      <c r="J1784" s="3">
        <v>836.0</v>
      </c>
    </row>
    <row r="1785">
      <c r="A1785" s="3">
        <v>1637.0</v>
      </c>
      <c r="B1785" s="3">
        <v>1637.0</v>
      </c>
      <c r="C1785" s="3">
        <v>0.0</v>
      </c>
      <c r="D1785" s="3">
        <v>1.0</v>
      </c>
      <c r="E1785" s="1" t="s">
        <v>653</v>
      </c>
      <c r="F1785" s="3">
        <v>1.0</v>
      </c>
      <c r="G1785" s="3">
        <v>1.0</v>
      </c>
      <c r="H1785" s="3">
        <v>0.0</v>
      </c>
      <c r="I1785" s="1"/>
      <c r="J1785" s="3">
        <v>836.0</v>
      </c>
    </row>
    <row r="1786">
      <c r="A1786" s="3">
        <v>1638.0</v>
      </c>
      <c r="B1786" s="3">
        <v>1638.0</v>
      </c>
      <c r="C1786" s="3">
        <v>0.0</v>
      </c>
      <c r="D1786" s="3">
        <v>1.0</v>
      </c>
      <c r="E1786" s="1" t="s">
        <v>653</v>
      </c>
      <c r="F1786" s="3">
        <v>2.0</v>
      </c>
      <c r="G1786" s="3">
        <v>1.0</v>
      </c>
      <c r="H1786" s="3">
        <v>0.0</v>
      </c>
      <c r="I1786" s="1"/>
      <c r="J1786" s="3">
        <v>836.0</v>
      </c>
    </row>
    <row r="1787">
      <c r="A1787" s="3">
        <v>1700.0</v>
      </c>
      <c r="B1787" s="3">
        <v>1700.0</v>
      </c>
      <c r="C1787" s="3">
        <v>0.0</v>
      </c>
      <c r="D1787" s="3">
        <v>1.0</v>
      </c>
      <c r="E1787" s="1" t="s">
        <v>654</v>
      </c>
      <c r="F1787" s="3">
        <v>1.0</v>
      </c>
      <c r="G1787" s="3">
        <v>1.0</v>
      </c>
      <c r="H1787" s="3">
        <v>0.0</v>
      </c>
      <c r="I1787" s="1"/>
      <c r="J1787" s="3">
        <v>836.0</v>
      </c>
    </row>
    <row r="1788">
      <c r="A1788" s="3">
        <v>1701.0</v>
      </c>
      <c r="B1788" s="3">
        <v>1701.0</v>
      </c>
      <c r="C1788" s="3">
        <v>0.0</v>
      </c>
      <c r="D1788" s="3">
        <v>1.0</v>
      </c>
      <c r="E1788" s="1" t="s">
        <v>655</v>
      </c>
      <c r="F1788" s="3">
        <v>1.0</v>
      </c>
      <c r="G1788" s="3">
        <v>1.0</v>
      </c>
      <c r="H1788" s="3">
        <v>0.0</v>
      </c>
      <c r="I1788" s="1"/>
      <c r="J1788" s="3">
        <v>836.0</v>
      </c>
    </row>
    <row r="1789">
      <c r="A1789" s="3">
        <v>1702.0</v>
      </c>
      <c r="B1789" s="3">
        <v>1702.0</v>
      </c>
      <c r="C1789" s="3">
        <v>0.0</v>
      </c>
      <c r="D1789" s="3">
        <v>1.0</v>
      </c>
      <c r="E1789" s="1" t="s">
        <v>655</v>
      </c>
      <c r="F1789" s="3">
        <v>2.0</v>
      </c>
      <c r="G1789" s="3">
        <v>1.0</v>
      </c>
      <c r="H1789" s="3">
        <v>0.0</v>
      </c>
      <c r="I1789" s="1"/>
      <c r="J1789" s="3">
        <v>836.0</v>
      </c>
    </row>
    <row r="1790">
      <c r="A1790" s="3">
        <v>1703.0</v>
      </c>
      <c r="B1790" s="3">
        <v>1703.0</v>
      </c>
      <c r="C1790" s="3">
        <v>0.0</v>
      </c>
      <c r="D1790" s="3">
        <v>1.0</v>
      </c>
      <c r="E1790" s="1" t="s">
        <v>655</v>
      </c>
      <c r="F1790" s="3">
        <v>3.0</v>
      </c>
      <c r="G1790" s="3">
        <v>1.0</v>
      </c>
      <c r="H1790" s="3">
        <v>0.0</v>
      </c>
      <c r="I1790" s="1"/>
      <c r="J1790" s="3">
        <v>836.0</v>
      </c>
    </row>
    <row r="1791">
      <c r="A1791" s="3">
        <v>1704.0</v>
      </c>
      <c r="B1791" s="3">
        <v>1704.0</v>
      </c>
      <c r="C1791" s="3">
        <v>0.0</v>
      </c>
      <c r="D1791" s="3">
        <v>1.0</v>
      </c>
      <c r="E1791" s="1" t="s">
        <v>656</v>
      </c>
      <c r="F1791" s="3">
        <v>1.0</v>
      </c>
      <c r="G1791" s="3">
        <v>1.0</v>
      </c>
      <c r="H1791" s="3">
        <v>0.0</v>
      </c>
      <c r="I1791" s="1"/>
      <c r="J1791" s="3">
        <v>836.0</v>
      </c>
    </row>
    <row r="1792">
      <c r="A1792" s="3">
        <v>1705.0</v>
      </c>
      <c r="B1792" s="3">
        <v>1705.0</v>
      </c>
      <c r="C1792" s="3">
        <v>0.0</v>
      </c>
      <c r="D1792" s="3">
        <v>1.0</v>
      </c>
      <c r="E1792" s="1" t="s">
        <v>656</v>
      </c>
      <c r="F1792" s="3">
        <v>2.0</v>
      </c>
      <c r="G1792" s="3">
        <v>1.0</v>
      </c>
      <c r="H1792" s="3">
        <v>0.0</v>
      </c>
      <c r="I1792" s="1"/>
      <c r="J1792" s="3">
        <v>836.0</v>
      </c>
    </row>
    <row r="1793">
      <c r="A1793" s="3">
        <v>1706.0</v>
      </c>
      <c r="B1793" s="3">
        <v>1706.0</v>
      </c>
      <c r="C1793" s="3">
        <v>0.0</v>
      </c>
      <c r="D1793" s="3">
        <v>1.0</v>
      </c>
      <c r="E1793" s="1" t="s">
        <v>656</v>
      </c>
      <c r="F1793" s="3">
        <v>3.0</v>
      </c>
      <c r="G1793" s="3">
        <v>1.0</v>
      </c>
      <c r="H1793" s="3">
        <v>0.0</v>
      </c>
      <c r="I1793" s="1"/>
      <c r="J1793" s="3">
        <v>836.0</v>
      </c>
    </row>
    <row r="1794">
      <c r="A1794" s="3">
        <v>1707.0</v>
      </c>
      <c r="B1794" s="3">
        <v>1707.0</v>
      </c>
      <c r="C1794" s="3">
        <v>0.0</v>
      </c>
      <c r="D1794" s="3">
        <v>1.0</v>
      </c>
      <c r="E1794" s="1" t="s">
        <v>656</v>
      </c>
      <c r="F1794" s="3">
        <v>4.0</v>
      </c>
      <c r="G1794" s="3">
        <v>1.0</v>
      </c>
      <c r="H1794" s="3">
        <v>0.0</v>
      </c>
      <c r="I1794" s="1"/>
      <c r="J1794" s="3">
        <v>836.0</v>
      </c>
    </row>
    <row r="1795">
      <c r="A1795" s="3">
        <v>1708.0</v>
      </c>
      <c r="B1795" s="3">
        <v>1708.0</v>
      </c>
      <c r="C1795" s="3">
        <v>0.0</v>
      </c>
      <c r="D1795" s="3">
        <v>1.0</v>
      </c>
      <c r="E1795" s="1" t="s">
        <v>656</v>
      </c>
      <c r="F1795" s="3">
        <v>5.0</v>
      </c>
      <c r="G1795" s="3">
        <v>1.0</v>
      </c>
      <c r="H1795" s="3">
        <v>0.0</v>
      </c>
      <c r="I1795" s="1"/>
      <c r="J1795" s="3">
        <v>836.0</v>
      </c>
    </row>
    <row r="1796">
      <c r="A1796" s="3">
        <v>1709.0</v>
      </c>
      <c r="B1796" s="3">
        <v>1709.0</v>
      </c>
      <c r="C1796" s="3">
        <v>0.0</v>
      </c>
      <c r="D1796" s="3">
        <v>1.0</v>
      </c>
      <c r="E1796" s="1" t="s">
        <v>657</v>
      </c>
      <c r="F1796" s="3">
        <v>1.0</v>
      </c>
      <c r="G1796" s="3">
        <v>1.0</v>
      </c>
      <c r="H1796" s="3">
        <v>0.0</v>
      </c>
      <c r="I1796" s="1"/>
      <c r="J1796" s="3">
        <v>836.0</v>
      </c>
    </row>
    <row r="1797">
      <c r="A1797" s="3">
        <v>1710.0</v>
      </c>
      <c r="B1797" s="3">
        <v>1710.0</v>
      </c>
      <c r="C1797" s="3">
        <v>0.0</v>
      </c>
      <c r="D1797" s="3">
        <v>1.0</v>
      </c>
      <c r="E1797" s="1" t="s">
        <v>657</v>
      </c>
      <c r="F1797" s="3">
        <v>2.0</v>
      </c>
      <c r="G1797" s="3">
        <v>1.0</v>
      </c>
      <c r="H1797" s="3">
        <v>0.0</v>
      </c>
      <c r="I1797" s="1"/>
      <c r="J1797" s="3">
        <v>836.0</v>
      </c>
    </row>
    <row r="1798">
      <c r="A1798" s="3">
        <v>1711.0</v>
      </c>
      <c r="B1798" s="3">
        <v>1711.0</v>
      </c>
      <c r="C1798" s="3">
        <v>0.0</v>
      </c>
      <c r="D1798" s="3">
        <v>1.0</v>
      </c>
      <c r="E1798" s="1" t="s">
        <v>658</v>
      </c>
      <c r="F1798" s="3">
        <v>1.0</v>
      </c>
      <c r="G1798" s="3">
        <v>1.0</v>
      </c>
      <c r="H1798" s="3">
        <v>0.0</v>
      </c>
      <c r="I1798" s="1"/>
      <c r="J1798" s="3">
        <v>836.0</v>
      </c>
    </row>
    <row r="1799">
      <c r="A1799" s="3">
        <v>1712.0</v>
      </c>
      <c r="B1799" s="3">
        <v>1712.0</v>
      </c>
      <c r="C1799" s="3">
        <v>0.0</v>
      </c>
      <c r="D1799" s="3">
        <v>1.0</v>
      </c>
      <c r="E1799" s="1" t="s">
        <v>658</v>
      </c>
      <c r="F1799" s="3">
        <v>2.0</v>
      </c>
      <c r="G1799" s="3">
        <v>1.0</v>
      </c>
      <c r="H1799" s="3">
        <v>0.0</v>
      </c>
      <c r="I1799" s="1"/>
      <c r="J1799" s="3">
        <v>836.0</v>
      </c>
    </row>
    <row r="1800">
      <c r="A1800" s="3">
        <v>1713.0</v>
      </c>
      <c r="B1800" s="3">
        <v>1713.0</v>
      </c>
      <c r="C1800" s="3">
        <v>0.0</v>
      </c>
      <c r="D1800" s="3">
        <v>1.0</v>
      </c>
      <c r="E1800" s="1" t="s">
        <v>658</v>
      </c>
      <c r="F1800" s="3">
        <v>3.0</v>
      </c>
      <c r="G1800" s="3">
        <v>1.0</v>
      </c>
      <c r="H1800" s="3">
        <v>0.0</v>
      </c>
      <c r="I1800" s="1"/>
      <c r="J1800" s="3">
        <v>836.0</v>
      </c>
    </row>
    <row r="1801">
      <c r="A1801" s="3">
        <v>1714.0</v>
      </c>
      <c r="B1801" s="3">
        <v>1714.0</v>
      </c>
      <c r="C1801" s="3">
        <v>0.0</v>
      </c>
      <c r="D1801" s="3">
        <v>1.0</v>
      </c>
      <c r="E1801" s="1" t="s">
        <v>658</v>
      </c>
      <c r="F1801" s="3">
        <v>4.0</v>
      </c>
      <c r="G1801" s="3">
        <v>1.0</v>
      </c>
      <c r="H1801" s="3">
        <v>0.0</v>
      </c>
      <c r="I1801" s="1"/>
      <c r="J1801" s="3">
        <v>836.0</v>
      </c>
    </row>
    <row r="1802">
      <c r="A1802" s="3">
        <v>1715.0</v>
      </c>
      <c r="B1802" s="3">
        <v>1715.0</v>
      </c>
      <c r="C1802" s="3">
        <v>0.0</v>
      </c>
      <c r="D1802" s="3">
        <v>1.0</v>
      </c>
      <c r="E1802" s="1" t="s">
        <v>658</v>
      </c>
      <c r="F1802" s="3">
        <v>5.0</v>
      </c>
      <c r="G1802" s="3">
        <v>1.0</v>
      </c>
      <c r="H1802" s="3">
        <v>0.0</v>
      </c>
      <c r="I1802" s="1"/>
      <c r="J1802" s="3">
        <v>836.0</v>
      </c>
    </row>
    <row r="1803">
      <c r="A1803" s="3">
        <v>1716.0</v>
      </c>
      <c r="B1803" s="3">
        <v>1716.0</v>
      </c>
      <c r="C1803" s="3">
        <v>0.0</v>
      </c>
      <c r="D1803" s="3">
        <v>1.0</v>
      </c>
      <c r="E1803" s="1" t="s">
        <v>658</v>
      </c>
      <c r="F1803" s="3">
        <v>6.0</v>
      </c>
      <c r="G1803" s="3">
        <v>1.0</v>
      </c>
      <c r="H1803" s="3">
        <v>0.0</v>
      </c>
      <c r="I1803" s="1"/>
      <c r="J1803" s="3">
        <v>836.0</v>
      </c>
    </row>
    <row r="1804">
      <c r="A1804" s="3">
        <v>1717.0</v>
      </c>
      <c r="B1804" s="3">
        <v>1717.0</v>
      </c>
      <c r="C1804" s="3">
        <v>0.0</v>
      </c>
      <c r="D1804" s="3">
        <v>1.0</v>
      </c>
      <c r="E1804" s="1" t="s">
        <v>658</v>
      </c>
      <c r="F1804" s="3">
        <v>7.0</v>
      </c>
      <c r="G1804" s="3">
        <v>1.0</v>
      </c>
      <c r="H1804" s="3">
        <v>0.0</v>
      </c>
      <c r="I1804" s="1"/>
      <c r="J1804" s="3">
        <v>836.0</v>
      </c>
    </row>
    <row r="1805">
      <c r="A1805" s="3">
        <v>1718.0</v>
      </c>
      <c r="B1805" s="3">
        <v>1718.0</v>
      </c>
      <c r="C1805" s="3">
        <v>0.0</v>
      </c>
      <c r="D1805" s="3">
        <v>1.0</v>
      </c>
      <c r="E1805" s="1" t="s">
        <v>659</v>
      </c>
      <c r="F1805" s="3">
        <v>8.0</v>
      </c>
      <c r="G1805" s="3">
        <v>1.0</v>
      </c>
      <c r="H1805" s="3">
        <v>0.0</v>
      </c>
      <c r="I1805" s="1"/>
      <c r="J1805" s="3">
        <v>836.0</v>
      </c>
    </row>
    <row r="1806">
      <c r="A1806" s="3">
        <v>1719.0</v>
      </c>
      <c r="B1806" s="3">
        <v>1719.0</v>
      </c>
      <c r="C1806" s="3">
        <v>0.0</v>
      </c>
      <c r="D1806" s="3">
        <v>1.0</v>
      </c>
      <c r="E1806" s="1" t="s">
        <v>658</v>
      </c>
      <c r="F1806" s="3">
        <v>9.0</v>
      </c>
      <c r="G1806" s="3">
        <v>1.0</v>
      </c>
      <c r="H1806" s="3">
        <v>0.0</v>
      </c>
      <c r="I1806" s="1"/>
      <c r="J1806" s="3">
        <v>836.0</v>
      </c>
    </row>
    <row r="1807">
      <c r="A1807" s="3">
        <v>1720.0</v>
      </c>
      <c r="B1807" s="3">
        <v>1720.0</v>
      </c>
      <c r="C1807" s="3">
        <v>0.0</v>
      </c>
      <c r="D1807" s="3">
        <v>1.0</v>
      </c>
      <c r="E1807" s="1" t="s">
        <v>658</v>
      </c>
      <c r="F1807" s="3">
        <v>10.0</v>
      </c>
      <c r="G1807" s="3">
        <v>1.0</v>
      </c>
      <c r="H1807" s="3">
        <v>0.0</v>
      </c>
      <c r="I1807" s="1"/>
      <c r="J1807" s="3">
        <v>836.0</v>
      </c>
    </row>
    <row r="1808">
      <c r="A1808" s="3">
        <v>1721.0</v>
      </c>
      <c r="B1808" s="3">
        <v>1721.0</v>
      </c>
      <c r="C1808" s="3">
        <v>0.0</v>
      </c>
      <c r="D1808" s="3">
        <v>1.0</v>
      </c>
      <c r="E1808" s="1" t="s">
        <v>658</v>
      </c>
      <c r="F1808" s="3">
        <v>11.0</v>
      </c>
      <c r="G1808" s="3">
        <v>1.0</v>
      </c>
      <c r="H1808" s="3">
        <v>0.0</v>
      </c>
      <c r="I1808" s="1"/>
      <c r="J1808" s="3">
        <v>836.0</v>
      </c>
    </row>
    <row r="1809">
      <c r="A1809" s="3">
        <v>1722.0</v>
      </c>
      <c r="B1809" s="3">
        <v>1722.0</v>
      </c>
      <c r="C1809" s="3">
        <v>0.0</v>
      </c>
      <c r="D1809" s="3">
        <v>1.0</v>
      </c>
      <c r="E1809" s="1" t="s">
        <v>658</v>
      </c>
      <c r="F1809" s="3">
        <v>12.0</v>
      </c>
      <c r="G1809" s="3">
        <v>1.0</v>
      </c>
      <c r="H1809" s="3">
        <v>0.0</v>
      </c>
      <c r="I1809" s="1"/>
      <c r="J1809" s="3">
        <v>836.0</v>
      </c>
    </row>
    <row r="1810">
      <c r="A1810" s="3">
        <v>1723.0</v>
      </c>
      <c r="B1810" s="3">
        <v>1723.0</v>
      </c>
      <c r="C1810" s="3">
        <v>0.0</v>
      </c>
      <c r="D1810" s="3">
        <v>1.0</v>
      </c>
      <c r="E1810" s="1" t="s">
        <v>658</v>
      </c>
      <c r="F1810" s="3">
        <v>13.0</v>
      </c>
      <c r="G1810" s="3">
        <v>1.0</v>
      </c>
      <c r="H1810" s="3">
        <v>0.0</v>
      </c>
      <c r="I1810" s="1"/>
      <c r="J1810" s="3">
        <v>836.0</v>
      </c>
    </row>
    <row r="1811">
      <c r="A1811" s="3">
        <v>1724.0</v>
      </c>
      <c r="B1811" s="3">
        <v>1724.0</v>
      </c>
      <c r="C1811" s="3">
        <v>0.0</v>
      </c>
      <c r="D1811" s="3">
        <v>1.0</v>
      </c>
      <c r="E1811" s="1" t="s">
        <v>658</v>
      </c>
      <c r="F1811" s="3">
        <v>14.0</v>
      </c>
      <c r="G1811" s="3">
        <v>1.0</v>
      </c>
      <c r="H1811" s="3">
        <v>0.0</v>
      </c>
      <c r="I1811" s="1"/>
      <c r="J1811" s="3">
        <v>836.0</v>
      </c>
    </row>
    <row r="1812">
      <c r="A1812" s="3">
        <v>1725.0</v>
      </c>
      <c r="B1812" s="3">
        <v>1725.0</v>
      </c>
      <c r="C1812" s="3">
        <v>0.0</v>
      </c>
      <c r="D1812" s="3">
        <v>1.0</v>
      </c>
      <c r="E1812" s="1" t="s">
        <v>658</v>
      </c>
      <c r="F1812" s="3">
        <v>15.0</v>
      </c>
      <c r="G1812" s="3">
        <v>1.0</v>
      </c>
      <c r="H1812" s="3">
        <v>0.0</v>
      </c>
      <c r="I1812" s="1"/>
      <c r="J1812" s="3">
        <v>836.0</v>
      </c>
    </row>
    <row r="1813">
      <c r="A1813" s="3">
        <v>1726.0</v>
      </c>
      <c r="B1813" s="3">
        <v>1726.0</v>
      </c>
      <c r="C1813" s="3">
        <v>0.0</v>
      </c>
      <c r="D1813" s="3">
        <v>1.0</v>
      </c>
      <c r="E1813" s="1" t="s">
        <v>660</v>
      </c>
      <c r="F1813" s="3">
        <v>1.0</v>
      </c>
      <c r="G1813" s="3">
        <v>1.0</v>
      </c>
      <c r="H1813" s="3">
        <v>0.0</v>
      </c>
      <c r="I1813" s="1"/>
      <c r="J1813" s="3">
        <v>836.0</v>
      </c>
    </row>
    <row r="1814">
      <c r="A1814" s="3">
        <v>1727.0</v>
      </c>
      <c r="B1814" s="3">
        <v>1727.0</v>
      </c>
      <c r="C1814" s="3">
        <v>0.0</v>
      </c>
      <c r="D1814" s="3">
        <v>1.0</v>
      </c>
      <c r="E1814" s="1" t="s">
        <v>660</v>
      </c>
      <c r="F1814" s="3">
        <v>2.0</v>
      </c>
      <c r="G1814" s="3">
        <v>1.0</v>
      </c>
      <c r="H1814" s="3">
        <v>0.0</v>
      </c>
      <c r="I1814" s="1"/>
      <c r="J1814" s="3">
        <v>836.0</v>
      </c>
    </row>
    <row r="1815">
      <c r="A1815" s="3">
        <v>1728.0</v>
      </c>
      <c r="B1815" s="3">
        <v>1728.0</v>
      </c>
      <c r="C1815" s="3">
        <v>0.0</v>
      </c>
      <c r="D1815" s="3">
        <v>1.0</v>
      </c>
      <c r="E1815" s="1" t="s">
        <v>660</v>
      </c>
      <c r="F1815" s="3">
        <v>3.0</v>
      </c>
      <c r="G1815" s="3">
        <v>1.0</v>
      </c>
      <c r="H1815" s="3">
        <v>0.0</v>
      </c>
      <c r="I1815" s="1"/>
      <c r="J1815" s="3">
        <v>836.0</v>
      </c>
    </row>
    <row r="1816">
      <c r="A1816" s="3">
        <v>1729.0</v>
      </c>
      <c r="B1816" s="3">
        <v>1729.0</v>
      </c>
      <c r="C1816" s="3">
        <v>0.0</v>
      </c>
      <c r="D1816" s="3">
        <v>1.0</v>
      </c>
      <c r="E1816" s="1" t="s">
        <v>660</v>
      </c>
      <c r="F1816" s="3">
        <v>4.0</v>
      </c>
      <c r="G1816" s="3">
        <v>1.0</v>
      </c>
      <c r="H1816" s="3">
        <v>0.0</v>
      </c>
      <c r="I1816" s="1"/>
      <c r="J1816" s="3">
        <v>836.0</v>
      </c>
    </row>
    <row r="1817">
      <c r="A1817" s="3">
        <v>1730.0</v>
      </c>
      <c r="B1817" s="3">
        <v>1730.0</v>
      </c>
      <c r="C1817" s="3">
        <v>0.0</v>
      </c>
      <c r="D1817" s="3">
        <v>1.0</v>
      </c>
      <c r="E1817" s="1" t="s">
        <v>660</v>
      </c>
      <c r="F1817" s="3">
        <v>5.0</v>
      </c>
      <c r="G1817" s="3">
        <v>1.0</v>
      </c>
      <c r="H1817" s="3">
        <v>0.0</v>
      </c>
      <c r="I1817" s="1"/>
      <c r="J1817" s="3">
        <v>836.0</v>
      </c>
    </row>
    <row r="1818">
      <c r="A1818" s="3">
        <v>1731.0</v>
      </c>
      <c r="B1818" s="3">
        <v>1731.0</v>
      </c>
      <c r="C1818" s="3">
        <v>0.0</v>
      </c>
      <c r="D1818" s="3">
        <v>1.0</v>
      </c>
      <c r="E1818" s="1" t="s">
        <v>660</v>
      </c>
      <c r="F1818" s="3">
        <v>6.0</v>
      </c>
      <c r="G1818" s="3">
        <v>1.0</v>
      </c>
      <c r="H1818" s="3">
        <v>0.0</v>
      </c>
      <c r="I1818" s="1"/>
      <c r="J1818" s="3">
        <v>836.0</v>
      </c>
    </row>
    <row r="1819">
      <c r="A1819" s="3">
        <v>1732.0</v>
      </c>
      <c r="B1819" s="3">
        <v>1732.0</v>
      </c>
      <c r="C1819" s="3">
        <v>0.0</v>
      </c>
      <c r="D1819" s="3">
        <v>1.0</v>
      </c>
      <c r="E1819" s="1" t="s">
        <v>660</v>
      </c>
      <c r="F1819" s="3">
        <v>7.0</v>
      </c>
      <c r="G1819" s="3">
        <v>1.0</v>
      </c>
      <c r="H1819" s="3">
        <v>0.0</v>
      </c>
      <c r="I1819" s="1"/>
      <c r="J1819" s="3">
        <v>836.0</v>
      </c>
    </row>
    <row r="1820">
      <c r="A1820" s="3">
        <v>1733.0</v>
      </c>
      <c r="B1820" s="3">
        <v>1733.0</v>
      </c>
      <c r="C1820" s="3">
        <v>0.0</v>
      </c>
      <c r="D1820" s="3">
        <v>1.0</v>
      </c>
      <c r="E1820" s="1" t="s">
        <v>660</v>
      </c>
      <c r="F1820" s="3">
        <v>8.0</v>
      </c>
      <c r="G1820" s="3">
        <v>1.0</v>
      </c>
      <c r="H1820" s="3">
        <v>0.0</v>
      </c>
      <c r="I1820" s="1"/>
      <c r="J1820" s="3">
        <v>836.0</v>
      </c>
    </row>
    <row r="1821">
      <c r="A1821" s="3">
        <v>1734.0</v>
      </c>
      <c r="B1821" s="3">
        <v>1734.0</v>
      </c>
      <c r="C1821" s="3">
        <v>0.0</v>
      </c>
      <c r="D1821" s="3">
        <v>1.0</v>
      </c>
      <c r="E1821" s="1" t="s">
        <v>660</v>
      </c>
      <c r="F1821" s="3">
        <v>9.0</v>
      </c>
      <c r="G1821" s="3">
        <v>1.0</v>
      </c>
      <c r="H1821" s="3">
        <v>0.0</v>
      </c>
      <c r="I1821" s="1"/>
      <c r="J1821" s="3">
        <v>836.0</v>
      </c>
    </row>
    <row r="1822">
      <c r="A1822" s="3">
        <v>1735.0</v>
      </c>
      <c r="B1822" s="3">
        <v>1735.0</v>
      </c>
      <c r="C1822" s="3">
        <v>0.0</v>
      </c>
      <c r="D1822" s="3">
        <v>1.0</v>
      </c>
      <c r="E1822" s="1" t="s">
        <v>660</v>
      </c>
      <c r="F1822" s="3">
        <v>10.0</v>
      </c>
      <c r="G1822" s="3">
        <v>1.0</v>
      </c>
      <c r="H1822" s="3">
        <v>0.0</v>
      </c>
      <c r="I1822" s="1"/>
      <c r="J1822" s="3">
        <v>836.0</v>
      </c>
    </row>
    <row r="1823">
      <c r="A1823" s="3">
        <v>1736.0</v>
      </c>
      <c r="B1823" s="3">
        <v>1736.0</v>
      </c>
      <c r="C1823" s="3">
        <v>0.0</v>
      </c>
      <c r="D1823" s="3">
        <v>1.0</v>
      </c>
      <c r="E1823" s="1" t="s">
        <v>661</v>
      </c>
      <c r="F1823" s="3">
        <v>1.0</v>
      </c>
      <c r="G1823" s="3">
        <v>1.0</v>
      </c>
      <c r="H1823" s="3">
        <v>0.0</v>
      </c>
      <c r="I1823" s="1"/>
      <c r="J1823" s="3">
        <v>836.0</v>
      </c>
    </row>
    <row r="1824">
      <c r="A1824" s="3">
        <v>1737.0</v>
      </c>
      <c r="B1824" s="3">
        <v>1737.0</v>
      </c>
      <c r="C1824" s="3">
        <v>0.0</v>
      </c>
      <c r="D1824" s="3">
        <v>1.0</v>
      </c>
      <c r="E1824" s="1" t="s">
        <v>661</v>
      </c>
      <c r="F1824" s="3">
        <v>2.0</v>
      </c>
      <c r="G1824" s="3">
        <v>1.0</v>
      </c>
      <c r="H1824" s="3">
        <v>0.0</v>
      </c>
      <c r="I1824" s="1"/>
      <c r="J1824" s="3">
        <v>836.0</v>
      </c>
    </row>
    <row r="1825">
      <c r="A1825" s="3">
        <v>1738.0</v>
      </c>
      <c r="B1825" s="3">
        <v>1738.0</v>
      </c>
      <c r="C1825" s="3">
        <v>0.0</v>
      </c>
      <c r="D1825" s="3">
        <v>1.0</v>
      </c>
      <c r="E1825" s="1" t="s">
        <v>661</v>
      </c>
      <c r="F1825" s="3">
        <v>3.0</v>
      </c>
      <c r="G1825" s="3">
        <v>1.0</v>
      </c>
      <c r="H1825" s="3">
        <v>0.0</v>
      </c>
      <c r="I1825" s="1"/>
      <c r="J1825" s="3">
        <v>836.0</v>
      </c>
    </row>
    <row r="1826">
      <c r="A1826" s="3">
        <v>1739.0</v>
      </c>
      <c r="B1826" s="3">
        <v>1739.0</v>
      </c>
      <c r="C1826" s="3">
        <v>0.0</v>
      </c>
      <c r="D1826" s="3">
        <v>1.0</v>
      </c>
      <c r="E1826" s="1" t="s">
        <v>661</v>
      </c>
      <c r="F1826" s="3">
        <v>4.0</v>
      </c>
      <c r="G1826" s="3">
        <v>1.0</v>
      </c>
      <c r="H1826" s="3">
        <v>0.0</v>
      </c>
      <c r="I1826" s="1"/>
      <c r="J1826" s="3">
        <v>836.0</v>
      </c>
    </row>
    <row r="1827">
      <c r="A1827" s="3">
        <v>1740.0</v>
      </c>
      <c r="B1827" s="3">
        <v>1740.0</v>
      </c>
      <c r="C1827" s="3">
        <v>0.0</v>
      </c>
      <c r="D1827" s="3">
        <v>1.0</v>
      </c>
      <c r="E1827" s="1" t="s">
        <v>661</v>
      </c>
      <c r="F1827" s="3">
        <v>5.0</v>
      </c>
      <c r="G1827" s="3">
        <v>1.0</v>
      </c>
      <c r="H1827" s="3">
        <v>0.0</v>
      </c>
      <c r="I1827" s="1"/>
      <c r="J1827" s="3">
        <v>836.0</v>
      </c>
    </row>
    <row r="1828">
      <c r="A1828" s="3">
        <v>1741.0</v>
      </c>
      <c r="B1828" s="3">
        <v>1741.0</v>
      </c>
      <c r="C1828" s="3">
        <v>0.0</v>
      </c>
      <c r="D1828" s="3">
        <v>1.0</v>
      </c>
      <c r="E1828" s="1" t="s">
        <v>662</v>
      </c>
      <c r="F1828" s="3">
        <v>1.0</v>
      </c>
      <c r="G1828" s="3">
        <v>1.0</v>
      </c>
      <c r="H1828" s="3">
        <v>0.0</v>
      </c>
      <c r="I1828" s="1"/>
      <c r="J1828" s="3">
        <v>836.0</v>
      </c>
    </row>
    <row r="1829">
      <c r="A1829" s="3">
        <v>1742.0</v>
      </c>
      <c r="B1829" s="3">
        <v>1742.0</v>
      </c>
      <c r="C1829" s="3">
        <v>0.0</v>
      </c>
      <c r="D1829" s="3">
        <v>1.0</v>
      </c>
      <c r="E1829" s="1" t="s">
        <v>662</v>
      </c>
      <c r="F1829" s="3">
        <v>3.0</v>
      </c>
      <c r="G1829" s="3">
        <v>1.0</v>
      </c>
      <c r="H1829" s="3">
        <v>0.0</v>
      </c>
      <c r="I1829" s="1"/>
      <c r="J1829" s="3">
        <v>836.0</v>
      </c>
    </row>
    <row r="1830">
      <c r="A1830" s="3">
        <v>1743.0</v>
      </c>
      <c r="B1830" s="3">
        <v>1743.0</v>
      </c>
      <c r="C1830" s="3">
        <v>0.0</v>
      </c>
      <c r="D1830" s="3">
        <v>1.0</v>
      </c>
      <c r="E1830" s="1" t="s">
        <v>662</v>
      </c>
      <c r="F1830" s="3">
        <v>2.0</v>
      </c>
      <c r="G1830" s="3">
        <v>1.0</v>
      </c>
      <c r="H1830" s="3">
        <v>0.0</v>
      </c>
      <c r="I1830" s="1"/>
      <c r="J1830" s="3">
        <v>836.0</v>
      </c>
    </row>
    <row r="1831">
      <c r="A1831" s="3">
        <v>1744.0</v>
      </c>
      <c r="B1831" s="3">
        <v>1744.0</v>
      </c>
      <c r="C1831" s="3">
        <v>0.0</v>
      </c>
      <c r="D1831" s="3">
        <v>1.0</v>
      </c>
      <c r="E1831" s="1" t="s">
        <v>663</v>
      </c>
      <c r="F1831" s="3">
        <v>1.0</v>
      </c>
      <c r="G1831" s="3">
        <v>1.0</v>
      </c>
      <c r="H1831" s="3">
        <v>0.0</v>
      </c>
      <c r="I1831" s="1"/>
      <c r="J1831" s="3">
        <v>836.0</v>
      </c>
    </row>
    <row r="1832">
      <c r="A1832" s="3">
        <v>1745.0</v>
      </c>
      <c r="B1832" s="3">
        <v>1745.0</v>
      </c>
      <c r="C1832" s="3">
        <v>0.0</v>
      </c>
      <c r="D1832" s="3">
        <v>1.0</v>
      </c>
      <c r="E1832" s="1" t="s">
        <v>664</v>
      </c>
      <c r="F1832" s="1"/>
      <c r="G1832" s="3">
        <v>1.0</v>
      </c>
      <c r="H1832" s="3">
        <v>0.0</v>
      </c>
      <c r="I1832" s="1"/>
      <c r="J1832" s="3">
        <v>836.0</v>
      </c>
    </row>
    <row r="1833">
      <c r="A1833" s="3">
        <v>1746.0</v>
      </c>
      <c r="B1833" s="3">
        <v>1746.0</v>
      </c>
      <c r="C1833" s="3">
        <v>0.0</v>
      </c>
      <c r="D1833" s="3">
        <v>1.0</v>
      </c>
      <c r="E1833" s="1" t="s">
        <v>665</v>
      </c>
      <c r="F1833" s="3">
        <v>1.0</v>
      </c>
      <c r="G1833" s="3">
        <v>1.0</v>
      </c>
      <c r="H1833" s="3">
        <v>0.0</v>
      </c>
      <c r="I1833" s="1"/>
      <c r="J1833" s="3">
        <v>836.0</v>
      </c>
    </row>
    <row r="1834">
      <c r="A1834" s="3">
        <v>1747.0</v>
      </c>
      <c r="B1834" s="3">
        <v>1747.0</v>
      </c>
      <c r="C1834" s="3">
        <v>0.0</v>
      </c>
      <c r="D1834" s="3">
        <v>1.0</v>
      </c>
      <c r="E1834" s="1" t="s">
        <v>666</v>
      </c>
      <c r="F1834" s="3">
        <v>1.0</v>
      </c>
      <c r="G1834" s="3">
        <v>1.0</v>
      </c>
      <c r="H1834" s="3">
        <v>0.0</v>
      </c>
      <c r="I1834" s="1"/>
      <c r="J1834" s="3">
        <v>836.0</v>
      </c>
    </row>
    <row r="1835">
      <c r="A1835" s="3">
        <v>1748.0</v>
      </c>
      <c r="B1835" s="3">
        <v>1748.0</v>
      </c>
      <c r="C1835" s="3">
        <v>0.0</v>
      </c>
      <c r="D1835" s="3">
        <v>1.0</v>
      </c>
      <c r="E1835" s="1" t="s">
        <v>666</v>
      </c>
      <c r="F1835" s="3">
        <v>2.0</v>
      </c>
      <c r="G1835" s="3">
        <v>1.0</v>
      </c>
      <c r="H1835" s="3">
        <v>0.0</v>
      </c>
      <c r="I1835" s="1"/>
      <c r="J1835" s="3">
        <v>836.0</v>
      </c>
    </row>
    <row r="1836">
      <c r="A1836" s="3">
        <v>1749.0</v>
      </c>
      <c r="B1836" s="3">
        <v>1749.0</v>
      </c>
      <c r="C1836" s="3">
        <v>0.0</v>
      </c>
      <c r="D1836" s="3">
        <v>1.0</v>
      </c>
      <c r="E1836" s="1" t="s">
        <v>667</v>
      </c>
      <c r="F1836" s="3">
        <v>1.0</v>
      </c>
      <c r="G1836" s="3">
        <v>1.0</v>
      </c>
      <c r="H1836" s="3">
        <v>0.0</v>
      </c>
      <c r="I1836" s="1"/>
      <c r="J1836" s="3">
        <v>836.0</v>
      </c>
    </row>
    <row r="1837">
      <c r="A1837" s="3">
        <v>1750.0</v>
      </c>
      <c r="B1837" s="3">
        <v>1750.0</v>
      </c>
      <c r="C1837" s="3">
        <v>0.0</v>
      </c>
      <c r="D1837" s="3">
        <v>1.0</v>
      </c>
      <c r="E1837" s="1" t="s">
        <v>660</v>
      </c>
      <c r="F1837" s="3">
        <v>11.0</v>
      </c>
      <c r="G1837" s="3">
        <v>1.0</v>
      </c>
      <c r="H1837" s="3">
        <v>0.0</v>
      </c>
      <c r="I1837" s="1"/>
      <c r="J1837" s="3">
        <v>836.0</v>
      </c>
    </row>
    <row r="1838">
      <c r="A1838" s="3">
        <v>1751.0</v>
      </c>
      <c r="B1838" s="3">
        <v>1751.0</v>
      </c>
      <c r="C1838" s="3">
        <v>0.0</v>
      </c>
      <c r="D1838" s="3">
        <v>1.0</v>
      </c>
      <c r="E1838" s="1" t="s">
        <v>660</v>
      </c>
      <c r="F1838" s="3">
        <v>12.0</v>
      </c>
      <c r="G1838" s="3">
        <v>1.0</v>
      </c>
      <c r="H1838" s="3">
        <v>0.0</v>
      </c>
      <c r="I1838" s="1"/>
      <c r="J1838" s="3">
        <v>836.0</v>
      </c>
    </row>
    <row r="1839">
      <c r="A1839" s="3">
        <v>1752.0</v>
      </c>
      <c r="B1839" s="3">
        <v>1752.0</v>
      </c>
      <c r="C1839" s="3">
        <v>0.0</v>
      </c>
      <c r="D1839" s="3">
        <v>1.0</v>
      </c>
      <c r="E1839" s="1" t="s">
        <v>660</v>
      </c>
      <c r="F1839" s="3">
        <v>13.0</v>
      </c>
      <c r="G1839" s="3">
        <v>1.0</v>
      </c>
      <c r="H1839" s="3">
        <v>0.0</v>
      </c>
      <c r="I1839" s="1"/>
      <c r="J1839" s="3">
        <v>836.0</v>
      </c>
    </row>
    <row r="1840">
      <c r="A1840" s="3">
        <v>1753.0</v>
      </c>
      <c r="B1840" s="3">
        <v>1753.0</v>
      </c>
      <c r="C1840" s="3">
        <v>0.0</v>
      </c>
      <c r="D1840" s="3">
        <v>1.0</v>
      </c>
      <c r="E1840" s="1" t="s">
        <v>667</v>
      </c>
      <c r="F1840" s="3">
        <v>2.0</v>
      </c>
      <c r="G1840" s="3">
        <v>1.0</v>
      </c>
      <c r="H1840" s="3">
        <v>0.0</v>
      </c>
      <c r="I1840" s="1"/>
      <c r="J1840" s="3">
        <v>836.0</v>
      </c>
    </row>
    <row r="1841">
      <c r="A1841" s="3">
        <v>1754.0</v>
      </c>
      <c r="B1841" s="3">
        <v>1754.0</v>
      </c>
      <c r="C1841" s="3">
        <v>0.0</v>
      </c>
      <c r="D1841" s="3">
        <v>1.0</v>
      </c>
      <c r="E1841" s="1" t="s">
        <v>656</v>
      </c>
      <c r="F1841" s="1"/>
      <c r="G1841" s="3">
        <v>1.0</v>
      </c>
      <c r="H1841" s="3">
        <v>0.0</v>
      </c>
      <c r="I1841" s="1"/>
      <c r="J1841" s="3">
        <v>836.0</v>
      </c>
    </row>
    <row r="1842">
      <c r="A1842" s="3">
        <v>1800.0</v>
      </c>
      <c r="B1842" s="3">
        <v>1800.0</v>
      </c>
      <c r="C1842" s="3">
        <v>363.0</v>
      </c>
      <c r="D1842" s="3">
        <v>1.0</v>
      </c>
      <c r="E1842" s="1" t="s">
        <v>668</v>
      </c>
      <c r="F1842" s="1" t="s">
        <v>19</v>
      </c>
      <c r="G1842" s="3">
        <v>1.0</v>
      </c>
      <c r="H1842" s="3">
        <v>0.0</v>
      </c>
      <c r="I1842" s="1"/>
      <c r="J1842" s="3">
        <v>836.0</v>
      </c>
    </row>
    <row r="1843">
      <c r="A1843" s="3">
        <v>1801.0</v>
      </c>
      <c r="B1843" s="3">
        <v>1801.0</v>
      </c>
      <c r="C1843" s="3">
        <v>364.0</v>
      </c>
      <c r="D1843" s="3">
        <v>1.0</v>
      </c>
      <c r="E1843" s="1" t="s">
        <v>668</v>
      </c>
      <c r="F1843" s="1" t="s">
        <v>35</v>
      </c>
      <c r="G1843" s="3">
        <v>1.0</v>
      </c>
      <c r="H1843" s="3">
        <v>0.0</v>
      </c>
      <c r="I1843" s="1"/>
      <c r="J1843" s="3">
        <v>836.0</v>
      </c>
    </row>
    <row r="1844">
      <c r="A1844" s="3">
        <v>1802.0</v>
      </c>
      <c r="B1844" s="3">
        <v>1802.0</v>
      </c>
      <c r="C1844" s="3">
        <v>855.0</v>
      </c>
      <c r="D1844" s="3">
        <v>1.0</v>
      </c>
      <c r="E1844" s="1" t="s">
        <v>669</v>
      </c>
      <c r="F1844" s="1" t="s">
        <v>495</v>
      </c>
      <c r="G1844" s="3">
        <v>1.0</v>
      </c>
      <c r="H1844" s="3">
        <v>0.0</v>
      </c>
      <c r="I1844" s="1"/>
      <c r="J1844" s="3">
        <v>836.0</v>
      </c>
    </row>
    <row r="1845">
      <c r="A1845" s="3">
        <v>1803.0</v>
      </c>
      <c r="B1845" s="3">
        <v>1803.0</v>
      </c>
      <c r="C1845" s="3">
        <v>211.0</v>
      </c>
      <c r="D1845" s="3">
        <v>1.0</v>
      </c>
      <c r="E1845" s="1" t="s">
        <v>670</v>
      </c>
      <c r="F1845" s="1"/>
      <c r="G1845" s="3">
        <v>1.0</v>
      </c>
      <c r="H1845" s="3">
        <v>0.0</v>
      </c>
      <c r="I1845" s="1"/>
      <c r="J1845" s="3">
        <v>836.0</v>
      </c>
    </row>
    <row r="1846">
      <c r="A1846" s="3">
        <v>1804.0</v>
      </c>
      <c r="B1846" s="3">
        <v>1804.0</v>
      </c>
      <c r="C1846" s="3">
        <v>646.0</v>
      </c>
      <c r="D1846" s="3">
        <v>1.0</v>
      </c>
      <c r="E1846" s="1" t="s">
        <v>671</v>
      </c>
      <c r="F1846" s="1" t="s">
        <v>672</v>
      </c>
      <c r="G1846" s="3">
        <v>1.0</v>
      </c>
      <c r="H1846" s="3">
        <v>0.0</v>
      </c>
      <c r="I1846" s="1"/>
      <c r="J1846" s="3">
        <v>836.0</v>
      </c>
    </row>
    <row r="1847">
      <c r="A1847" s="3">
        <v>1805.0</v>
      </c>
      <c r="B1847" s="3">
        <v>1805.0</v>
      </c>
      <c r="C1847" s="3">
        <v>1059.0</v>
      </c>
      <c r="D1847" s="3">
        <v>1.0</v>
      </c>
      <c r="E1847" s="1" t="s">
        <v>36</v>
      </c>
      <c r="F1847" s="1" t="s">
        <v>15</v>
      </c>
      <c r="G1847" s="3">
        <v>1.0</v>
      </c>
      <c r="H1847" s="3">
        <v>0.0</v>
      </c>
      <c r="I1847" s="1"/>
      <c r="J1847" s="3">
        <v>836.0</v>
      </c>
    </row>
    <row r="1848">
      <c r="A1848" s="3">
        <v>1806.0</v>
      </c>
      <c r="B1848" s="3">
        <v>1806.0</v>
      </c>
      <c r="C1848" s="3">
        <v>1084.0</v>
      </c>
      <c r="D1848" s="3">
        <v>1.0</v>
      </c>
      <c r="E1848" s="1" t="s">
        <v>36</v>
      </c>
      <c r="F1848" s="1" t="s">
        <v>173</v>
      </c>
      <c r="G1848" s="3">
        <v>1.0</v>
      </c>
      <c r="H1848" s="3">
        <v>0.0</v>
      </c>
      <c r="I1848" s="1"/>
      <c r="J1848" s="3">
        <v>836.0</v>
      </c>
    </row>
    <row r="1849">
      <c r="A1849" s="3">
        <v>1807.0</v>
      </c>
      <c r="B1849" s="3">
        <v>1807.0</v>
      </c>
      <c r="C1849" s="3">
        <v>1060.0</v>
      </c>
      <c r="D1849" s="3">
        <v>1.0</v>
      </c>
      <c r="E1849" s="1" t="s">
        <v>36</v>
      </c>
      <c r="F1849" s="1" t="s">
        <v>19</v>
      </c>
      <c r="G1849" s="3">
        <v>1.0</v>
      </c>
      <c r="H1849" s="3">
        <v>0.0</v>
      </c>
      <c r="I1849" s="1"/>
      <c r="J1849" s="3">
        <v>836.0</v>
      </c>
    </row>
    <row r="1850">
      <c r="A1850" s="3">
        <v>1808.0</v>
      </c>
      <c r="B1850" s="3">
        <v>1808.0</v>
      </c>
      <c r="C1850" s="3">
        <v>1085.0</v>
      </c>
      <c r="D1850" s="3">
        <v>1.0</v>
      </c>
      <c r="E1850" s="1" t="s">
        <v>36</v>
      </c>
      <c r="F1850" s="1" t="s">
        <v>673</v>
      </c>
      <c r="G1850" s="3">
        <v>1.0</v>
      </c>
      <c r="H1850" s="3">
        <v>0.0</v>
      </c>
      <c r="I1850" s="1"/>
      <c r="J1850" s="3">
        <v>836.0</v>
      </c>
    </row>
    <row r="1851">
      <c r="A1851" s="3">
        <v>1809.0</v>
      </c>
      <c r="B1851" s="3">
        <v>1809.0</v>
      </c>
      <c r="C1851" s="3">
        <v>1097.0</v>
      </c>
      <c r="D1851" s="3">
        <v>1.0</v>
      </c>
      <c r="E1851" s="1" t="s">
        <v>36</v>
      </c>
      <c r="F1851" s="1" t="s">
        <v>35</v>
      </c>
      <c r="G1851" s="3">
        <v>1.0</v>
      </c>
      <c r="H1851" s="3">
        <v>0.0</v>
      </c>
      <c r="I1851" s="1"/>
      <c r="J1851" s="3">
        <v>836.0</v>
      </c>
    </row>
    <row r="1852">
      <c r="A1852" s="3">
        <v>1810.0</v>
      </c>
      <c r="B1852" s="3">
        <v>1810.0</v>
      </c>
      <c r="C1852" s="3">
        <v>1086.0</v>
      </c>
      <c r="D1852" s="3">
        <v>1.0</v>
      </c>
      <c r="E1852" s="1" t="s">
        <v>36</v>
      </c>
      <c r="F1852" s="1" t="s">
        <v>674</v>
      </c>
      <c r="G1852" s="3">
        <v>1.0</v>
      </c>
      <c r="H1852" s="3">
        <v>0.0</v>
      </c>
      <c r="I1852" s="1"/>
      <c r="J1852" s="3">
        <v>836.0</v>
      </c>
    </row>
    <row r="1853">
      <c r="A1853" s="3">
        <v>1811.0</v>
      </c>
      <c r="B1853" s="3">
        <v>1811.0</v>
      </c>
      <c r="C1853" s="3">
        <v>1061.0</v>
      </c>
      <c r="D1853" s="3">
        <v>1.0</v>
      </c>
      <c r="E1853" s="1" t="s">
        <v>36</v>
      </c>
      <c r="F1853" s="1" t="s">
        <v>126</v>
      </c>
      <c r="G1853" s="3">
        <v>1.0</v>
      </c>
      <c r="H1853" s="3">
        <v>0.0</v>
      </c>
      <c r="I1853" s="1"/>
      <c r="J1853" s="3">
        <v>836.0</v>
      </c>
    </row>
    <row r="1854">
      <c r="A1854" s="3">
        <v>1812.0</v>
      </c>
      <c r="B1854" s="3">
        <v>1812.0</v>
      </c>
      <c r="C1854" s="3">
        <v>1087.0</v>
      </c>
      <c r="D1854" s="3">
        <v>1.0</v>
      </c>
      <c r="E1854" s="1" t="s">
        <v>36</v>
      </c>
      <c r="F1854" s="1" t="s">
        <v>675</v>
      </c>
      <c r="G1854" s="3">
        <v>1.0</v>
      </c>
      <c r="H1854" s="3">
        <v>0.0</v>
      </c>
      <c r="I1854" s="1"/>
      <c r="J1854" s="3">
        <v>836.0</v>
      </c>
    </row>
    <row r="1855">
      <c r="A1855" s="3">
        <v>1813.0</v>
      </c>
      <c r="B1855" s="3">
        <v>1813.0</v>
      </c>
      <c r="C1855" s="3">
        <v>1098.0</v>
      </c>
      <c r="D1855" s="3">
        <v>1.0</v>
      </c>
      <c r="E1855" s="1" t="s">
        <v>36</v>
      </c>
      <c r="F1855" s="1" t="s">
        <v>676</v>
      </c>
      <c r="G1855" s="3">
        <v>1.0</v>
      </c>
      <c r="H1855" s="3">
        <v>0.0</v>
      </c>
      <c r="I1855" s="1"/>
      <c r="J1855" s="3">
        <v>836.0</v>
      </c>
    </row>
    <row r="1856">
      <c r="A1856" s="3">
        <v>1814.0</v>
      </c>
      <c r="B1856" s="3">
        <v>1814.0</v>
      </c>
      <c r="C1856" s="3">
        <v>1063.0</v>
      </c>
      <c r="D1856" s="3">
        <v>1.0</v>
      </c>
      <c r="E1856" s="1" t="s">
        <v>36</v>
      </c>
      <c r="F1856" s="1" t="s">
        <v>188</v>
      </c>
      <c r="G1856" s="3">
        <v>1.0</v>
      </c>
      <c r="H1856" s="3">
        <v>0.0</v>
      </c>
      <c r="I1856" s="1"/>
      <c r="J1856" s="3">
        <v>836.0</v>
      </c>
    </row>
    <row r="1857">
      <c r="A1857" s="3">
        <v>1815.0</v>
      </c>
      <c r="B1857" s="3">
        <v>1815.0</v>
      </c>
      <c r="C1857" s="3">
        <v>1088.0</v>
      </c>
      <c r="D1857" s="3">
        <v>1.0</v>
      </c>
      <c r="E1857" s="1" t="s">
        <v>36</v>
      </c>
      <c r="F1857" s="1" t="s">
        <v>677</v>
      </c>
      <c r="G1857" s="3">
        <v>1.0</v>
      </c>
      <c r="H1857" s="3">
        <v>0.0</v>
      </c>
      <c r="I1857" s="1"/>
      <c r="J1857" s="3">
        <v>836.0</v>
      </c>
    </row>
    <row r="1858">
      <c r="A1858" s="3">
        <v>1816.0</v>
      </c>
      <c r="B1858" s="3">
        <v>1816.0</v>
      </c>
      <c r="C1858" s="3">
        <v>1064.0</v>
      </c>
      <c r="D1858" s="3">
        <v>1.0</v>
      </c>
      <c r="E1858" s="1" t="s">
        <v>36</v>
      </c>
      <c r="F1858" s="1" t="s">
        <v>200</v>
      </c>
      <c r="G1858" s="3">
        <v>1.0</v>
      </c>
      <c r="H1858" s="3">
        <v>0.0</v>
      </c>
      <c r="I1858" s="1"/>
      <c r="J1858" s="3">
        <v>836.0</v>
      </c>
    </row>
    <row r="1859">
      <c r="A1859" s="3">
        <v>1817.0</v>
      </c>
      <c r="B1859" s="3">
        <v>1817.0</v>
      </c>
      <c r="C1859" s="3">
        <v>1065.0</v>
      </c>
      <c r="D1859" s="3">
        <v>1.0</v>
      </c>
      <c r="E1859" s="1" t="s">
        <v>36</v>
      </c>
      <c r="F1859" s="1" t="s">
        <v>189</v>
      </c>
      <c r="G1859" s="3">
        <v>1.0</v>
      </c>
      <c r="H1859" s="3">
        <v>0.0</v>
      </c>
      <c r="I1859" s="1"/>
      <c r="J1859" s="3">
        <v>836.0</v>
      </c>
    </row>
    <row r="1860">
      <c r="A1860" s="3">
        <v>1818.0</v>
      </c>
      <c r="B1860" s="3">
        <v>1818.0</v>
      </c>
      <c r="C1860" s="3">
        <v>1090.0</v>
      </c>
      <c r="D1860" s="3">
        <v>1.0</v>
      </c>
      <c r="E1860" s="1" t="s">
        <v>36</v>
      </c>
      <c r="F1860" s="1" t="s">
        <v>678</v>
      </c>
      <c r="G1860" s="3">
        <v>1.0</v>
      </c>
      <c r="H1860" s="3">
        <v>0.0</v>
      </c>
      <c r="I1860" s="1"/>
      <c r="J1860" s="3">
        <v>836.0</v>
      </c>
    </row>
    <row r="1861">
      <c r="A1861" s="3">
        <v>1819.0</v>
      </c>
      <c r="B1861" s="3">
        <v>1819.0</v>
      </c>
      <c r="C1861" s="3">
        <v>1066.0</v>
      </c>
      <c r="D1861" s="3">
        <v>1.0</v>
      </c>
      <c r="E1861" s="1" t="s">
        <v>36</v>
      </c>
      <c r="F1861" s="1" t="s">
        <v>494</v>
      </c>
      <c r="G1861" s="3">
        <v>1.0</v>
      </c>
      <c r="H1861" s="3">
        <v>0.0</v>
      </c>
      <c r="I1861" s="1"/>
      <c r="J1861" s="3">
        <v>836.0</v>
      </c>
    </row>
    <row r="1862">
      <c r="A1862" s="3">
        <v>1820.0</v>
      </c>
      <c r="B1862" s="3">
        <v>1820.0</v>
      </c>
      <c r="C1862" s="3">
        <v>1093.0</v>
      </c>
      <c r="D1862" s="3">
        <v>1.0</v>
      </c>
      <c r="E1862" s="1" t="s">
        <v>36</v>
      </c>
      <c r="F1862" s="1" t="s">
        <v>679</v>
      </c>
      <c r="G1862" s="3">
        <v>1.0</v>
      </c>
      <c r="H1862" s="3">
        <v>0.0</v>
      </c>
      <c r="I1862" s="1"/>
      <c r="J1862" s="3">
        <v>836.0</v>
      </c>
    </row>
    <row r="1863">
      <c r="A1863" s="3">
        <v>1821.0</v>
      </c>
      <c r="B1863" s="3">
        <v>1821.0</v>
      </c>
      <c r="C1863" s="3">
        <v>1068.0</v>
      </c>
      <c r="D1863" s="3">
        <v>1.0</v>
      </c>
      <c r="E1863" s="1" t="s">
        <v>36</v>
      </c>
      <c r="F1863" s="1" t="s">
        <v>491</v>
      </c>
      <c r="G1863" s="3">
        <v>1.0</v>
      </c>
      <c r="H1863" s="3">
        <v>0.0</v>
      </c>
      <c r="I1863" s="1"/>
      <c r="J1863" s="3">
        <v>836.0</v>
      </c>
    </row>
    <row r="1864">
      <c r="A1864" s="3">
        <v>1822.0</v>
      </c>
      <c r="B1864" s="3">
        <v>1822.0</v>
      </c>
      <c r="C1864" s="3">
        <v>1099.0</v>
      </c>
      <c r="D1864" s="3">
        <v>1.0</v>
      </c>
      <c r="E1864" s="1" t="s">
        <v>36</v>
      </c>
      <c r="F1864" s="1" t="s">
        <v>680</v>
      </c>
      <c r="G1864" s="3">
        <v>1.0</v>
      </c>
      <c r="H1864" s="3">
        <v>0.0</v>
      </c>
      <c r="I1864" s="1"/>
      <c r="J1864" s="3">
        <v>836.0</v>
      </c>
    </row>
    <row r="1865">
      <c r="A1865" s="3">
        <v>1823.0</v>
      </c>
      <c r="B1865" s="3">
        <v>1823.0</v>
      </c>
      <c r="C1865" s="3">
        <v>1069.0</v>
      </c>
      <c r="D1865" s="3">
        <v>1.0</v>
      </c>
      <c r="E1865" s="1" t="s">
        <v>36</v>
      </c>
      <c r="F1865" s="1" t="s">
        <v>492</v>
      </c>
      <c r="G1865" s="3">
        <v>1.0</v>
      </c>
      <c r="H1865" s="3">
        <v>0.0</v>
      </c>
      <c r="I1865" s="1"/>
      <c r="J1865" s="3">
        <v>836.0</v>
      </c>
    </row>
    <row r="1866">
      <c r="A1866" s="3">
        <v>1824.0</v>
      </c>
      <c r="B1866" s="3">
        <v>1824.0</v>
      </c>
      <c r="C1866" s="3">
        <v>1100.0</v>
      </c>
      <c r="D1866" s="3">
        <v>1.0</v>
      </c>
      <c r="E1866" s="1" t="s">
        <v>36</v>
      </c>
      <c r="F1866" s="1" t="s">
        <v>681</v>
      </c>
      <c r="G1866" s="3">
        <v>1.0</v>
      </c>
      <c r="H1866" s="3">
        <v>0.0</v>
      </c>
      <c r="I1866" s="1"/>
      <c r="J1866" s="3">
        <v>836.0</v>
      </c>
    </row>
    <row r="1867">
      <c r="A1867" s="3">
        <v>1825.0</v>
      </c>
      <c r="B1867" s="3">
        <v>1825.0</v>
      </c>
      <c r="C1867" s="3">
        <v>1070.0</v>
      </c>
      <c r="D1867" s="3">
        <v>1.0</v>
      </c>
      <c r="E1867" s="1" t="s">
        <v>36</v>
      </c>
      <c r="F1867" s="1" t="s">
        <v>493</v>
      </c>
      <c r="G1867" s="3">
        <v>1.0</v>
      </c>
      <c r="H1867" s="3">
        <v>0.0</v>
      </c>
      <c r="I1867" s="1"/>
      <c r="J1867" s="3">
        <v>836.0</v>
      </c>
    </row>
    <row r="1868">
      <c r="A1868" s="3">
        <v>1826.0</v>
      </c>
      <c r="B1868" s="3">
        <v>1826.0</v>
      </c>
      <c r="C1868" s="3">
        <v>1071.0</v>
      </c>
      <c r="D1868" s="3">
        <v>1.0</v>
      </c>
      <c r="E1868" s="1" t="s">
        <v>36</v>
      </c>
      <c r="F1868" s="1" t="s">
        <v>495</v>
      </c>
      <c r="G1868" s="3">
        <v>1.0</v>
      </c>
      <c r="H1868" s="3">
        <v>0.0</v>
      </c>
      <c r="I1868" s="1"/>
      <c r="J1868" s="3">
        <v>836.0</v>
      </c>
    </row>
    <row r="1869">
      <c r="A1869" s="3">
        <v>1827.0</v>
      </c>
      <c r="B1869" s="3">
        <v>1827.0</v>
      </c>
      <c r="C1869" s="3">
        <v>1072.0</v>
      </c>
      <c r="D1869" s="3">
        <v>1.0</v>
      </c>
      <c r="E1869" s="1" t="s">
        <v>36</v>
      </c>
      <c r="F1869" s="1" t="s">
        <v>682</v>
      </c>
      <c r="G1869" s="3">
        <v>1.0</v>
      </c>
      <c r="H1869" s="3">
        <v>0.0</v>
      </c>
      <c r="I1869" s="1"/>
      <c r="J1869" s="3">
        <v>836.0</v>
      </c>
    </row>
    <row r="1870">
      <c r="A1870" s="3">
        <v>1828.0</v>
      </c>
      <c r="B1870" s="3">
        <v>1828.0</v>
      </c>
      <c r="C1870" s="3">
        <v>1073.0</v>
      </c>
      <c r="D1870" s="3">
        <v>1.0</v>
      </c>
      <c r="E1870" s="1" t="s">
        <v>36</v>
      </c>
      <c r="F1870" s="1" t="s">
        <v>683</v>
      </c>
      <c r="G1870" s="3">
        <v>1.0</v>
      </c>
      <c r="H1870" s="3">
        <v>0.0</v>
      </c>
      <c r="I1870" s="1"/>
      <c r="J1870" s="3">
        <v>836.0</v>
      </c>
    </row>
    <row r="1871">
      <c r="A1871" s="3">
        <v>1829.0</v>
      </c>
      <c r="B1871" s="3">
        <v>1829.0</v>
      </c>
      <c r="C1871" s="3">
        <v>1075.0</v>
      </c>
      <c r="D1871" s="3">
        <v>1.0</v>
      </c>
      <c r="E1871" s="1" t="s">
        <v>36</v>
      </c>
      <c r="F1871" s="1" t="s">
        <v>684</v>
      </c>
      <c r="G1871" s="3">
        <v>1.0</v>
      </c>
      <c r="H1871" s="3">
        <v>0.0</v>
      </c>
      <c r="I1871" s="1"/>
      <c r="J1871" s="3">
        <v>836.0</v>
      </c>
    </row>
    <row r="1872">
      <c r="A1872" s="3">
        <v>1830.0</v>
      </c>
      <c r="B1872" s="3">
        <v>1830.0</v>
      </c>
      <c r="C1872" s="3">
        <v>1077.0</v>
      </c>
      <c r="D1872" s="3">
        <v>1.0</v>
      </c>
      <c r="E1872" s="1" t="s">
        <v>36</v>
      </c>
      <c r="F1872" s="1" t="s">
        <v>685</v>
      </c>
      <c r="G1872" s="3">
        <v>1.0</v>
      </c>
      <c r="H1872" s="3">
        <v>0.0</v>
      </c>
      <c r="I1872" s="1"/>
      <c r="J1872" s="3">
        <v>836.0</v>
      </c>
    </row>
    <row r="1873">
      <c r="A1873" s="3">
        <v>1831.0</v>
      </c>
      <c r="B1873" s="3">
        <v>1831.0</v>
      </c>
      <c r="C1873" s="3">
        <v>1078.0</v>
      </c>
      <c r="D1873" s="3">
        <v>1.0</v>
      </c>
      <c r="E1873" s="1" t="s">
        <v>36</v>
      </c>
      <c r="F1873" s="1" t="s">
        <v>686</v>
      </c>
      <c r="G1873" s="3">
        <v>1.0</v>
      </c>
      <c r="H1873" s="3">
        <v>0.0</v>
      </c>
      <c r="I1873" s="1"/>
      <c r="J1873" s="3">
        <v>836.0</v>
      </c>
    </row>
    <row r="1874">
      <c r="A1874" s="3">
        <v>1832.0</v>
      </c>
      <c r="B1874" s="3">
        <v>1832.0</v>
      </c>
      <c r="C1874" s="3">
        <v>1079.0</v>
      </c>
      <c r="D1874" s="3">
        <v>1.0</v>
      </c>
      <c r="E1874" s="1" t="s">
        <v>36</v>
      </c>
      <c r="F1874" s="1" t="s">
        <v>687</v>
      </c>
      <c r="G1874" s="3">
        <v>1.0</v>
      </c>
      <c r="H1874" s="3">
        <v>0.0</v>
      </c>
      <c r="I1874" s="1"/>
      <c r="J1874" s="3">
        <v>836.0</v>
      </c>
    </row>
    <row r="1875">
      <c r="A1875" s="3">
        <v>1833.0</v>
      </c>
      <c r="B1875" s="3">
        <v>1833.0</v>
      </c>
      <c r="C1875" s="3">
        <v>1081.0</v>
      </c>
      <c r="D1875" s="3">
        <v>1.0</v>
      </c>
      <c r="E1875" s="1" t="s">
        <v>36</v>
      </c>
      <c r="F1875" s="1" t="s">
        <v>688</v>
      </c>
      <c r="G1875" s="3">
        <v>1.0</v>
      </c>
      <c r="H1875" s="3">
        <v>0.0</v>
      </c>
      <c r="I1875" s="1"/>
      <c r="J1875" s="3">
        <v>836.0</v>
      </c>
    </row>
    <row r="1876">
      <c r="A1876" s="3">
        <v>1834.0</v>
      </c>
      <c r="B1876" s="3">
        <v>1834.0</v>
      </c>
      <c r="C1876" s="3">
        <v>1082.0</v>
      </c>
      <c r="D1876" s="3">
        <v>1.0</v>
      </c>
      <c r="E1876" s="1" t="s">
        <v>36</v>
      </c>
      <c r="F1876" s="1" t="s">
        <v>689</v>
      </c>
      <c r="G1876" s="3">
        <v>1.0</v>
      </c>
      <c r="H1876" s="3">
        <v>0.0</v>
      </c>
      <c r="I1876" s="1"/>
      <c r="J1876" s="3">
        <v>836.0</v>
      </c>
    </row>
    <row r="1877">
      <c r="A1877" s="3">
        <v>1835.0</v>
      </c>
      <c r="B1877" s="3">
        <v>1835.0</v>
      </c>
      <c r="C1877" s="3">
        <v>1083.0</v>
      </c>
      <c r="D1877" s="3">
        <v>1.0</v>
      </c>
      <c r="E1877" s="1" t="s">
        <v>36</v>
      </c>
      <c r="F1877" s="1" t="s">
        <v>690</v>
      </c>
      <c r="G1877" s="3">
        <v>1.0</v>
      </c>
      <c r="H1877" s="3">
        <v>0.0</v>
      </c>
      <c r="I1877" s="1"/>
      <c r="J1877" s="3">
        <v>836.0</v>
      </c>
    </row>
    <row r="1878">
      <c r="A1878" s="3">
        <v>1836.0</v>
      </c>
      <c r="B1878" s="3">
        <v>1836.0</v>
      </c>
      <c r="C1878" s="3">
        <v>134.0</v>
      </c>
      <c r="D1878" s="3">
        <v>1.0</v>
      </c>
      <c r="E1878" s="1" t="s">
        <v>691</v>
      </c>
      <c r="F1878" s="1" t="s">
        <v>200</v>
      </c>
      <c r="G1878" s="3">
        <v>1.0</v>
      </c>
      <c r="H1878" s="3">
        <v>0.0</v>
      </c>
      <c r="I1878" s="1"/>
      <c r="J1878" s="3">
        <v>836.0</v>
      </c>
    </row>
    <row r="1879">
      <c r="A1879" s="3">
        <v>1837.0</v>
      </c>
      <c r="B1879" s="3">
        <v>1837.0</v>
      </c>
      <c r="C1879" s="3">
        <v>797.0</v>
      </c>
      <c r="D1879" s="3">
        <v>1.0</v>
      </c>
      <c r="E1879" s="1" t="s">
        <v>692</v>
      </c>
      <c r="F1879" s="1"/>
      <c r="G1879" s="3">
        <v>1.0</v>
      </c>
      <c r="H1879" s="3">
        <v>0.0</v>
      </c>
      <c r="I1879" s="1"/>
      <c r="J1879" s="3">
        <v>836.0</v>
      </c>
    </row>
    <row r="1880">
      <c r="A1880" s="3">
        <v>1838.0</v>
      </c>
      <c r="B1880" s="3">
        <v>1838.0</v>
      </c>
      <c r="C1880" s="3">
        <v>642.0</v>
      </c>
      <c r="D1880" s="3">
        <v>1.0</v>
      </c>
      <c r="E1880" s="2" t="s">
        <v>693</v>
      </c>
      <c r="F1880" s="1"/>
      <c r="G1880" s="3">
        <v>1.0</v>
      </c>
      <c r="H1880" s="3">
        <v>0.0</v>
      </c>
      <c r="I1880" s="1"/>
      <c r="J1880" s="3">
        <v>836.0</v>
      </c>
    </row>
    <row r="1881">
      <c r="A1881" s="3">
        <v>1839.0</v>
      </c>
      <c r="B1881" s="3">
        <v>1839.0</v>
      </c>
      <c r="C1881" s="3">
        <v>69.0</v>
      </c>
      <c r="D1881" s="3">
        <v>1.0</v>
      </c>
      <c r="E1881" s="1" t="s">
        <v>694</v>
      </c>
      <c r="F1881" s="1"/>
      <c r="G1881" s="3">
        <v>1.0</v>
      </c>
      <c r="H1881" s="3">
        <v>0.0</v>
      </c>
      <c r="I1881" s="1"/>
      <c r="J1881" s="3">
        <v>836.0</v>
      </c>
    </row>
    <row r="1882">
      <c r="A1882" s="3">
        <v>1840.0</v>
      </c>
      <c r="B1882" s="3">
        <v>1840.0</v>
      </c>
      <c r="C1882" s="3">
        <v>253.0</v>
      </c>
      <c r="D1882" s="3">
        <v>1.0</v>
      </c>
      <c r="E1882" s="1" t="s">
        <v>92</v>
      </c>
      <c r="F1882" s="3">
        <v>1.0</v>
      </c>
      <c r="G1882" s="3">
        <v>1.0</v>
      </c>
      <c r="H1882" s="3">
        <v>0.0</v>
      </c>
      <c r="I1882" s="1"/>
      <c r="J1882" s="3">
        <v>836.0</v>
      </c>
    </row>
    <row r="1883">
      <c r="A1883" s="3">
        <v>1841.0</v>
      </c>
      <c r="B1883" s="3">
        <v>1841.0</v>
      </c>
      <c r="C1883" s="3">
        <v>496.0</v>
      </c>
      <c r="D1883" s="3">
        <v>1.0</v>
      </c>
      <c r="E1883" s="2" t="s">
        <v>695</v>
      </c>
      <c r="F1883" s="1"/>
      <c r="G1883" s="3">
        <v>1.0</v>
      </c>
      <c r="H1883" s="3">
        <v>0.0</v>
      </c>
      <c r="I1883" s="1"/>
      <c r="J1883" s="3">
        <v>836.0</v>
      </c>
    </row>
    <row r="1884">
      <c r="A1884" s="3">
        <v>1842.0</v>
      </c>
      <c r="B1884" s="3">
        <v>1842.0</v>
      </c>
      <c r="C1884" s="3">
        <v>179.0</v>
      </c>
      <c r="D1884" s="3">
        <v>1.0</v>
      </c>
      <c r="E1884" s="2" t="s">
        <v>696</v>
      </c>
      <c r="F1884" s="1"/>
      <c r="G1884" s="3">
        <v>1.0</v>
      </c>
      <c r="H1884" s="3">
        <v>0.0</v>
      </c>
      <c r="I1884" s="1"/>
      <c r="J1884" s="3">
        <v>836.0</v>
      </c>
    </row>
    <row r="1885">
      <c r="A1885" s="3">
        <v>1843.0</v>
      </c>
      <c r="B1885" s="3">
        <v>1843.0</v>
      </c>
      <c r="C1885" s="3">
        <v>46.0</v>
      </c>
      <c r="D1885" s="3">
        <v>1.0</v>
      </c>
      <c r="E1885" s="1" t="s">
        <v>697</v>
      </c>
      <c r="F1885" s="1"/>
      <c r="G1885" s="3">
        <v>1.0</v>
      </c>
      <c r="H1885" s="3">
        <v>0.0</v>
      </c>
      <c r="I1885" s="1"/>
      <c r="J1885" s="3">
        <v>836.0</v>
      </c>
    </row>
    <row r="1886">
      <c r="A1886" s="3">
        <v>1847.0</v>
      </c>
      <c r="B1886" s="3">
        <v>1847.0</v>
      </c>
      <c r="C1886" s="3">
        <v>41.0</v>
      </c>
      <c r="D1886" s="3">
        <v>1.0</v>
      </c>
      <c r="E1886" s="1" t="s">
        <v>698</v>
      </c>
      <c r="F1886" s="3">
        <v>26.0</v>
      </c>
      <c r="G1886" s="3">
        <v>1.0</v>
      </c>
      <c r="H1886" s="3">
        <v>0.0</v>
      </c>
      <c r="I1886" s="1"/>
      <c r="J1886" s="3">
        <v>836.0</v>
      </c>
    </row>
    <row r="1887">
      <c r="A1887" s="3">
        <v>1848.0</v>
      </c>
      <c r="B1887" s="3">
        <v>1848.0</v>
      </c>
      <c r="C1887" s="3">
        <v>125.0</v>
      </c>
      <c r="D1887" s="3">
        <v>1.0</v>
      </c>
      <c r="E1887" s="1" t="s">
        <v>698</v>
      </c>
      <c r="F1887" s="3">
        <v>29.0</v>
      </c>
      <c r="G1887" s="3">
        <v>1.0</v>
      </c>
      <c r="H1887" s="3">
        <v>0.0</v>
      </c>
      <c r="I1887" s="1"/>
      <c r="J1887" s="3">
        <v>836.0</v>
      </c>
    </row>
    <row r="1888">
      <c r="A1888" s="3">
        <v>1849.0</v>
      </c>
      <c r="B1888" s="3">
        <v>1849.0</v>
      </c>
      <c r="C1888" s="3">
        <v>44.0</v>
      </c>
      <c r="D1888" s="3">
        <v>1.0</v>
      </c>
      <c r="E1888" s="1" t="s">
        <v>698</v>
      </c>
      <c r="F1888" s="3">
        <v>31.0</v>
      </c>
      <c r="G1888" s="3">
        <v>1.0</v>
      </c>
      <c r="H1888" s="3">
        <v>0.0</v>
      </c>
      <c r="I1888" s="1"/>
      <c r="J1888" s="3">
        <v>836.0</v>
      </c>
    </row>
    <row r="1889">
      <c r="A1889" s="3">
        <v>1850.0</v>
      </c>
      <c r="B1889" s="3">
        <v>1850.0</v>
      </c>
      <c r="C1889" s="3">
        <v>124.0</v>
      </c>
      <c r="D1889" s="3">
        <v>1.0</v>
      </c>
      <c r="E1889" s="1" t="s">
        <v>698</v>
      </c>
      <c r="F1889" s="3">
        <v>32.0</v>
      </c>
      <c r="G1889" s="3">
        <v>1.0</v>
      </c>
      <c r="H1889" s="3">
        <v>0.0</v>
      </c>
      <c r="I1889" s="1"/>
      <c r="J1889" s="3">
        <v>836.0</v>
      </c>
    </row>
    <row r="1890">
      <c r="A1890" s="3">
        <v>1851.0</v>
      </c>
      <c r="B1890" s="3">
        <v>1851.0</v>
      </c>
      <c r="C1890" s="3">
        <v>829.0</v>
      </c>
      <c r="D1890" s="3">
        <v>1.0</v>
      </c>
      <c r="E1890" s="2" t="s">
        <v>699</v>
      </c>
      <c r="F1890" s="1"/>
      <c r="G1890" s="3">
        <v>1.0</v>
      </c>
      <c r="H1890" s="3">
        <v>0.0</v>
      </c>
      <c r="I1890" s="1"/>
      <c r="J1890" s="3">
        <v>836.0</v>
      </c>
    </row>
    <row r="1891">
      <c r="A1891" s="3">
        <v>1852.0</v>
      </c>
      <c r="B1891" s="3">
        <v>1852.0</v>
      </c>
      <c r="C1891" s="3">
        <v>362.0</v>
      </c>
      <c r="D1891" s="3">
        <v>1.0</v>
      </c>
      <c r="E1891" s="1" t="s">
        <v>668</v>
      </c>
      <c r="F1891" s="1" t="s">
        <v>15</v>
      </c>
      <c r="G1891" s="3">
        <v>1.0</v>
      </c>
      <c r="H1891" s="3">
        <v>0.0</v>
      </c>
      <c r="I1891" s="1"/>
      <c r="J1891" s="3">
        <v>836.0</v>
      </c>
    </row>
    <row r="1892">
      <c r="A1892" s="3">
        <v>1853.0</v>
      </c>
      <c r="B1892" s="3">
        <v>1853.0</v>
      </c>
      <c r="C1892" s="3">
        <v>365.0</v>
      </c>
      <c r="D1892" s="3">
        <v>1.0</v>
      </c>
      <c r="E1892" s="1" t="s">
        <v>668</v>
      </c>
      <c r="F1892" s="1" t="s">
        <v>126</v>
      </c>
      <c r="G1892" s="3">
        <v>1.0</v>
      </c>
      <c r="H1892" s="3">
        <v>0.0</v>
      </c>
      <c r="I1892" s="1"/>
      <c r="J1892" s="3">
        <v>836.0</v>
      </c>
    </row>
    <row r="1893">
      <c r="A1893" s="3">
        <v>1854.0</v>
      </c>
      <c r="B1893" s="3">
        <v>1854.0</v>
      </c>
      <c r="C1893" s="3">
        <v>1004.0</v>
      </c>
      <c r="D1893" s="3">
        <v>1.0</v>
      </c>
      <c r="E1893" s="2" t="s">
        <v>700</v>
      </c>
      <c r="F1893" s="1"/>
      <c r="G1893" s="3">
        <v>1.0</v>
      </c>
      <c r="H1893" s="3">
        <v>0.0</v>
      </c>
      <c r="I1893" s="1"/>
      <c r="J1893" s="3">
        <v>836.0</v>
      </c>
    </row>
    <row r="1894">
      <c r="A1894" s="3">
        <v>1855.0</v>
      </c>
      <c r="B1894" s="3">
        <v>1855.0</v>
      </c>
      <c r="C1894" s="3">
        <v>4.0</v>
      </c>
      <c r="D1894" s="3">
        <v>1.0</v>
      </c>
      <c r="E1894" s="1" t="s">
        <v>701</v>
      </c>
      <c r="F1894" s="1" t="s">
        <v>15</v>
      </c>
      <c r="G1894" s="3">
        <v>1.0</v>
      </c>
      <c r="H1894" s="3">
        <v>0.0</v>
      </c>
      <c r="I1894" s="1"/>
      <c r="J1894" s="3">
        <v>836.0</v>
      </c>
    </row>
    <row r="1895">
      <c r="A1895" s="3">
        <v>1856.0</v>
      </c>
      <c r="B1895" s="3">
        <v>1856.0</v>
      </c>
      <c r="C1895" s="3">
        <v>5.0</v>
      </c>
      <c r="D1895" s="3">
        <v>1.0</v>
      </c>
      <c r="E1895" s="1" t="s">
        <v>701</v>
      </c>
      <c r="F1895" s="1" t="s">
        <v>19</v>
      </c>
      <c r="G1895" s="3">
        <v>1.0</v>
      </c>
      <c r="H1895" s="3">
        <v>0.0</v>
      </c>
      <c r="I1895" s="1"/>
      <c r="J1895" s="3">
        <v>836.0</v>
      </c>
    </row>
    <row r="1896">
      <c r="A1896" s="3">
        <v>1857.0</v>
      </c>
      <c r="B1896" s="3">
        <v>1857.0</v>
      </c>
      <c r="C1896" s="3">
        <v>841.0</v>
      </c>
      <c r="D1896" s="3">
        <v>1.0</v>
      </c>
      <c r="E1896" s="1" t="s">
        <v>185</v>
      </c>
      <c r="F1896" s="1" t="s">
        <v>15</v>
      </c>
      <c r="G1896" s="3">
        <v>1.0</v>
      </c>
      <c r="H1896" s="3">
        <v>0.0</v>
      </c>
      <c r="I1896" s="1"/>
      <c r="J1896" s="3">
        <v>836.0</v>
      </c>
    </row>
    <row r="1897">
      <c r="A1897" s="3">
        <v>1858.0</v>
      </c>
      <c r="B1897" s="3">
        <v>1858.0</v>
      </c>
      <c r="C1897" s="3">
        <v>842.0</v>
      </c>
      <c r="D1897" s="3">
        <v>1.0</v>
      </c>
      <c r="E1897" s="1" t="s">
        <v>702</v>
      </c>
      <c r="F1897" s="1" t="s">
        <v>19</v>
      </c>
      <c r="G1897" s="3">
        <v>1.0</v>
      </c>
      <c r="H1897" s="3">
        <v>0.0</v>
      </c>
      <c r="I1897" s="1"/>
      <c r="J1897" s="3">
        <v>836.0</v>
      </c>
    </row>
    <row r="1898">
      <c r="A1898" s="3">
        <v>1859.0</v>
      </c>
      <c r="B1898" s="3">
        <v>1859.0</v>
      </c>
      <c r="C1898" s="3">
        <v>843.0</v>
      </c>
      <c r="D1898" s="3">
        <v>1.0</v>
      </c>
      <c r="E1898" s="1" t="s">
        <v>703</v>
      </c>
      <c r="F1898" s="1" t="s">
        <v>35</v>
      </c>
      <c r="G1898" s="3">
        <v>1.0</v>
      </c>
      <c r="H1898" s="3">
        <v>0.0</v>
      </c>
      <c r="I1898" s="1"/>
      <c r="J1898" s="3">
        <v>836.0</v>
      </c>
    </row>
    <row r="1899">
      <c r="A1899" s="3">
        <v>1860.0</v>
      </c>
      <c r="B1899" s="3">
        <v>1860.0</v>
      </c>
      <c r="C1899" s="3">
        <v>844.0</v>
      </c>
      <c r="D1899" s="3">
        <v>1.0</v>
      </c>
      <c r="E1899" s="1" t="s">
        <v>702</v>
      </c>
      <c r="F1899" s="1" t="s">
        <v>126</v>
      </c>
      <c r="G1899" s="3">
        <v>1.0</v>
      </c>
      <c r="H1899" s="3">
        <v>0.0</v>
      </c>
      <c r="I1899" s="1"/>
      <c r="J1899" s="3">
        <v>836.0</v>
      </c>
    </row>
    <row r="1900">
      <c r="A1900" s="3">
        <v>1861.0</v>
      </c>
      <c r="B1900" s="3">
        <v>1861.0</v>
      </c>
      <c r="C1900" s="3">
        <v>845.0</v>
      </c>
      <c r="D1900" s="3">
        <v>1.0</v>
      </c>
      <c r="E1900" s="1" t="s">
        <v>702</v>
      </c>
      <c r="F1900" s="1" t="s">
        <v>37</v>
      </c>
      <c r="G1900" s="3">
        <v>1.0</v>
      </c>
      <c r="H1900" s="3">
        <v>0.0</v>
      </c>
      <c r="I1900" s="1"/>
      <c r="J1900" s="3">
        <v>836.0</v>
      </c>
    </row>
    <row r="1901">
      <c r="A1901" s="3">
        <v>1862.0</v>
      </c>
      <c r="B1901" s="3">
        <v>1862.0</v>
      </c>
      <c r="C1901" s="3">
        <v>846.0</v>
      </c>
      <c r="D1901" s="3">
        <v>1.0</v>
      </c>
      <c r="E1901" s="1" t="s">
        <v>702</v>
      </c>
      <c r="F1901" s="1" t="s">
        <v>188</v>
      </c>
      <c r="G1901" s="3">
        <v>1.0</v>
      </c>
      <c r="H1901" s="3">
        <v>0.0</v>
      </c>
      <c r="I1901" s="1"/>
      <c r="J1901" s="3">
        <v>836.0</v>
      </c>
    </row>
    <row r="1902">
      <c r="A1902" s="3">
        <v>1863.0</v>
      </c>
      <c r="B1902" s="3">
        <v>1863.0</v>
      </c>
      <c r="C1902" s="3">
        <v>847.0</v>
      </c>
      <c r="D1902" s="3">
        <v>1.0</v>
      </c>
      <c r="E1902" s="1" t="s">
        <v>702</v>
      </c>
      <c r="F1902" s="1" t="s">
        <v>200</v>
      </c>
      <c r="G1902" s="3">
        <v>1.0</v>
      </c>
      <c r="H1902" s="3">
        <v>0.0</v>
      </c>
      <c r="I1902" s="1"/>
      <c r="J1902" s="3">
        <v>836.0</v>
      </c>
    </row>
    <row r="1903">
      <c r="A1903" s="3">
        <v>1864.0</v>
      </c>
      <c r="B1903" s="3">
        <v>1864.0</v>
      </c>
      <c r="C1903" s="3">
        <v>848.0</v>
      </c>
      <c r="D1903" s="3">
        <v>1.0</v>
      </c>
      <c r="E1903" s="1" t="s">
        <v>702</v>
      </c>
      <c r="F1903" s="1" t="s">
        <v>189</v>
      </c>
      <c r="G1903" s="3">
        <v>1.0</v>
      </c>
      <c r="H1903" s="3">
        <v>0.0</v>
      </c>
      <c r="I1903" s="1"/>
      <c r="J1903" s="3">
        <v>836.0</v>
      </c>
    </row>
    <row r="1904">
      <c r="A1904" s="3">
        <v>1865.0</v>
      </c>
      <c r="B1904" s="3">
        <v>1865.0</v>
      </c>
      <c r="C1904" s="3">
        <v>849.0</v>
      </c>
      <c r="D1904" s="3">
        <v>1.0</v>
      </c>
      <c r="E1904" s="1" t="s">
        <v>702</v>
      </c>
      <c r="F1904" s="1" t="s">
        <v>494</v>
      </c>
      <c r="G1904" s="3">
        <v>1.0</v>
      </c>
      <c r="H1904" s="3">
        <v>0.0</v>
      </c>
      <c r="I1904" s="1"/>
      <c r="J1904" s="3">
        <v>836.0</v>
      </c>
    </row>
    <row r="1905">
      <c r="A1905" s="3">
        <v>1866.0</v>
      </c>
      <c r="B1905" s="3">
        <v>1866.0</v>
      </c>
      <c r="C1905" s="3">
        <v>850.0</v>
      </c>
      <c r="D1905" s="3">
        <v>1.0</v>
      </c>
      <c r="E1905" s="1" t="s">
        <v>702</v>
      </c>
      <c r="F1905" s="1" t="s">
        <v>490</v>
      </c>
      <c r="G1905" s="3">
        <v>1.0</v>
      </c>
      <c r="H1905" s="3">
        <v>0.0</v>
      </c>
      <c r="I1905" s="1"/>
      <c r="J1905" s="3">
        <v>836.0</v>
      </c>
    </row>
    <row r="1906">
      <c r="A1906" s="3">
        <v>1867.0</v>
      </c>
      <c r="B1906" s="3">
        <v>1867.0</v>
      </c>
      <c r="C1906" s="3">
        <v>851.0</v>
      </c>
      <c r="D1906" s="3">
        <v>1.0</v>
      </c>
      <c r="E1906" s="1" t="s">
        <v>702</v>
      </c>
      <c r="F1906" s="1" t="s">
        <v>491</v>
      </c>
      <c r="G1906" s="3">
        <v>1.0</v>
      </c>
      <c r="H1906" s="3">
        <v>0.0</v>
      </c>
      <c r="I1906" s="1"/>
      <c r="J1906" s="3">
        <v>836.0</v>
      </c>
    </row>
    <row r="1907">
      <c r="A1907" s="3">
        <v>1868.0</v>
      </c>
      <c r="B1907" s="3">
        <v>1868.0</v>
      </c>
      <c r="C1907" s="3">
        <v>852.0</v>
      </c>
      <c r="D1907" s="3">
        <v>1.0</v>
      </c>
      <c r="E1907" s="1" t="s">
        <v>702</v>
      </c>
      <c r="F1907" s="1" t="s">
        <v>492</v>
      </c>
      <c r="G1907" s="3">
        <v>1.0</v>
      </c>
      <c r="H1907" s="3">
        <v>0.0</v>
      </c>
      <c r="I1907" s="1"/>
      <c r="J1907" s="3">
        <v>836.0</v>
      </c>
    </row>
    <row r="1908">
      <c r="A1908" s="3">
        <v>1869.0</v>
      </c>
      <c r="B1908" s="3">
        <v>1869.0</v>
      </c>
      <c r="C1908" s="3">
        <v>854.0</v>
      </c>
      <c r="D1908" s="3">
        <v>1.0</v>
      </c>
      <c r="E1908" s="1" t="s">
        <v>702</v>
      </c>
      <c r="F1908" s="1" t="s">
        <v>493</v>
      </c>
      <c r="G1908" s="3">
        <v>1.0</v>
      </c>
      <c r="H1908" s="3">
        <v>0.0</v>
      </c>
      <c r="I1908" s="1"/>
      <c r="J1908" s="3">
        <v>836.0</v>
      </c>
    </row>
    <row r="1909">
      <c r="A1909" s="3">
        <v>1870.0</v>
      </c>
      <c r="B1909" s="3">
        <v>1870.0</v>
      </c>
      <c r="C1909" s="3">
        <v>856.0</v>
      </c>
      <c r="D1909" s="3">
        <v>1.0</v>
      </c>
      <c r="E1909" s="1" t="s">
        <v>702</v>
      </c>
      <c r="F1909" s="1" t="s">
        <v>682</v>
      </c>
      <c r="G1909" s="3">
        <v>1.0</v>
      </c>
      <c r="H1909" s="3">
        <v>0.0</v>
      </c>
      <c r="I1909" s="1"/>
      <c r="J1909" s="3">
        <v>836.0</v>
      </c>
    </row>
    <row r="1910">
      <c r="A1910" s="3">
        <v>1871.0</v>
      </c>
      <c r="B1910" s="3">
        <v>1871.0</v>
      </c>
      <c r="C1910" s="3">
        <v>857.0</v>
      </c>
      <c r="D1910" s="3">
        <v>1.0</v>
      </c>
      <c r="E1910" s="1" t="s">
        <v>702</v>
      </c>
      <c r="F1910" s="1" t="s">
        <v>683</v>
      </c>
      <c r="G1910" s="3">
        <v>1.0</v>
      </c>
      <c r="H1910" s="3">
        <v>0.0</v>
      </c>
      <c r="I1910" s="1"/>
      <c r="J1910" s="3">
        <v>836.0</v>
      </c>
    </row>
    <row r="1911">
      <c r="A1911" s="3">
        <v>1872.0</v>
      </c>
      <c r="B1911" s="3">
        <v>1872.0</v>
      </c>
      <c r="C1911" s="3">
        <v>858.0</v>
      </c>
      <c r="D1911" s="3">
        <v>1.0</v>
      </c>
      <c r="E1911" s="1" t="s">
        <v>702</v>
      </c>
      <c r="F1911" s="1" t="s">
        <v>38</v>
      </c>
      <c r="G1911" s="3">
        <v>1.0</v>
      </c>
      <c r="H1911" s="3">
        <v>0.0</v>
      </c>
      <c r="I1911" s="1"/>
      <c r="J1911" s="3">
        <v>836.0</v>
      </c>
    </row>
    <row r="1912">
      <c r="A1912" s="3">
        <v>1873.0</v>
      </c>
      <c r="B1912" s="3">
        <v>1873.0</v>
      </c>
      <c r="C1912" s="3">
        <v>860.0</v>
      </c>
      <c r="D1912" s="3">
        <v>1.0</v>
      </c>
      <c r="E1912" s="1" t="s">
        <v>702</v>
      </c>
      <c r="F1912" s="1" t="s">
        <v>39</v>
      </c>
      <c r="G1912" s="3">
        <v>1.0</v>
      </c>
      <c r="H1912" s="3">
        <v>0.0</v>
      </c>
      <c r="I1912" s="1"/>
      <c r="J1912" s="3">
        <v>836.0</v>
      </c>
    </row>
    <row r="1913">
      <c r="A1913" s="3">
        <v>1874.0</v>
      </c>
      <c r="B1913" s="3">
        <v>1874.0</v>
      </c>
      <c r="C1913" s="3">
        <v>853.0</v>
      </c>
      <c r="D1913" s="3">
        <v>1.0</v>
      </c>
      <c r="E1913" s="1" t="s">
        <v>702</v>
      </c>
      <c r="F1913" s="1" t="s">
        <v>685</v>
      </c>
      <c r="G1913" s="3">
        <v>1.0</v>
      </c>
      <c r="H1913" s="3">
        <v>0.0</v>
      </c>
      <c r="I1913" s="1"/>
      <c r="J1913" s="3">
        <v>836.0</v>
      </c>
    </row>
    <row r="1914">
      <c r="A1914" s="3">
        <v>1875.0</v>
      </c>
      <c r="B1914" s="3">
        <v>1875.0</v>
      </c>
      <c r="C1914" s="3">
        <v>994.0</v>
      </c>
      <c r="D1914" s="3">
        <v>1.0</v>
      </c>
      <c r="E1914" s="2" t="s">
        <v>704</v>
      </c>
      <c r="F1914" s="1"/>
      <c r="G1914" s="3">
        <v>1.0</v>
      </c>
      <c r="H1914" s="3">
        <v>0.0</v>
      </c>
      <c r="I1914" s="1"/>
      <c r="J1914" s="3">
        <v>836.0</v>
      </c>
    </row>
    <row r="1915">
      <c r="A1915" s="3">
        <v>1876.0</v>
      </c>
      <c r="B1915" s="3">
        <v>1876.0</v>
      </c>
      <c r="C1915" s="3">
        <v>832.0</v>
      </c>
      <c r="D1915" s="3">
        <v>1.0</v>
      </c>
      <c r="E1915" s="1" t="s">
        <v>157</v>
      </c>
      <c r="F1915" s="3">
        <v>9.0</v>
      </c>
      <c r="G1915" s="3">
        <v>1.0</v>
      </c>
      <c r="H1915" s="3">
        <v>0.0</v>
      </c>
      <c r="I1915" s="1"/>
      <c r="J1915" s="3">
        <v>836.0</v>
      </c>
    </row>
    <row r="1916">
      <c r="A1916" s="3">
        <v>1877.0</v>
      </c>
      <c r="B1916" s="3">
        <v>1877.0</v>
      </c>
      <c r="C1916" s="3">
        <v>247.0</v>
      </c>
      <c r="D1916" s="3">
        <v>1.0</v>
      </c>
      <c r="E1916" s="1" t="s">
        <v>705</v>
      </c>
      <c r="F1916" s="1" t="s">
        <v>126</v>
      </c>
      <c r="G1916" s="3">
        <v>1.0</v>
      </c>
      <c r="H1916" s="3">
        <v>0.0</v>
      </c>
      <c r="I1916" s="1"/>
      <c r="J1916" s="3">
        <v>836.0</v>
      </c>
    </row>
    <row r="1917">
      <c r="A1917" s="3">
        <v>1878.0</v>
      </c>
      <c r="B1917" s="3">
        <v>1878.0</v>
      </c>
      <c r="C1917" s="3">
        <v>339.0</v>
      </c>
      <c r="D1917" s="3">
        <v>1.0</v>
      </c>
      <c r="E1917" s="1" t="s">
        <v>706</v>
      </c>
      <c r="F1917" s="1" t="s">
        <v>707</v>
      </c>
      <c r="G1917" s="3">
        <v>1.0</v>
      </c>
      <c r="H1917" s="3">
        <v>0.0</v>
      </c>
      <c r="I1917" s="1"/>
      <c r="J1917" s="3">
        <v>836.0</v>
      </c>
    </row>
    <row r="1918">
      <c r="A1918" s="3">
        <v>1879.0</v>
      </c>
      <c r="B1918" s="3">
        <v>1879.0</v>
      </c>
      <c r="C1918" s="3">
        <v>870.0</v>
      </c>
      <c r="D1918" s="3">
        <v>1.0</v>
      </c>
      <c r="E1918" s="1" t="s">
        <v>706</v>
      </c>
      <c r="F1918" s="1" t="s">
        <v>708</v>
      </c>
      <c r="G1918" s="3">
        <v>1.0</v>
      </c>
      <c r="H1918" s="3">
        <v>0.0</v>
      </c>
      <c r="I1918" s="1"/>
      <c r="J1918" s="3">
        <v>836.0</v>
      </c>
    </row>
    <row r="1919">
      <c r="A1919" s="3">
        <v>1880.0</v>
      </c>
      <c r="B1919" s="3">
        <v>1880.0</v>
      </c>
      <c r="C1919" s="3">
        <v>871.0</v>
      </c>
      <c r="D1919" s="3">
        <v>1.0</v>
      </c>
      <c r="E1919" s="1" t="s">
        <v>706</v>
      </c>
      <c r="F1919" s="1" t="s">
        <v>709</v>
      </c>
      <c r="G1919" s="3">
        <v>1.0</v>
      </c>
      <c r="H1919" s="3">
        <v>0.0</v>
      </c>
      <c r="I1919" s="1"/>
      <c r="J1919" s="3">
        <v>836.0</v>
      </c>
    </row>
    <row r="1920">
      <c r="A1920" s="3">
        <v>1881.0</v>
      </c>
      <c r="B1920" s="3">
        <v>1881.0</v>
      </c>
      <c r="C1920" s="3">
        <v>872.0</v>
      </c>
      <c r="D1920" s="3">
        <v>1.0</v>
      </c>
      <c r="E1920" s="1" t="s">
        <v>710</v>
      </c>
      <c r="F1920" s="3">
        <v>4.0</v>
      </c>
      <c r="G1920" s="3">
        <v>1.0</v>
      </c>
      <c r="H1920" s="3">
        <v>0.0</v>
      </c>
      <c r="I1920" s="1"/>
      <c r="J1920" s="3">
        <v>836.0</v>
      </c>
    </row>
    <row r="1921">
      <c r="A1921" s="3">
        <v>1882.0</v>
      </c>
      <c r="B1921" s="3">
        <v>1882.0</v>
      </c>
      <c r="C1921" s="3">
        <v>873.0</v>
      </c>
      <c r="D1921" s="3">
        <v>1.0</v>
      </c>
      <c r="E1921" s="1" t="s">
        <v>710</v>
      </c>
      <c r="F1921" s="3">
        <v>5.0</v>
      </c>
      <c r="G1921" s="3">
        <v>1.0</v>
      </c>
      <c r="H1921" s="3">
        <v>0.0</v>
      </c>
      <c r="I1921" s="1"/>
      <c r="J1921" s="3">
        <v>836.0</v>
      </c>
    </row>
    <row r="1922">
      <c r="A1922" s="3">
        <v>1883.0</v>
      </c>
      <c r="B1922" s="3">
        <v>1883.0</v>
      </c>
      <c r="C1922" s="3">
        <v>206.0</v>
      </c>
      <c r="D1922" s="3">
        <v>1.0</v>
      </c>
      <c r="E1922" s="1" t="s">
        <v>711</v>
      </c>
      <c r="F1922" s="1" t="s">
        <v>15</v>
      </c>
      <c r="G1922" s="3">
        <v>1.0</v>
      </c>
      <c r="H1922" s="3">
        <v>0.0</v>
      </c>
      <c r="I1922" s="1"/>
      <c r="J1922" s="3">
        <v>836.0</v>
      </c>
    </row>
    <row r="1923">
      <c r="A1923" s="3">
        <v>1884.0</v>
      </c>
      <c r="B1923" s="3">
        <v>1884.0</v>
      </c>
      <c r="C1923" s="3">
        <v>207.0</v>
      </c>
      <c r="D1923" s="3">
        <v>1.0</v>
      </c>
      <c r="E1923" s="1" t="s">
        <v>711</v>
      </c>
      <c r="F1923" s="1" t="s">
        <v>19</v>
      </c>
      <c r="G1923" s="3">
        <v>1.0</v>
      </c>
      <c r="H1923" s="3">
        <v>0.0</v>
      </c>
      <c r="I1923" s="1"/>
      <c r="J1923" s="3">
        <v>836.0</v>
      </c>
    </row>
    <row r="1924">
      <c r="A1924" s="3">
        <v>1885.0</v>
      </c>
      <c r="B1924" s="3">
        <v>1885.0</v>
      </c>
      <c r="C1924" s="3">
        <v>1124.0</v>
      </c>
      <c r="D1924" s="3">
        <v>1.0</v>
      </c>
      <c r="E1924" s="1" t="s">
        <v>712</v>
      </c>
      <c r="F1924" s="3">
        <v>1.0</v>
      </c>
      <c r="G1924" s="3">
        <v>1.0</v>
      </c>
      <c r="H1924" s="3">
        <v>0.0</v>
      </c>
      <c r="I1924" s="1"/>
      <c r="J1924" s="3">
        <v>836.0</v>
      </c>
    </row>
    <row r="1925">
      <c r="A1925" s="3">
        <v>1886.0</v>
      </c>
      <c r="B1925" s="3">
        <v>1886.0</v>
      </c>
      <c r="C1925" s="3">
        <v>1125.0</v>
      </c>
      <c r="D1925" s="3">
        <v>1.0</v>
      </c>
      <c r="E1925" s="1" t="s">
        <v>712</v>
      </c>
      <c r="F1925" s="3">
        <v>2.0</v>
      </c>
      <c r="G1925" s="3">
        <v>1.0</v>
      </c>
      <c r="H1925" s="3">
        <v>0.0</v>
      </c>
      <c r="I1925" s="1"/>
      <c r="J1925" s="3">
        <v>836.0</v>
      </c>
    </row>
    <row r="1926">
      <c r="A1926" s="3">
        <v>1887.0</v>
      </c>
      <c r="B1926" s="3">
        <v>1887.0</v>
      </c>
      <c r="C1926" s="3">
        <v>493.0</v>
      </c>
      <c r="D1926" s="3">
        <v>1.0</v>
      </c>
      <c r="E1926" s="1" t="s">
        <v>712</v>
      </c>
      <c r="F1926" s="3">
        <v>3.0</v>
      </c>
      <c r="G1926" s="3">
        <v>1.0</v>
      </c>
      <c r="H1926" s="3">
        <v>0.0</v>
      </c>
      <c r="I1926" s="1"/>
      <c r="J1926" s="3">
        <v>836.0</v>
      </c>
    </row>
    <row r="1927">
      <c r="A1927" s="3">
        <v>1888.0</v>
      </c>
      <c r="B1927" s="3">
        <v>1888.0</v>
      </c>
      <c r="C1927" s="3">
        <v>1129.0</v>
      </c>
      <c r="D1927" s="3">
        <v>1.0</v>
      </c>
      <c r="E1927" s="1" t="s">
        <v>712</v>
      </c>
      <c r="F1927" s="3">
        <v>4.0</v>
      </c>
      <c r="G1927" s="3">
        <v>1.0</v>
      </c>
      <c r="H1927" s="3">
        <v>0.0</v>
      </c>
      <c r="I1927" s="1"/>
      <c r="J1927" s="3">
        <v>836.0</v>
      </c>
    </row>
    <row r="1928">
      <c r="A1928" s="3">
        <v>1889.0</v>
      </c>
      <c r="B1928" s="3">
        <v>1889.0</v>
      </c>
      <c r="C1928" s="3">
        <v>1130.0</v>
      </c>
      <c r="D1928" s="3">
        <v>1.0</v>
      </c>
      <c r="E1928" s="1" t="s">
        <v>712</v>
      </c>
      <c r="F1928" s="3">
        <v>5.0</v>
      </c>
      <c r="G1928" s="3">
        <v>1.0</v>
      </c>
      <c r="H1928" s="3">
        <v>0.0</v>
      </c>
      <c r="I1928" s="1"/>
      <c r="J1928" s="3">
        <v>836.0</v>
      </c>
    </row>
    <row r="1929">
      <c r="A1929" s="3">
        <v>1890.0</v>
      </c>
      <c r="B1929" s="3">
        <v>1890.0</v>
      </c>
      <c r="C1929" s="3">
        <v>1131.0</v>
      </c>
      <c r="D1929" s="3">
        <v>1.0</v>
      </c>
      <c r="E1929" s="1" t="s">
        <v>712</v>
      </c>
      <c r="F1929" s="3">
        <v>6.0</v>
      </c>
      <c r="G1929" s="3">
        <v>1.0</v>
      </c>
      <c r="H1929" s="3">
        <v>0.0</v>
      </c>
      <c r="I1929" s="1"/>
      <c r="J1929" s="3">
        <v>836.0</v>
      </c>
    </row>
    <row r="1930">
      <c r="A1930" s="3">
        <v>1891.0</v>
      </c>
      <c r="B1930" s="3">
        <v>1891.0</v>
      </c>
      <c r="C1930" s="3">
        <v>1132.0</v>
      </c>
      <c r="D1930" s="3">
        <v>1.0</v>
      </c>
      <c r="E1930" s="1" t="s">
        <v>712</v>
      </c>
      <c r="F1930" s="3">
        <v>7.0</v>
      </c>
      <c r="G1930" s="3">
        <v>1.0</v>
      </c>
      <c r="H1930" s="3">
        <v>0.0</v>
      </c>
      <c r="I1930" s="1"/>
      <c r="J1930" s="3">
        <v>836.0</v>
      </c>
    </row>
    <row r="1931">
      <c r="A1931" s="3">
        <v>1892.0</v>
      </c>
      <c r="B1931" s="3">
        <v>1892.0</v>
      </c>
      <c r="C1931" s="3">
        <v>1133.0</v>
      </c>
      <c r="D1931" s="3">
        <v>1.0</v>
      </c>
      <c r="E1931" s="1" t="s">
        <v>712</v>
      </c>
      <c r="F1931" s="3">
        <v>8.0</v>
      </c>
      <c r="G1931" s="3">
        <v>1.0</v>
      </c>
      <c r="H1931" s="3">
        <v>0.0</v>
      </c>
      <c r="I1931" s="1"/>
      <c r="J1931" s="3">
        <v>836.0</v>
      </c>
    </row>
    <row r="1932">
      <c r="A1932" s="3">
        <v>1893.0</v>
      </c>
      <c r="B1932" s="3">
        <v>1893.0</v>
      </c>
      <c r="C1932" s="3">
        <v>1134.0</v>
      </c>
      <c r="D1932" s="3">
        <v>1.0</v>
      </c>
      <c r="E1932" s="1" t="s">
        <v>712</v>
      </c>
      <c r="F1932" s="3">
        <v>9.0</v>
      </c>
      <c r="G1932" s="3">
        <v>1.0</v>
      </c>
      <c r="H1932" s="3">
        <v>0.0</v>
      </c>
      <c r="I1932" s="1"/>
      <c r="J1932" s="3">
        <v>836.0</v>
      </c>
    </row>
    <row r="1933">
      <c r="A1933" s="3">
        <v>1894.0</v>
      </c>
      <c r="B1933" s="3">
        <v>1894.0</v>
      </c>
      <c r="C1933" s="3">
        <v>1135.0</v>
      </c>
      <c r="D1933" s="3">
        <v>1.0</v>
      </c>
      <c r="E1933" s="1" t="s">
        <v>712</v>
      </c>
      <c r="F1933" s="3">
        <v>10.0</v>
      </c>
      <c r="G1933" s="3">
        <v>1.0</v>
      </c>
      <c r="H1933" s="3">
        <v>0.0</v>
      </c>
      <c r="I1933" s="1"/>
      <c r="J1933" s="3">
        <v>836.0</v>
      </c>
    </row>
    <row r="1934">
      <c r="A1934" s="3">
        <v>1895.0</v>
      </c>
      <c r="B1934" s="3">
        <v>1895.0</v>
      </c>
      <c r="C1934" s="3">
        <v>806.0</v>
      </c>
      <c r="D1934" s="3">
        <v>1.0</v>
      </c>
      <c r="E1934" s="1" t="s">
        <v>712</v>
      </c>
      <c r="F1934" s="3">
        <v>11.0</v>
      </c>
      <c r="G1934" s="3">
        <v>1.0</v>
      </c>
      <c r="H1934" s="3">
        <v>0.0</v>
      </c>
      <c r="I1934" s="1"/>
      <c r="J1934" s="3">
        <v>836.0</v>
      </c>
    </row>
    <row r="1935">
      <c r="A1935" s="3">
        <v>1896.0</v>
      </c>
      <c r="B1935" s="3">
        <v>1896.0</v>
      </c>
      <c r="C1935" s="3">
        <v>763.0</v>
      </c>
      <c r="D1935" s="3">
        <v>1.0</v>
      </c>
      <c r="E1935" s="1" t="s">
        <v>713</v>
      </c>
      <c r="F1935" s="1"/>
      <c r="G1935" s="3">
        <v>1.0</v>
      </c>
      <c r="H1935" s="3">
        <v>0.0</v>
      </c>
      <c r="I1935" s="1"/>
      <c r="J1935" s="3">
        <v>836.0</v>
      </c>
    </row>
    <row r="1936">
      <c r="A1936" s="3">
        <v>1897.0</v>
      </c>
      <c r="B1936" s="3">
        <v>1897.0</v>
      </c>
      <c r="C1936" s="3">
        <v>664.0</v>
      </c>
      <c r="D1936" s="3">
        <v>1.0</v>
      </c>
      <c r="E1936" s="1" t="s">
        <v>321</v>
      </c>
      <c r="F1936" s="1" t="s">
        <v>15</v>
      </c>
      <c r="G1936" s="3">
        <v>1.0</v>
      </c>
      <c r="H1936" s="3">
        <v>0.0</v>
      </c>
      <c r="I1936" s="1"/>
      <c r="J1936" s="3">
        <v>836.0</v>
      </c>
    </row>
    <row r="1937">
      <c r="A1937" s="3">
        <v>1898.0</v>
      </c>
      <c r="B1937" s="3">
        <v>1898.0</v>
      </c>
      <c r="C1937" s="3">
        <v>918.0</v>
      </c>
      <c r="D1937" s="3">
        <v>1.0</v>
      </c>
      <c r="E1937" s="2" t="s">
        <v>195</v>
      </c>
      <c r="F1937" s="1"/>
      <c r="G1937" s="3">
        <v>1.0</v>
      </c>
      <c r="H1937" s="3">
        <v>0.0</v>
      </c>
      <c r="I1937" s="1"/>
      <c r="J1937" s="3">
        <v>836.0</v>
      </c>
    </row>
    <row r="1938">
      <c r="A1938" s="3">
        <v>1899.0</v>
      </c>
      <c r="B1938" s="3">
        <v>1899.0</v>
      </c>
      <c r="C1938" s="3">
        <v>660.0</v>
      </c>
      <c r="D1938" s="3">
        <v>1.0</v>
      </c>
      <c r="E1938" s="1" t="s">
        <v>651</v>
      </c>
      <c r="F1938" s="1" t="s">
        <v>15</v>
      </c>
      <c r="G1938" s="3">
        <v>1.0</v>
      </c>
      <c r="H1938" s="3">
        <v>0.0</v>
      </c>
      <c r="I1938" s="1"/>
      <c r="J1938" s="3">
        <v>836.0</v>
      </c>
    </row>
    <row r="1939">
      <c r="A1939" s="3">
        <v>1902.0</v>
      </c>
      <c r="B1939" s="3">
        <v>1902.0</v>
      </c>
      <c r="C1939" s="3">
        <v>1007.0</v>
      </c>
      <c r="D1939" s="3">
        <v>1.0</v>
      </c>
      <c r="E1939" s="1" t="s">
        <v>714</v>
      </c>
      <c r="F1939" s="1"/>
      <c r="G1939" s="3">
        <v>1.0</v>
      </c>
      <c r="H1939" s="3">
        <v>0.0</v>
      </c>
      <c r="I1939" s="1"/>
      <c r="J1939" s="3">
        <v>836.0</v>
      </c>
    </row>
    <row r="1940">
      <c r="A1940" s="3">
        <v>1903.0</v>
      </c>
      <c r="B1940" s="3">
        <v>1903.0</v>
      </c>
      <c r="C1940" s="3">
        <v>99.0</v>
      </c>
      <c r="D1940" s="3">
        <v>1.0</v>
      </c>
      <c r="E1940" s="2" t="s">
        <v>715</v>
      </c>
      <c r="F1940" s="1"/>
      <c r="G1940" s="3">
        <v>0.0</v>
      </c>
      <c r="H1940" s="3">
        <v>0.0</v>
      </c>
      <c r="I1940" s="1"/>
      <c r="J1940" s="3">
        <v>836.0</v>
      </c>
    </row>
    <row r="1941">
      <c r="A1941" s="3">
        <v>1904.0</v>
      </c>
      <c r="B1941" s="3">
        <v>1904.0</v>
      </c>
      <c r="C1941" s="3">
        <v>133.0</v>
      </c>
      <c r="D1941" s="3">
        <v>1.0</v>
      </c>
      <c r="E1941" s="1" t="s">
        <v>691</v>
      </c>
      <c r="F1941" s="1" t="s">
        <v>188</v>
      </c>
      <c r="G1941" s="3">
        <v>1.0</v>
      </c>
      <c r="H1941" s="3">
        <v>0.0</v>
      </c>
      <c r="I1941" s="1"/>
      <c r="J1941" s="3">
        <v>836.0</v>
      </c>
    </row>
    <row r="1942">
      <c r="A1942" s="3">
        <v>1905.0</v>
      </c>
      <c r="B1942" s="3">
        <v>1905.0</v>
      </c>
      <c r="C1942" s="3">
        <v>1122.0</v>
      </c>
      <c r="D1942" s="3">
        <v>1.0</v>
      </c>
      <c r="E1942" s="1" t="s">
        <v>691</v>
      </c>
      <c r="F1942" s="1" t="s">
        <v>189</v>
      </c>
      <c r="G1942" s="3">
        <v>1.0</v>
      </c>
      <c r="H1942" s="3">
        <v>0.0</v>
      </c>
      <c r="I1942" s="1"/>
      <c r="J1942" s="3">
        <v>836.0</v>
      </c>
    </row>
    <row r="1943">
      <c r="A1943" s="3">
        <v>1906.0</v>
      </c>
      <c r="B1943" s="3">
        <v>1906.0</v>
      </c>
      <c r="C1943" s="3">
        <v>1128.0</v>
      </c>
      <c r="D1943" s="3">
        <v>1.0</v>
      </c>
      <c r="E1943" s="1" t="s">
        <v>691</v>
      </c>
      <c r="F1943" s="1" t="s">
        <v>494</v>
      </c>
      <c r="G1943" s="3">
        <v>1.0</v>
      </c>
      <c r="H1943" s="3">
        <v>0.0</v>
      </c>
      <c r="I1943" s="1"/>
      <c r="J1943" s="3">
        <v>836.0</v>
      </c>
    </row>
    <row r="1944">
      <c r="A1944" s="3">
        <v>1907.0</v>
      </c>
      <c r="B1944" s="3">
        <v>1907.0</v>
      </c>
      <c r="C1944" s="3">
        <v>536.0</v>
      </c>
      <c r="D1944" s="3">
        <v>1.0</v>
      </c>
      <c r="E1944" s="1" t="s">
        <v>544</v>
      </c>
      <c r="F1944" s="1" t="s">
        <v>155</v>
      </c>
      <c r="G1944" s="3">
        <v>1.0</v>
      </c>
      <c r="H1944" s="3">
        <v>0.0</v>
      </c>
      <c r="I1944" s="1"/>
      <c r="J1944" s="3">
        <v>836.0</v>
      </c>
    </row>
    <row r="1945">
      <c r="A1945" s="3">
        <v>1908.0</v>
      </c>
      <c r="B1945" s="3">
        <v>1908.0</v>
      </c>
      <c r="C1945" s="3">
        <v>351.0</v>
      </c>
      <c r="D1945" s="3">
        <v>1.0</v>
      </c>
      <c r="E1945" s="1" t="s">
        <v>716</v>
      </c>
      <c r="F1945" s="1"/>
      <c r="G1945" s="3">
        <v>1.0</v>
      </c>
      <c r="H1945" s="3">
        <v>0.0</v>
      </c>
      <c r="I1945" s="1"/>
      <c r="J1945" s="3">
        <v>836.0</v>
      </c>
    </row>
    <row r="1946">
      <c r="A1946" s="3">
        <v>1911.0</v>
      </c>
      <c r="B1946" s="3">
        <v>1911.0</v>
      </c>
      <c r="C1946" s="3">
        <v>21.0</v>
      </c>
      <c r="D1946" s="3">
        <v>1.0</v>
      </c>
      <c r="E1946" s="1" t="s">
        <v>717</v>
      </c>
      <c r="F1946" s="1"/>
      <c r="G1946" s="3">
        <v>1.0</v>
      </c>
      <c r="H1946" s="3">
        <v>0.0</v>
      </c>
      <c r="I1946" s="1"/>
      <c r="J1946" s="3">
        <v>836.0</v>
      </c>
    </row>
    <row r="1947">
      <c r="A1947" s="3">
        <v>1912.0</v>
      </c>
      <c r="B1947" s="3">
        <v>1912.0</v>
      </c>
      <c r="C1947" s="3">
        <v>647.0</v>
      </c>
      <c r="D1947" s="3">
        <v>1.0</v>
      </c>
      <c r="E1947" s="1" t="s">
        <v>718</v>
      </c>
      <c r="F1947" s="1" t="s">
        <v>19</v>
      </c>
      <c r="G1947" s="3">
        <v>1.0</v>
      </c>
      <c r="H1947" s="3">
        <v>0.0</v>
      </c>
      <c r="I1947" s="1"/>
      <c r="J1947" s="3">
        <v>836.0</v>
      </c>
    </row>
    <row r="1948">
      <c r="A1948" s="3">
        <v>1913.0</v>
      </c>
      <c r="B1948" s="3">
        <v>1913.0</v>
      </c>
      <c r="C1948" s="3">
        <v>2.0</v>
      </c>
      <c r="D1948" s="3">
        <v>1.0</v>
      </c>
      <c r="E1948" s="1" t="s">
        <v>117</v>
      </c>
      <c r="F1948" s="1" t="s">
        <v>19</v>
      </c>
      <c r="G1948" s="3">
        <v>1.0</v>
      </c>
      <c r="H1948" s="3">
        <v>0.0</v>
      </c>
      <c r="I1948" s="1"/>
      <c r="J1948" s="3">
        <v>836.0</v>
      </c>
    </row>
    <row r="1949">
      <c r="A1949" s="3">
        <v>1914.0</v>
      </c>
      <c r="B1949" s="3">
        <v>1914.0</v>
      </c>
      <c r="C1949" s="3">
        <v>126.0</v>
      </c>
      <c r="D1949" s="3">
        <v>1.0</v>
      </c>
      <c r="E1949" s="2" t="s">
        <v>719</v>
      </c>
      <c r="F1949" s="1"/>
      <c r="G1949" s="3">
        <v>1.0</v>
      </c>
      <c r="H1949" s="3">
        <v>0.0</v>
      </c>
      <c r="I1949" s="1"/>
      <c r="J1949" s="3">
        <v>836.0</v>
      </c>
    </row>
    <row r="1950">
      <c r="A1950" s="3">
        <v>1915.0</v>
      </c>
      <c r="B1950" s="3">
        <v>1915.0</v>
      </c>
      <c r="C1950" s="3">
        <v>128.0</v>
      </c>
      <c r="D1950" s="3">
        <v>1.0</v>
      </c>
      <c r="E1950" s="1" t="s">
        <v>691</v>
      </c>
      <c r="F1950" s="1" t="s">
        <v>15</v>
      </c>
      <c r="G1950" s="3">
        <v>1.0</v>
      </c>
      <c r="H1950" s="3">
        <v>0.0</v>
      </c>
      <c r="I1950" s="1"/>
      <c r="J1950" s="3">
        <v>836.0</v>
      </c>
    </row>
    <row r="1951">
      <c r="A1951" s="3">
        <v>1916.0</v>
      </c>
      <c r="B1951" s="3">
        <v>1916.0</v>
      </c>
      <c r="C1951" s="3">
        <v>130.0</v>
      </c>
      <c r="D1951" s="3">
        <v>1.0</v>
      </c>
      <c r="E1951" s="1" t="s">
        <v>691</v>
      </c>
      <c r="F1951" s="1" t="s">
        <v>35</v>
      </c>
      <c r="G1951" s="3">
        <v>1.0</v>
      </c>
      <c r="H1951" s="3">
        <v>0.0</v>
      </c>
      <c r="I1951" s="1"/>
      <c r="J1951" s="3">
        <v>836.0</v>
      </c>
    </row>
    <row r="1952">
      <c r="A1952" s="3">
        <v>1917.0</v>
      </c>
      <c r="B1952" s="3">
        <v>1917.0</v>
      </c>
      <c r="C1952" s="3">
        <v>84.0</v>
      </c>
      <c r="D1952" s="3">
        <v>1.0</v>
      </c>
      <c r="E1952" s="1" t="s">
        <v>720</v>
      </c>
      <c r="F1952" s="1" t="s">
        <v>15</v>
      </c>
      <c r="G1952" s="3">
        <v>1.0</v>
      </c>
      <c r="H1952" s="3">
        <v>0.0</v>
      </c>
      <c r="I1952" s="1"/>
      <c r="J1952" s="3">
        <v>836.0</v>
      </c>
    </row>
    <row r="1953">
      <c r="A1953" s="3">
        <v>1918.0</v>
      </c>
      <c r="B1953" s="3">
        <v>1918.0</v>
      </c>
      <c r="C1953" s="3">
        <v>85.0</v>
      </c>
      <c r="D1953" s="3">
        <v>1.0</v>
      </c>
      <c r="E1953" s="1" t="s">
        <v>720</v>
      </c>
      <c r="F1953" s="1" t="s">
        <v>19</v>
      </c>
      <c r="G1953" s="3">
        <v>1.0</v>
      </c>
      <c r="H1953" s="3">
        <v>0.0</v>
      </c>
      <c r="I1953" s="1"/>
      <c r="J1953" s="3">
        <v>836.0</v>
      </c>
    </row>
    <row r="1954">
      <c r="A1954" s="3">
        <v>1919.0</v>
      </c>
      <c r="B1954" s="3">
        <v>1919.0</v>
      </c>
      <c r="C1954" s="3">
        <v>491.0</v>
      </c>
      <c r="D1954" s="3">
        <v>1.0</v>
      </c>
      <c r="E1954" s="2" t="s">
        <v>721</v>
      </c>
      <c r="F1954" s="1"/>
      <c r="G1954" s="3">
        <v>1.0</v>
      </c>
      <c r="H1954" s="3">
        <v>0.0</v>
      </c>
      <c r="I1954" s="1"/>
      <c r="J1954" s="3">
        <v>836.0</v>
      </c>
    </row>
    <row r="1955">
      <c r="A1955" s="3">
        <v>2000.0</v>
      </c>
      <c r="B1955" s="3">
        <v>2000.0</v>
      </c>
      <c r="C1955" s="3">
        <v>0.0</v>
      </c>
      <c r="D1955" s="3">
        <v>1.0</v>
      </c>
      <c r="E1955" s="1" t="s">
        <v>722</v>
      </c>
      <c r="F1955" s="3">
        <v>4.0</v>
      </c>
      <c r="G1955" s="3">
        <v>1.0</v>
      </c>
      <c r="H1955" s="3">
        <v>0.0</v>
      </c>
      <c r="I1955" s="1"/>
      <c r="J1955" s="3">
        <v>836.0</v>
      </c>
    </row>
    <row r="1956">
      <c r="A1956" s="3">
        <v>2001.0</v>
      </c>
      <c r="B1956" s="3">
        <v>2001.0</v>
      </c>
      <c r="C1956" s="3">
        <v>0.0</v>
      </c>
      <c r="D1956" s="3">
        <v>1.0</v>
      </c>
      <c r="E1956" s="1" t="s">
        <v>722</v>
      </c>
      <c r="F1956" s="3">
        <v>3.0</v>
      </c>
      <c r="G1956" s="3">
        <v>1.0</v>
      </c>
      <c r="H1956" s="3">
        <v>0.0</v>
      </c>
      <c r="I1956" s="1"/>
      <c r="J1956" s="3">
        <v>836.0</v>
      </c>
    </row>
    <row r="1957">
      <c r="A1957" s="3">
        <v>2002.0</v>
      </c>
      <c r="B1957" s="3">
        <v>2002.0</v>
      </c>
      <c r="C1957" s="3">
        <v>0.0</v>
      </c>
      <c r="D1957" s="3">
        <v>1.0</v>
      </c>
      <c r="E1957" s="1" t="s">
        <v>722</v>
      </c>
      <c r="F1957" s="3">
        <v>2.0</v>
      </c>
      <c r="G1957" s="3">
        <v>1.0</v>
      </c>
      <c r="H1957" s="3">
        <v>0.0</v>
      </c>
      <c r="I1957" s="1"/>
      <c r="J1957" s="3">
        <v>836.0</v>
      </c>
    </row>
    <row r="1958">
      <c r="A1958" s="3">
        <v>2003.0</v>
      </c>
      <c r="B1958" s="3">
        <v>2003.0</v>
      </c>
      <c r="C1958" s="3">
        <v>0.0</v>
      </c>
      <c r="D1958" s="3">
        <v>1.0</v>
      </c>
      <c r="E1958" s="1" t="s">
        <v>722</v>
      </c>
      <c r="F1958" s="3">
        <v>6.0</v>
      </c>
      <c r="G1958" s="3">
        <v>1.0</v>
      </c>
      <c r="H1958" s="3">
        <v>0.0</v>
      </c>
      <c r="I1958" s="1"/>
      <c r="J1958" s="3">
        <v>836.0</v>
      </c>
    </row>
    <row r="1959">
      <c r="A1959" s="3">
        <v>2004.0</v>
      </c>
      <c r="B1959" s="3">
        <v>2004.0</v>
      </c>
      <c r="C1959" s="3">
        <v>0.0</v>
      </c>
      <c r="D1959" s="3">
        <v>1.0</v>
      </c>
      <c r="E1959" s="1" t="s">
        <v>722</v>
      </c>
      <c r="F1959" s="3">
        <v>7.0</v>
      </c>
      <c r="G1959" s="3">
        <v>1.0</v>
      </c>
      <c r="H1959" s="3">
        <v>0.0</v>
      </c>
      <c r="I1959" s="1"/>
      <c r="J1959" s="3">
        <v>836.0</v>
      </c>
    </row>
    <row r="1960">
      <c r="A1960" s="3">
        <v>2005.0</v>
      </c>
      <c r="B1960" s="3">
        <v>2005.0</v>
      </c>
      <c r="C1960" s="3">
        <v>0.0</v>
      </c>
      <c r="D1960" s="3">
        <v>1.0</v>
      </c>
      <c r="E1960" s="1" t="s">
        <v>722</v>
      </c>
      <c r="F1960" s="3">
        <v>8.0</v>
      </c>
      <c r="G1960" s="3">
        <v>1.0</v>
      </c>
      <c r="H1960" s="3">
        <v>0.0</v>
      </c>
      <c r="I1960" s="1"/>
      <c r="J1960" s="3">
        <v>836.0</v>
      </c>
    </row>
    <row r="1961">
      <c r="A1961" s="3">
        <v>2006.0</v>
      </c>
      <c r="B1961" s="3">
        <v>2006.0</v>
      </c>
      <c r="C1961" s="3">
        <v>0.0</v>
      </c>
      <c r="D1961" s="3">
        <v>1.0</v>
      </c>
      <c r="E1961" s="1" t="s">
        <v>722</v>
      </c>
      <c r="F1961" s="3">
        <v>5.0</v>
      </c>
      <c r="G1961" s="3">
        <v>1.0</v>
      </c>
      <c r="H1961" s="3">
        <v>0.0</v>
      </c>
      <c r="I1961" s="1"/>
      <c r="J1961" s="3">
        <v>836.0</v>
      </c>
    </row>
    <row r="1962">
      <c r="A1962" s="3">
        <v>2007.0</v>
      </c>
      <c r="B1962" s="3">
        <v>2007.0</v>
      </c>
      <c r="C1962" s="3">
        <v>0.0</v>
      </c>
      <c r="D1962" s="3">
        <v>1.0</v>
      </c>
      <c r="E1962" s="1" t="s">
        <v>723</v>
      </c>
      <c r="F1962" s="1" t="s">
        <v>25</v>
      </c>
      <c r="G1962" s="3">
        <v>1.0</v>
      </c>
      <c r="H1962" s="3">
        <v>0.0</v>
      </c>
      <c r="I1962" s="1"/>
      <c r="J1962" s="3">
        <v>836.0</v>
      </c>
    </row>
    <row r="1963">
      <c r="A1963" s="3">
        <v>2008.0</v>
      </c>
      <c r="B1963" s="3">
        <v>2008.0</v>
      </c>
      <c r="C1963" s="3">
        <v>0.0</v>
      </c>
      <c r="D1963" s="3">
        <v>1.0</v>
      </c>
      <c r="E1963" s="1" t="s">
        <v>723</v>
      </c>
      <c r="F1963" s="1" t="s">
        <v>24</v>
      </c>
      <c r="G1963" s="3">
        <v>1.0</v>
      </c>
      <c r="H1963" s="3">
        <v>0.0</v>
      </c>
      <c r="I1963" s="1"/>
      <c r="J1963" s="3">
        <v>836.0</v>
      </c>
    </row>
    <row r="1964">
      <c r="A1964" s="3">
        <v>2009.0</v>
      </c>
      <c r="B1964" s="3">
        <v>2009.0</v>
      </c>
      <c r="C1964" s="3">
        <v>0.0</v>
      </c>
      <c r="D1964" s="3">
        <v>1.0</v>
      </c>
      <c r="E1964" s="1" t="s">
        <v>722</v>
      </c>
      <c r="F1964" s="3">
        <v>1.0</v>
      </c>
      <c r="G1964" s="3">
        <v>1.0</v>
      </c>
      <c r="H1964" s="3">
        <v>0.0</v>
      </c>
      <c r="I1964" s="1"/>
      <c r="J1964" s="3">
        <v>836.0</v>
      </c>
    </row>
    <row r="1965">
      <c r="A1965" s="3">
        <v>2010.0</v>
      </c>
      <c r="B1965" s="3">
        <v>2010.0</v>
      </c>
      <c r="C1965" s="3">
        <v>0.0</v>
      </c>
      <c r="D1965" s="3">
        <v>1.0</v>
      </c>
      <c r="E1965" s="1" t="s">
        <v>722</v>
      </c>
      <c r="F1965" s="3">
        <v>9.0</v>
      </c>
      <c r="G1965" s="3">
        <v>1.0</v>
      </c>
      <c r="H1965" s="3">
        <v>0.0</v>
      </c>
      <c r="I1965" s="1"/>
      <c r="J1965" s="3">
        <v>836.0</v>
      </c>
    </row>
    <row r="1966">
      <c r="A1966" s="3">
        <v>2011.0</v>
      </c>
      <c r="B1966" s="3">
        <v>2011.0</v>
      </c>
      <c r="C1966" s="3">
        <v>0.0</v>
      </c>
      <c r="D1966" s="3">
        <v>1.0</v>
      </c>
      <c r="E1966" s="1" t="s">
        <v>724</v>
      </c>
      <c r="F1966" s="3">
        <v>1.0</v>
      </c>
      <c r="G1966" s="3">
        <v>1.0</v>
      </c>
      <c r="H1966" s="3">
        <v>0.0</v>
      </c>
      <c r="I1966" s="1"/>
      <c r="J1966" s="3">
        <v>836.0</v>
      </c>
    </row>
    <row r="1967">
      <c r="A1967" s="3">
        <v>2012.0</v>
      </c>
      <c r="B1967" s="3">
        <v>2012.0</v>
      </c>
      <c r="C1967" s="3">
        <v>0.0</v>
      </c>
      <c r="D1967" s="3">
        <v>1.0</v>
      </c>
      <c r="E1967" s="1" t="s">
        <v>724</v>
      </c>
      <c r="F1967" s="3">
        <v>2.0</v>
      </c>
      <c r="G1967" s="3">
        <v>1.0</v>
      </c>
      <c r="H1967" s="3">
        <v>0.0</v>
      </c>
      <c r="I1967" s="1"/>
      <c r="J1967" s="3">
        <v>836.0</v>
      </c>
    </row>
    <row r="1968">
      <c r="A1968" s="3">
        <v>2013.0</v>
      </c>
      <c r="B1968" s="3">
        <v>2013.0</v>
      </c>
      <c r="C1968" s="3">
        <v>0.0</v>
      </c>
      <c r="D1968" s="3">
        <v>1.0</v>
      </c>
      <c r="E1968" s="1" t="s">
        <v>724</v>
      </c>
      <c r="F1968" s="1" t="s">
        <v>93</v>
      </c>
      <c r="G1968" s="3">
        <v>1.0</v>
      </c>
      <c r="H1968" s="3">
        <v>0.0</v>
      </c>
      <c r="I1968" s="1"/>
      <c r="J1968" s="3">
        <v>836.0</v>
      </c>
    </row>
    <row r="1969">
      <c r="A1969" s="3">
        <v>2015.0</v>
      </c>
      <c r="B1969" s="3">
        <v>2015.0</v>
      </c>
      <c r="C1969" s="3">
        <v>0.0</v>
      </c>
      <c r="D1969" s="3">
        <v>1.0</v>
      </c>
      <c r="E1969" s="1" t="s">
        <v>725</v>
      </c>
      <c r="F1969" s="3">
        <v>1.0</v>
      </c>
      <c r="G1969" s="3">
        <v>1.0</v>
      </c>
      <c r="H1969" s="3">
        <v>0.0</v>
      </c>
      <c r="I1969" s="1"/>
      <c r="J1969" s="3">
        <v>836.0</v>
      </c>
    </row>
    <row r="1970">
      <c r="A1970" s="3">
        <v>2016.0</v>
      </c>
      <c r="B1970" s="3">
        <v>2016.0</v>
      </c>
      <c r="C1970" s="3">
        <v>0.0</v>
      </c>
      <c r="D1970" s="3">
        <v>1.0</v>
      </c>
      <c r="E1970" s="1" t="s">
        <v>722</v>
      </c>
      <c r="F1970" s="3">
        <v>10.0</v>
      </c>
      <c r="G1970" s="3">
        <v>1.0</v>
      </c>
      <c r="H1970" s="3">
        <v>0.0</v>
      </c>
      <c r="I1970" s="1"/>
      <c r="J1970" s="3">
        <v>836.0</v>
      </c>
    </row>
    <row r="1971">
      <c r="A1971" s="3">
        <v>2017.0</v>
      </c>
      <c r="B1971" s="3">
        <v>2017.0</v>
      </c>
      <c r="C1971" s="3">
        <v>0.0</v>
      </c>
      <c r="D1971" s="3">
        <v>1.0</v>
      </c>
      <c r="E1971" s="1" t="s">
        <v>722</v>
      </c>
      <c r="F1971" s="3">
        <v>11.0</v>
      </c>
      <c r="G1971" s="3">
        <v>1.0</v>
      </c>
      <c r="H1971" s="3">
        <v>0.0</v>
      </c>
      <c r="I1971" s="1"/>
      <c r="J1971" s="3">
        <v>836.0</v>
      </c>
    </row>
    <row r="1972">
      <c r="A1972" s="3">
        <v>2018.0</v>
      </c>
      <c r="B1972" s="3">
        <v>2018.0</v>
      </c>
      <c r="C1972" s="3">
        <v>0.0</v>
      </c>
      <c r="D1972" s="3">
        <v>1.0</v>
      </c>
      <c r="E1972" s="1" t="s">
        <v>726</v>
      </c>
      <c r="F1972" s="1"/>
      <c r="G1972" s="3">
        <v>1.0</v>
      </c>
      <c r="H1972" s="3">
        <v>0.0</v>
      </c>
      <c r="I1972" s="1"/>
      <c r="J1972" s="3">
        <v>836.0</v>
      </c>
    </row>
    <row r="1973">
      <c r="A1973" s="3">
        <v>2019.0</v>
      </c>
      <c r="B1973" s="3">
        <v>2019.0</v>
      </c>
      <c r="C1973" s="3">
        <v>0.0</v>
      </c>
      <c r="D1973" s="3">
        <v>1.0</v>
      </c>
      <c r="E1973" s="1" t="s">
        <v>727</v>
      </c>
      <c r="F1973" s="1" t="s">
        <v>93</v>
      </c>
      <c r="G1973" s="3">
        <v>1.0</v>
      </c>
      <c r="H1973" s="3">
        <v>0.0</v>
      </c>
      <c r="I1973" s="1"/>
      <c r="J1973" s="3">
        <v>836.0</v>
      </c>
    </row>
    <row r="1974">
      <c r="A1974" s="3">
        <v>2020.0</v>
      </c>
      <c r="B1974" s="3">
        <v>2020.0</v>
      </c>
      <c r="C1974" s="3">
        <v>0.0</v>
      </c>
      <c r="D1974" s="3">
        <v>1.0</v>
      </c>
      <c r="E1974" s="1" t="s">
        <v>724</v>
      </c>
      <c r="F1974" s="3">
        <v>3.0</v>
      </c>
      <c r="G1974" s="3">
        <v>1.0</v>
      </c>
      <c r="H1974" s="3">
        <v>0.0</v>
      </c>
      <c r="I1974" s="1"/>
      <c r="J1974" s="3">
        <v>836.0</v>
      </c>
    </row>
    <row r="1975">
      <c r="A1975" s="3">
        <v>2021.0</v>
      </c>
      <c r="B1975" s="3">
        <v>2021.0</v>
      </c>
      <c r="C1975" s="3">
        <v>0.0</v>
      </c>
      <c r="D1975" s="3">
        <v>1.0</v>
      </c>
      <c r="E1975" s="2" t="s">
        <v>728</v>
      </c>
      <c r="F1975" s="1"/>
      <c r="G1975" s="3">
        <v>1.0</v>
      </c>
      <c r="H1975" s="3">
        <v>0.0</v>
      </c>
      <c r="I1975" s="1"/>
      <c r="J1975" s="3">
        <v>836.0</v>
      </c>
    </row>
    <row r="1976">
      <c r="A1976" s="3">
        <v>2022.0</v>
      </c>
      <c r="B1976" s="3">
        <v>2022.0</v>
      </c>
      <c r="C1976" s="3">
        <v>0.0</v>
      </c>
      <c r="D1976" s="3">
        <v>1.0</v>
      </c>
      <c r="E1976" s="1" t="s">
        <v>727</v>
      </c>
      <c r="F1976" s="3">
        <v>4.0</v>
      </c>
      <c r="G1976" s="3">
        <v>1.0</v>
      </c>
      <c r="H1976" s="3">
        <v>0.0</v>
      </c>
      <c r="I1976" s="1"/>
      <c r="J1976" s="3">
        <v>836.0</v>
      </c>
    </row>
    <row r="1977">
      <c r="A1977" s="3">
        <v>2023.0</v>
      </c>
      <c r="B1977" s="3">
        <v>2023.0</v>
      </c>
      <c r="C1977" s="3">
        <v>0.0</v>
      </c>
      <c r="D1977" s="3">
        <v>1.0</v>
      </c>
      <c r="E1977" s="1" t="s">
        <v>727</v>
      </c>
      <c r="F1977" s="3">
        <v>1.0</v>
      </c>
      <c r="G1977" s="3">
        <v>1.0</v>
      </c>
      <c r="H1977" s="3">
        <v>0.0</v>
      </c>
      <c r="I1977" s="1"/>
      <c r="J1977" s="3">
        <v>836.0</v>
      </c>
    </row>
    <row r="1978">
      <c r="A1978" s="3">
        <v>2024.0</v>
      </c>
      <c r="B1978" s="3">
        <v>2024.0</v>
      </c>
      <c r="C1978" s="3">
        <v>0.0</v>
      </c>
      <c r="D1978" s="3">
        <v>1.0</v>
      </c>
      <c r="E1978" s="1" t="s">
        <v>727</v>
      </c>
      <c r="F1978" s="3">
        <v>5.0</v>
      </c>
      <c r="G1978" s="3">
        <v>1.0</v>
      </c>
      <c r="H1978" s="3">
        <v>0.0</v>
      </c>
      <c r="I1978" s="1"/>
      <c r="J1978" s="3">
        <v>836.0</v>
      </c>
    </row>
    <row r="1979">
      <c r="A1979" s="3">
        <v>2025.0</v>
      </c>
      <c r="B1979" s="3">
        <v>2025.0</v>
      </c>
      <c r="C1979" s="3">
        <v>0.0</v>
      </c>
      <c r="D1979" s="3">
        <v>1.0</v>
      </c>
      <c r="E1979" s="1" t="s">
        <v>727</v>
      </c>
      <c r="F1979" s="3">
        <v>2.0</v>
      </c>
      <c r="G1979" s="3">
        <v>1.0</v>
      </c>
      <c r="H1979" s="3">
        <v>0.0</v>
      </c>
      <c r="I1979" s="1"/>
      <c r="J1979" s="3">
        <v>836.0</v>
      </c>
    </row>
    <row r="1980">
      <c r="A1980" s="3">
        <v>2027.0</v>
      </c>
      <c r="B1980" s="3">
        <v>2027.0</v>
      </c>
      <c r="C1980" s="3">
        <v>0.0</v>
      </c>
      <c r="D1980" s="3">
        <v>1.0</v>
      </c>
      <c r="E1980" s="1" t="s">
        <v>727</v>
      </c>
      <c r="F1980" s="3">
        <v>6.0</v>
      </c>
      <c r="G1980" s="3">
        <v>1.0</v>
      </c>
      <c r="H1980" s="3">
        <v>0.0</v>
      </c>
      <c r="I1980" s="1"/>
      <c r="J1980" s="3">
        <v>836.0</v>
      </c>
    </row>
    <row r="1981">
      <c r="A1981" s="3">
        <v>2028.0</v>
      </c>
      <c r="B1981" s="3">
        <v>2028.0</v>
      </c>
      <c r="C1981" s="3">
        <v>0.0</v>
      </c>
      <c r="D1981" s="3">
        <v>1.0</v>
      </c>
      <c r="E1981" s="1" t="s">
        <v>727</v>
      </c>
      <c r="F1981" s="3">
        <v>3.0</v>
      </c>
      <c r="G1981" s="3">
        <v>1.0</v>
      </c>
      <c r="H1981" s="3">
        <v>0.0</v>
      </c>
      <c r="I1981" s="1"/>
      <c r="J1981" s="3">
        <v>836.0</v>
      </c>
    </row>
    <row r="1982">
      <c r="A1982" s="3">
        <v>2029.0</v>
      </c>
      <c r="B1982" s="3">
        <v>2029.0</v>
      </c>
      <c r="C1982" s="3">
        <v>0.0</v>
      </c>
      <c r="D1982" s="3">
        <v>1.0</v>
      </c>
      <c r="E1982" s="1" t="s">
        <v>727</v>
      </c>
      <c r="F1982" s="3">
        <v>7.0</v>
      </c>
      <c r="G1982" s="3">
        <v>1.0</v>
      </c>
      <c r="H1982" s="3">
        <v>0.0</v>
      </c>
      <c r="I1982" s="1"/>
      <c r="J1982" s="3">
        <v>836.0</v>
      </c>
    </row>
    <row r="1983">
      <c r="A1983" s="3">
        <v>2030.0</v>
      </c>
      <c r="B1983" s="3">
        <v>2030.0</v>
      </c>
      <c r="C1983" s="3">
        <v>0.0</v>
      </c>
      <c r="D1983" s="3">
        <v>1.0</v>
      </c>
      <c r="E1983" s="1" t="s">
        <v>727</v>
      </c>
      <c r="F1983" s="3">
        <v>8.0</v>
      </c>
      <c r="G1983" s="3">
        <v>1.0</v>
      </c>
      <c r="H1983" s="3">
        <v>0.0</v>
      </c>
      <c r="I1983" s="1"/>
      <c r="J1983" s="3">
        <v>836.0</v>
      </c>
    </row>
    <row r="1984">
      <c r="A1984" s="3">
        <v>2031.0</v>
      </c>
      <c r="B1984" s="3">
        <v>2031.0</v>
      </c>
      <c r="C1984" s="3">
        <v>0.0</v>
      </c>
      <c r="D1984" s="3">
        <v>1.0</v>
      </c>
      <c r="E1984" s="1" t="s">
        <v>727</v>
      </c>
      <c r="F1984" s="1" t="s">
        <v>106</v>
      </c>
      <c r="G1984" s="3">
        <v>1.0</v>
      </c>
      <c r="H1984" s="3">
        <v>0.0</v>
      </c>
      <c r="I1984" s="1"/>
      <c r="J1984" s="3">
        <v>836.0</v>
      </c>
    </row>
    <row r="1985">
      <c r="A1985" s="3">
        <v>2032.0</v>
      </c>
      <c r="B1985" s="3">
        <v>2032.0</v>
      </c>
      <c r="C1985" s="3">
        <v>0.0</v>
      </c>
      <c r="D1985" s="3">
        <v>1.0</v>
      </c>
      <c r="E1985" s="1" t="s">
        <v>727</v>
      </c>
      <c r="F1985" s="1" t="s">
        <v>107</v>
      </c>
      <c r="G1985" s="3">
        <v>1.0</v>
      </c>
      <c r="H1985" s="3">
        <v>0.0</v>
      </c>
      <c r="I1985" s="1"/>
      <c r="J1985" s="3">
        <v>836.0</v>
      </c>
    </row>
    <row r="1986">
      <c r="A1986" s="3">
        <v>2033.0</v>
      </c>
      <c r="B1986" s="3">
        <v>2033.0</v>
      </c>
      <c r="C1986" s="3">
        <v>0.0</v>
      </c>
      <c r="D1986" s="3">
        <v>1.0</v>
      </c>
      <c r="E1986" s="1" t="s">
        <v>729</v>
      </c>
      <c r="F1986" s="1"/>
      <c r="G1986" s="3">
        <v>1.0</v>
      </c>
      <c r="H1986" s="3">
        <v>0.0</v>
      </c>
      <c r="I1986" s="1"/>
      <c r="J1986" s="3">
        <v>836.0</v>
      </c>
    </row>
    <row r="1987">
      <c r="A1987" s="3">
        <v>2034.0</v>
      </c>
      <c r="B1987" s="3">
        <v>2034.0</v>
      </c>
      <c r="C1987" s="3">
        <v>0.0</v>
      </c>
      <c r="D1987" s="3">
        <v>1.0</v>
      </c>
      <c r="E1987" s="1" t="s">
        <v>730</v>
      </c>
      <c r="F1987" s="1"/>
      <c r="G1987" s="3">
        <v>1.0</v>
      </c>
      <c r="H1987" s="3">
        <v>0.0</v>
      </c>
      <c r="I1987" s="1"/>
      <c r="J1987" s="3">
        <v>836.0</v>
      </c>
    </row>
    <row r="1988">
      <c r="A1988" s="3">
        <v>2035.0</v>
      </c>
      <c r="B1988" s="3">
        <v>2035.0</v>
      </c>
      <c r="C1988" s="3">
        <v>0.0</v>
      </c>
      <c r="D1988" s="3">
        <v>1.0</v>
      </c>
      <c r="E1988" s="2" t="s">
        <v>731</v>
      </c>
      <c r="F1988" s="1"/>
      <c r="G1988" s="3">
        <v>1.0</v>
      </c>
      <c r="H1988" s="3">
        <v>0.0</v>
      </c>
      <c r="I1988" s="1"/>
      <c r="J1988" s="3">
        <v>836.0</v>
      </c>
    </row>
    <row r="1989">
      <c r="A1989" s="3">
        <v>2036.0</v>
      </c>
      <c r="B1989" s="3">
        <v>2036.0</v>
      </c>
      <c r="C1989" s="3">
        <v>0.0</v>
      </c>
      <c r="D1989" s="3">
        <v>1.0</v>
      </c>
      <c r="E1989" s="1" t="s">
        <v>732</v>
      </c>
      <c r="F1989" s="3">
        <v>1.0</v>
      </c>
      <c r="G1989" s="3">
        <v>1.0</v>
      </c>
      <c r="H1989" s="3">
        <v>0.0</v>
      </c>
      <c r="I1989" s="1"/>
      <c r="J1989" s="3">
        <v>836.0</v>
      </c>
    </row>
    <row r="1990">
      <c r="A1990" s="3">
        <v>2037.0</v>
      </c>
      <c r="B1990" s="3">
        <v>2037.0</v>
      </c>
      <c r="C1990" s="3">
        <v>0.0</v>
      </c>
      <c r="D1990" s="3">
        <v>1.0</v>
      </c>
      <c r="E1990" s="2" t="s">
        <v>733</v>
      </c>
      <c r="F1990" s="1"/>
      <c r="G1990" s="3">
        <v>1.0</v>
      </c>
      <c r="H1990" s="3">
        <v>0.0</v>
      </c>
      <c r="I1990" s="1"/>
      <c r="J1990" s="3">
        <v>836.0</v>
      </c>
    </row>
    <row r="1991">
      <c r="A1991" s="3">
        <v>2038.0</v>
      </c>
      <c r="B1991" s="3">
        <v>2038.0</v>
      </c>
      <c r="C1991" s="3">
        <v>0.0</v>
      </c>
      <c r="D1991" s="3">
        <v>1.0</v>
      </c>
      <c r="E1991" s="1" t="s">
        <v>732</v>
      </c>
      <c r="F1991" s="3">
        <v>2.0</v>
      </c>
      <c r="G1991" s="3">
        <v>1.0</v>
      </c>
      <c r="H1991" s="3">
        <v>0.0</v>
      </c>
      <c r="I1991" s="1"/>
      <c r="J1991" s="3">
        <v>836.0</v>
      </c>
    </row>
    <row r="1992">
      <c r="A1992" s="3">
        <v>2039.0</v>
      </c>
      <c r="B1992" s="3">
        <v>2039.0</v>
      </c>
      <c r="C1992" s="3">
        <v>0.0</v>
      </c>
      <c r="D1992" s="3">
        <v>1.0</v>
      </c>
      <c r="E1992" s="2" t="s">
        <v>734</v>
      </c>
      <c r="F1992" s="1"/>
      <c r="G1992" s="3">
        <v>1.0</v>
      </c>
      <c r="H1992" s="3">
        <v>0.0</v>
      </c>
      <c r="I1992" s="1"/>
      <c r="J1992" s="3">
        <v>836.0</v>
      </c>
    </row>
    <row r="1993">
      <c r="A1993" s="3">
        <v>2040.0</v>
      </c>
      <c r="B1993" s="3">
        <v>2040.0</v>
      </c>
      <c r="C1993" s="3">
        <v>0.0</v>
      </c>
      <c r="D1993" s="3">
        <v>1.0</v>
      </c>
      <c r="E1993" s="2" t="s">
        <v>735</v>
      </c>
      <c r="F1993" s="1"/>
      <c r="G1993" s="3">
        <v>1.0</v>
      </c>
      <c r="H1993" s="3">
        <v>0.0</v>
      </c>
      <c r="I1993" s="1"/>
      <c r="J1993" s="3">
        <v>836.0</v>
      </c>
    </row>
    <row r="1994">
      <c r="A1994" s="3">
        <v>2041.0</v>
      </c>
      <c r="B1994" s="3">
        <v>2041.0</v>
      </c>
      <c r="C1994" s="3">
        <v>0.0</v>
      </c>
      <c r="D1994" s="3">
        <v>1.0</v>
      </c>
      <c r="E1994" s="1" t="s">
        <v>736</v>
      </c>
      <c r="F1994" s="3">
        <v>1.0</v>
      </c>
      <c r="G1994" s="3">
        <v>1.0</v>
      </c>
      <c r="H1994" s="3">
        <v>0.0</v>
      </c>
      <c r="I1994" s="1"/>
      <c r="J1994" s="3">
        <v>836.0</v>
      </c>
    </row>
    <row r="1995">
      <c r="A1995" s="3">
        <v>2042.0</v>
      </c>
      <c r="B1995" s="3">
        <v>2042.0</v>
      </c>
      <c r="C1995" s="3">
        <v>0.0</v>
      </c>
      <c r="D1995" s="3">
        <v>1.0</v>
      </c>
      <c r="E1995" s="1" t="s">
        <v>736</v>
      </c>
      <c r="F1995" s="3">
        <v>2.0</v>
      </c>
      <c r="G1995" s="3">
        <v>1.0</v>
      </c>
      <c r="H1995" s="3">
        <v>0.0</v>
      </c>
      <c r="I1995" s="1"/>
      <c r="J1995" s="3">
        <v>836.0</v>
      </c>
    </row>
    <row r="1996">
      <c r="A1996" s="3">
        <v>2043.0</v>
      </c>
      <c r="B1996" s="3">
        <v>2043.0</v>
      </c>
      <c r="C1996" s="3">
        <v>0.0</v>
      </c>
      <c r="D1996" s="3">
        <v>1.0</v>
      </c>
      <c r="E1996" s="1" t="s">
        <v>736</v>
      </c>
      <c r="F1996" s="3">
        <v>3.0</v>
      </c>
      <c r="G1996" s="3">
        <v>1.0</v>
      </c>
      <c r="H1996" s="3">
        <v>0.0</v>
      </c>
      <c r="I1996" s="1"/>
      <c r="J1996" s="3">
        <v>836.0</v>
      </c>
    </row>
    <row r="1997">
      <c r="A1997" s="3">
        <v>2044.0</v>
      </c>
      <c r="B1997" s="3">
        <v>2044.0</v>
      </c>
      <c r="C1997" s="3">
        <v>1106.0</v>
      </c>
      <c r="D1997" s="3">
        <v>1.0</v>
      </c>
      <c r="E1997" s="1" t="s">
        <v>185</v>
      </c>
      <c r="F1997" s="1" t="s">
        <v>737</v>
      </c>
      <c r="G1997" s="3">
        <v>1.0</v>
      </c>
      <c r="H1997" s="3">
        <v>0.0</v>
      </c>
      <c r="I1997" s="1"/>
      <c r="J1997" s="3">
        <v>836.0</v>
      </c>
    </row>
    <row r="1998">
      <c r="A1998" s="3">
        <v>2045.0</v>
      </c>
      <c r="B1998" s="3">
        <v>2045.0</v>
      </c>
      <c r="C1998" s="3">
        <v>1117.0</v>
      </c>
      <c r="D1998" s="3">
        <v>1.0</v>
      </c>
      <c r="E1998" s="1" t="s">
        <v>738</v>
      </c>
      <c r="F1998" s="1" t="s">
        <v>737</v>
      </c>
      <c r="G1998" s="3">
        <v>1.0</v>
      </c>
      <c r="H1998" s="3">
        <v>0.0</v>
      </c>
      <c r="I1998" s="1"/>
      <c r="J1998" s="3">
        <v>836.0</v>
      </c>
    </row>
    <row r="1999">
      <c r="A1999" s="3">
        <v>2046.0</v>
      </c>
      <c r="B1999" s="3">
        <v>2046.0</v>
      </c>
      <c r="C1999" s="3">
        <v>749.0</v>
      </c>
      <c r="D1999" s="3">
        <v>1.0</v>
      </c>
      <c r="E1999" s="1" t="s">
        <v>23</v>
      </c>
      <c r="F1999" s="3">
        <v>4.0</v>
      </c>
      <c r="G1999" s="3">
        <v>1.0</v>
      </c>
      <c r="H1999" s="3">
        <v>0.0</v>
      </c>
      <c r="I1999" s="1"/>
      <c r="J1999" s="3">
        <v>836.0</v>
      </c>
    </row>
    <row r="2000">
      <c r="A2000" s="3">
        <v>2047.0</v>
      </c>
      <c r="B2000" s="3">
        <v>2047.0</v>
      </c>
      <c r="C2000" s="3">
        <v>1114.0</v>
      </c>
      <c r="D2000" s="3">
        <v>1.0</v>
      </c>
      <c r="E2000" s="1" t="s">
        <v>739</v>
      </c>
      <c r="F2000" s="1" t="s">
        <v>737</v>
      </c>
      <c r="G2000" s="3">
        <v>1.0</v>
      </c>
      <c r="H2000" s="3">
        <v>0.0</v>
      </c>
      <c r="I2000" s="1"/>
      <c r="J2000" s="3">
        <v>836.0</v>
      </c>
    </row>
    <row r="2001">
      <c r="A2001" s="3">
        <v>2048.0</v>
      </c>
      <c r="B2001" s="3">
        <v>2048.0</v>
      </c>
      <c r="C2001" s="3">
        <v>201.0</v>
      </c>
      <c r="D2001" s="3">
        <v>1.0</v>
      </c>
      <c r="E2001" s="1" t="s">
        <v>187</v>
      </c>
      <c r="F2001" s="1" t="s">
        <v>200</v>
      </c>
      <c r="G2001" s="3">
        <v>1.0</v>
      </c>
      <c r="H2001" s="3">
        <v>0.0</v>
      </c>
      <c r="I2001" s="1"/>
      <c r="J2001" s="3">
        <v>836.0</v>
      </c>
    </row>
    <row r="2002">
      <c r="A2002" s="3">
        <v>2049.0</v>
      </c>
      <c r="B2002" s="3">
        <v>2049.0</v>
      </c>
      <c r="C2002" s="3">
        <v>1107.0</v>
      </c>
      <c r="D2002" s="3">
        <v>1.0</v>
      </c>
      <c r="E2002" s="1" t="s">
        <v>740</v>
      </c>
      <c r="F2002" s="1" t="s">
        <v>737</v>
      </c>
      <c r="G2002" s="3">
        <v>1.0</v>
      </c>
      <c r="H2002" s="3">
        <v>0.0</v>
      </c>
      <c r="I2002" s="1"/>
      <c r="J2002" s="3">
        <v>836.0</v>
      </c>
    </row>
    <row r="2003">
      <c r="A2003" s="3">
        <v>2050.0</v>
      </c>
      <c r="B2003" s="3">
        <v>2050.0</v>
      </c>
      <c r="C2003" s="3">
        <v>1115.0</v>
      </c>
      <c r="D2003" s="3">
        <v>1.0</v>
      </c>
      <c r="E2003" s="1" t="s">
        <v>14</v>
      </c>
      <c r="F2003" s="1"/>
      <c r="G2003" s="3">
        <v>1.0</v>
      </c>
      <c r="H2003" s="3">
        <v>0.0</v>
      </c>
      <c r="I2003" s="1"/>
      <c r="J2003" s="3">
        <v>836.0</v>
      </c>
    </row>
    <row r="2004">
      <c r="A2004" s="3">
        <v>2051.0</v>
      </c>
      <c r="B2004" s="3">
        <v>2051.0</v>
      </c>
      <c r="C2004" s="3">
        <v>0.0</v>
      </c>
      <c r="D2004" s="3">
        <v>1.0</v>
      </c>
      <c r="E2004" s="1" t="s">
        <v>480</v>
      </c>
      <c r="F2004" s="1" t="s">
        <v>737</v>
      </c>
      <c r="G2004" s="3">
        <v>1.0</v>
      </c>
      <c r="H2004" s="3">
        <v>0.0</v>
      </c>
      <c r="I2004" s="1"/>
      <c r="J2004" s="3">
        <v>836.0</v>
      </c>
    </row>
    <row r="2005">
      <c r="A2005" s="3">
        <v>2052.0</v>
      </c>
      <c r="B2005" s="3">
        <v>2052.0</v>
      </c>
      <c r="C2005" s="3">
        <v>0.0</v>
      </c>
      <c r="D2005" s="3">
        <v>1.0</v>
      </c>
      <c r="E2005" s="1" t="s">
        <v>110</v>
      </c>
      <c r="F2005" s="1" t="s">
        <v>737</v>
      </c>
      <c r="G2005" s="3">
        <v>1.0</v>
      </c>
      <c r="H2005" s="3">
        <v>0.0</v>
      </c>
      <c r="I2005" s="1"/>
      <c r="J2005" s="3">
        <v>836.0</v>
      </c>
    </row>
    <row r="2006">
      <c r="A2006" s="3">
        <v>2053.0</v>
      </c>
      <c r="B2006" s="3">
        <v>2053.0</v>
      </c>
      <c r="C2006" s="3">
        <v>0.0</v>
      </c>
      <c r="D2006" s="3">
        <v>1.0</v>
      </c>
      <c r="E2006" s="1" t="s">
        <v>487</v>
      </c>
      <c r="F2006" s="1" t="s">
        <v>737</v>
      </c>
      <c r="G2006" s="3">
        <v>1.0</v>
      </c>
      <c r="H2006" s="3">
        <v>0.0</v>
      </c>
      <c r="I2006" s="1"/>
      <c r="J2006" s="3">
        <v>836.0</v>
      </c>
    </row>
    <row r="2007">
      <c r="A2007" s="3">
        <v>2054.0</v>
      </c>
      <c r="B2007" s="3">
        <v>2054.0</v>
      </c>
      <c r="C2007" s="3">
        <v>0.0</v>
      </c>
      <c r="D2007" s="3">
        <v>1.0</v>
      </c>
      <c r="E2007" s="1" t="s">
        <v>99</v>
      </c>
      <c r="F2007" s="1" t="s">
        <v>737</v>
      </c>
      <c r="G2007" s="3">
        <v>1.0</v>
      </c>
      <c r="H2007" s="3">
        <v>0.0</v>
      </c>
      <c r="I2007" s="1"/>
      <c r="J2007" s="3">
        <v>836.0</v>
      </c>
    </row>
    <row r="2008">
      <c r="A2008" s="3">
        <v>2055.0</v>
      </c>
      <c r="B2008" s="3">
        <v>2055.0</v>
      </c>
      <c r="C2008" s="3">
        <v>0.0</v>
      </c>
      <c r="D2008" s="3">
        <v>1.0</v>
      </c>
      <c r="E2008" s="1" t="s">
        <v>741</v>
      </c>
      <c r="F2008" s="1" t="s">
        <v>737</v>
      </c>
      <c r="G2008" s="3">
        <v>1.0</v>
      </c>
      <c r="H2008" s="3">
        <v>0.0</v>
      </c>
      <c r="I2008" s="1"/>
      <c r="J2008" s="3">
        <v>836.0</v>
      </c>
    </row>
    <row r="2009">
      <c r="A2009" s="3">
        <v>2056.0</v>
      </c>
      <c r="B2009" s="3">
        <v>2056.0</v>
      </c>
      <c r="C2009" s="3">
        <v>633.0</v>
      </c>
      <c r="D2009" s="3">
        <v>1.0</v>
      </c>
      <c r="E2009" s="1" t="s">
        <v>502</v>
      </c>
      <c r="F2009" s="1" t="s">
        <v>153</v>
      </c>
      <c r="G2009" s="3">
        <v>1.0</v>
      </c>
      <c r="H2009" s="3">
        <v>0.0</v>
      </c>
      <c r="I2009" s="1"/>
      <c r="J2009" s="3">
        <v>836.0</v>
      </c>
    </row>
    <row r="2010">
      <c r="A2010" s="3">
        <v>2057.0</v>
      </c>
      <c r="B2010" s="3">
        <v>2057.0</v>
      </c>
      <c r="C2010" s="3">
        <v>0.0</v>
      </c>
      <c r="D2010" s="3">
        <v>1.0</v>
      </c>
      <c r="E2010" s="1"/>
      <c r="F2010" s="1"/>
      <c r="G2010" s="3">
        <v>1.0</v>
      </c>
      <c r="H2010" s="3">
        <v>0.0</v>
      </c>
      <c r="I2010" s="1"/>
      <c r="J2010" s="3">
        <v>836.0</v>
      </c>
    </row>
    <row r="2011">
      <c r="A2011" s="3">
        <v>62.0</v>
      </c>
      <c r="B2011" s="3">
        <v>62.0</v>
      </c>
      <c r="C2011" s="3">
        <v>77.0</v>
      </c>
      <c r="D2011" s="3">
        <v>1.0</v>
      </c>
      <c r="E2011" s="1" t="s">
        <v>148</v>
      </c>
      <c r="F2011" s="1" t="s">
        <v>161</v>
      </c>
      <c r="G2011" s="3">
        <v>1.0</v>
      </c>
      <c r="H2011" s="3">
        <v>0.0</v>
      </c>
      <c r="I2011" s="1"/>
      <c r="J2011" s="3">
        <v>836.0</v>
      </c>
    </row>
    <row r="2012">
      <c r="A2012" s="3">
        <v>64.0</v>
      </c>
      <c r="B2012" s="3">
        <v>64.0</v>
      </c>
      <c r="C2012" s="3">
        <v>92.0</v>
      </c>
      <c r="D2012" s="3">
        <v>1.0</v>
      </c>
      <c r="E2012" s="1" t="s">
        <v>148</v>
      </c>
      <c r="F2012" s="3">
        <v>4.0</v>
      </c>
      <c r="G2012" s="3">
        <v>1.0</v>
      </c>
      <c r="H2012" s="3">
        <v>0.0</v>
      </c>
      <c r="I2012" s="1"/>
      <c r="J2012" s="3">
        <v>836.0</v>
      </c>
    </row>
    <row r="2013">
      <c r="A2013" s="3">
        <v>1909.0</v>
      </c>
      <c r="B2013" s="3">
        <v>1909.0</v>
      </c>
      <c r="C2013" s="3">
        <v>0.0</v>
      </c>
      <c r="D2013" s="3">
        <v>1.0</v>
      </c>
      <c r="E2013" s="1" t="s">
        <v>742</v>
      </c>
      <c r="F2013" s="1"/>
      <c r="G2013" s="3">
        <v>1.0</v>
      </c>
      <c r="H2013" s="3">
        <v>0.0</v>
      </c>
      <c r="I2013" s="1"/>
      <c r="J2013" s="3">
        <v>836.0</v>
      </c>
    </row>
    <row r="2014">
      <c r="A2014" s="3">
        <v>1910.0</v>
      </c>
      <c r="B2014" s="3">
        <v>1910.0</v>
      </c>
      <c r="C2014" s="3">
        <v>1067.0</v>
      </c>
      <c r="D2014" s="3">
        <v>1.0</v>
      </c>
      <c r="E2014" s="1" t="s">
        <v>36</v>
      </c>
      <c r="F2014" s="1" t="s">
        <v>490</v>
      </c>
      <c r="G2014" s="3">
        <v>1.0</v>
      </c>
      <c r="H2014" s="3">
        <v>0.0</v>
      </c>
      <c r="I2014" s="1"/>
      <c r="J2014" s="3">
        <v>836.0</v>
      </c>
    </row>
    <row r="2015">
      <c r="A2015" s="3">
        <v>63.0</v>
      </c>
      <c r="B2015" s="3">
        <v>63.0</v>
      </c>
      <c r="C2015" s="3">
        <v>76.0</v>
      </c>
      <c r="D2015" s="3">
        <v>1.0</v>
      </c>
      <c r="E2015" s="1" t="s">
        <v>148</v>
      </c>
      <c r="F2015" s="1" t="s">
        <v>163</v>
      </c>
      <c r="G2015" s="3">
        <v>1.0</v>
      </c>
      <c r="H2015" s="3">
        <v>0.0</v>
      </c>
      <c r="I2015" s="1"/>
      <c r="J2015" s="3">
        <v>836.0</v>
      </c>
    </row>
    <row r="2016">
      <c r="A2016" s="3">
        <v>81.0</v>
      </c>
      <c r="B2016" s="3">
        <v>81.0</v>
      </c>
      <c r="C2016" s="3">
        <v>236.0</v>
      </c>
      <c r="D2016" s="3">
        <v>1.0</v>
      </c>
      <c r="E2016" s="1" t="s">
        <v>156</v>
      </c>
      <c r="F2016" s="3">
        <v>1.0</v>
      </c>
      <c r="G2016" s="3">
        <v>1.0</v>
      </c>
      <c r="H2016" s="3">
        <v>0.0</v>
      </c>
      <c r="I2016" s="1"/>
      <c r="J2016" s="3">
        <v>836.0</v>
      </c>
    </row>
    <row r="2017">
      <c r="A2017" s="3">
        <v>2140.0</v>
      </c>
      <c r="B2017" s="3">
        <v>2140.0</v>
      </c>
      <c r="C2017" s="1"/>
      <c r="D2017" s="3">
        <v>1.0</v>
      </c>
      <c r="E2017" s="1" t="s">
        <v>743</v>
      </c>
      <c r="F2017" s="3">
        <v>1.0</v>
      </c>
      <c r="G2017" s="3">
        <v>1.0</v>
      </c>
      <c r="H2017" s="3">
        <v>1.0</v>
      </c>
      <c r="I2017" s="4">
        <v>40707.0</v>
      </c>
      <c r="J2017" s="3">
        <v>836.0</v>
      </c>
    </row>
    <row r="2018">
      <c r="A2018" s="3">
        <v>2160.0</v>
      </c>
      <c r="B2018" s="3">
        <v>2160.0</v>
      </c>
      <c r="C2018" s="1"/>
      <c r="D2018" s="3">
        <v>1.0</v>
      </c>
      <c r="E2018" s="1" t="s">
        <v>74</v>
      </c>
      <c r="F2018" s="3">
        <v>148.0</v>
      </c>
      <c r="G2018" s="3">
        <v>1.0</v>
      </c>
      <c r="H2018" s="3">
        <v>1.0</v>
      </c>
      <c r="I2018" s="4">
        <v>40738.0</v>
      </c>
      <c r="J2018" s="3">
        <v>836.0</v>
      </c>
    </row>
    <row r="2019">
      <c r="A2019" s="3">
        <v>2200.0</v>
      </c>
      <c r="B2019" s="3">
        <v>987.0</v>
      </c>
      <c r="C2019" s="3">
        <v>0.0</v>
      </c>
      <c r="D2019" s="3">
        <v>2.0</v>
      </c>
      <c r="E2019" s="1" t="s">
        <v>74</v>
      </c>
      <c r="F2019" s="3">
        <v>138.0</v>
      </c>
      <c r="G2019" s="3">
        <v>0.0</v>
      </c>
      <c r="H2019" s="3">
        <v>0.0</v>
      </c>
      <c r="I2019" s="4">
        <v>40764.0</v>
      </c>
      <c r="J2019" s="3">
        <v>836.0</v>
      </c>
    </row>
    <row r="2020">
      <c r="A2020" s="3">
        <v>2183.0</v>
      </c>
      <c r="B2020" s="3">
        <v>1903.0</v>
      </c>
      <c r="C2020" s="3">
        <v>99.0</v>
      </c>
      <c r="D2020" s="3">
        <v>2.0</v>
      </c>
      <c r="E2020" s="2" t="s">
        <v>715</v>
      </c>
      <c r="F2020" s="1"/>
      <c r="G2020" s="3">
        <v>1.0</v>
      </c>
      <c r="H2020" s="3">
        <v>0.0</v>
      </c>
      <c r="I2020" s="4">
        <v>40737.0</v>
      </c>
      <c r="J2020" s="3">
        <v>836.0</v>
      </c>
    </row>
    <row r="2021">
      <c r="A2021" s="3">
        <v>2201.0</v>
      </c>
      <c r="B2021" s="3">
        <v>2201.0</v>
      </c>
      <c r="C2021" s="1"/>
      <c r="D2021" s="3">
        <v>1.0</v>
      </c>
      <c r="E2021" s="2" t="s">
        <v>74</v>
      </c>
      <c r="F2021" s="1"/>
      <c r="G2021" s="3">
        <v>0.0</v>
      </c>
      <c r="H2021" s="3">
        <v>4.0</v>
      </c>
      <c r="I2021" s="4">
        <v>40764.0</v>
      </c>
      <c r="J2021" s="3">
        <v>836.0</v>
      </c>
    </row>
    <row r="2022">
      <c r="A2022" s="3">
        <v>2202.0</v>
      </c>
      <c r="B2022" s="3">
        <v>2201.0</v>
      </c>
      <c r="C2022" s="1"/>
      <c r="D2022" s="3">
        <v>2.0</v>
      </c>
      <c r="E2022" s="2" t="s">
        <v>74</v>
      </c>
      <c r="F2022" s="1"/>
      <c r="G2022" s="3">
        <v>0.0</v>
      </c>
      <c r="H2022" s="3">
        <v>4.0</v>
      </c>
      <c r="I2022" s="4">
        <v>40764.0</v>
      </c>
      <c r="J2022" s="3">
        <v>836.0</v>
      </c>
    </row>
    <row r="2023">
      <c r="A2023" s="3">
        <v>2203.0</v>
      </c>
      <c r="B2023" s="3">
        <v>2201.0</v>
      </c>
      <c r="C2023" s="1"/>
      <c r="D2023" s="3">
        <v>3.0</v>
      </c>
      <c r="E2023" s="2" t="s">
        <v>74</v>
      </c>
      <c r="F2023" s="1"/>
      <c r="G2023" s="3">
        <v>1.0</v>
      </c>
      <c r="H2023" s="3">
        <v>4.0</v>
      </c>
      <c r="I2023" s="4">
        <v>40764.0</v>
      </c>
      <c r="J2023" s="3">
        <v>836.0</v>
      </c>
    </row>
    <row r="2024">
      <c r="A2024" s="3">
        <v>2204.0</v>
      </c>
      <c r="B2024" s="3">
        <v>987.0</v>
      </c>
      <c r="C2024" s="3">
        <v>0.0</v>
      </c>
      <c r="D2024" s="3">
        <v>3.0</v>
      </c>
      <c r="E2024" s="1" t="s">
        <v>74</v>
      </c>
      <c r="F2024" s="3">
        <v>138.0</v>
      </c>
      <c r="G2024" s="3">
        <v>1.0</v>
      </c>
      <c r="H2024" s="3">
        <v>0.0</v>
      </c>
      <c r="I2024" s="4">
        <v>40764.0</v>
      </c>
      <c r="J2024" s="3">
        <v>836.0</v>
      </c>
    </row>
    <row r="2025">
      <c r="A2025" s="3">
        <v>2220.0</v>
      </c>
      <c r="B2025" s="3">
        <v>82.0</v>
      </c>
      <c r="C2025" s="3">
        <v>62.0</v>
      </c>
      <c r="D2025" s="3">
        <v>2.0</v>
      </c>
      <c r="E2025" s="1" t="s">
        <v>47</v>
      </c>
      <c r="F2025" s="3">
        <v>2.0</v>
      </c>
      <c r="G2025" s="3">
        <v>1.0</v>
      </c>
      <c r="H2025" s="3">
        <v>0.0</v>
      </c>
      <c r="I2025" s="4">
        <v>41094.0</v>
      </c>
      <c r="J2025" s="3">
        <v>836.0</v>
      </c>
    </row>
    <row r="2026">
      <c r="A2026" s="3">
        <v>2240.0</v>
      </c>
      <c r="B2026" s="3">
        <v>1367.0</v>
      </c>
      <c r="C2026" s="3">
        <v>1049.0</v>
      </c>
      <c r="D2026" s="3">
        <v>2.0</v>
      </c>
      <c r="E2026" s="2" t="s">
        <v>582</v>
      </c>
      <c r="F2026" s="1"/>
      <c r="G2026" s="3">
        <v>1.0</v>
      </c>
      <c r="H2026" s="3">
        <v>0.0</v>
      </c>
      <c r="I2026" s="4">
        <v>41767.0</v>
      </c>
      <c r="J2026" s="3">
        <v>836.0</v>
      </c>
    </row>
    <row r="2027">
      <c r="A2027" s="3">
        <v>2245.0</v>
      </c>
      <c r="B2027" s="3">
        <v>2230.0</v>
      </c>
      <c r="C2027" s="1"/>
      <c r="D2027" s="3">
        <v>1.0</v>
      </c>
      <c r="E2027" s="1" t="s">
        <v>744</v>
      </c>
      <c r="F2027" s="3">
        <v>1.0</v>
      </c>
      <c r="G2027" s="3">
        <v>1.0</v>
      </c>
      <c r="H2027" s="1"/>
      <c r="I2027" s="1"/>
      <c r="J2027" s="3">
        <v>1618.0</v>
      </c>
    </row>
    <row r="2028">
      <c r="A2028" s="3">
        <v>2246.0</v>
      </c>
      <c r="B2028" s="3">
        <v>2231.0</v>
      </c>
      <c r="C2028" s="1"/>
      <c r="D2028" s="3">
        <v>1.0</v>
      </c>
      <c r="E2028" s="1" t="s">
        <v>744</v>
      </c>
      <c r="F2028" s="3">
        <v>2.0</v>
      </c>
      <c r="G2028" s="3">
        <v>1.0</v>
      </c>
      <c r="H2028" s="1"/>
      <c r="I2028" s="1"/>
      <c r="J2028" s="3">
        <v>1618.0</v>
      </c>
    </row>
    <row r="2029">
      <c r="A2029" s="3">
        <v>2247.0</v>
      </c>
      <c r="B2029" s="3">
        <v>2232.0</v>
      </c>
      <c r="C2029" s="1"/>
      <c r="D2029" s="3">
        <v>1.0</v>
      </c>
      <c r="E2029" s="1" t="s">
        <v>399</v>
      </c>
      <c r="F2029" s="3">
        <v>3.0</v>
      </c>
      <c r="G2029" s="3">
        <v>1.0</v>
      </c>
      <c r="H2029" s="1"/>
      <c r="I2029" s="1"/>
      <c r="J2029" s="3">
        <v>1618.0</v>
      </c>
    </row>
    <row r="2030">
      <c r="A2030" s="3">
        <v>2248.0</v>
      </c>
      <c r="B2030" s="3">
        <v>2233.0</v>
      </c>
      <c r="C2030" s="1"/>
      <c r="D2030" s="3">
        <v>1.0</v>
      </c>
      <c r="E2030" s="1" t="s">
        <v>399</v>
      </c>
      <c r="F2030" s="3">
        <v>4.0</v>
      </c>
      <c r="G2030" s="3">
        <v>1.0</v>
      </c>
      <c r="H2030" s="1"/>
      <c r="I2030" s="1"/>
      <c r="J2030" s="3">
        <v>1618.0</v>
      </c>
    </row>
    <row r="2031">
      <c r="A2031" s="3">
        <v>2249.0</v>
      </c>
      <c r="B2031" s="3">
        <v>2234.0</v>
      </c>
      <c r="C2031" s="1"/>
      <c r="D2031" s="3">
        <v>1.0</v>
      </c>
      <c r="E2031" s="1" t="s">
        <v>745</v>
      </c>
      <c r="F2031" s="3">
        <v>1.0</v>
      </c>
      <c r="G2031" s="3">
        <v>1.0</v>
      </c>
      <c r="H2031" s="1"/>
      <c r="I2031" s="1"/>
      <c r="J2031" s="3">
        <v>1618.0</v>
      </c>
    </row>
    <row r="2032">
      <c r="A2032" s="3">
        <v>2250.0</v>
      </c>
      <c r="B2032" s="3">
        <v>2235.0</v>
      </c>
      <c r="C2032" s="1"/>
      <c r="D2032" s="3">
        <v>1.0</v>
      </c>
      <c r="E2032" s="1" t="s">
        <v>746</v>
      </c>
      <c r="F2032" s="3">
        <v>1.0</v>
      </c>
      <c r="G2032" s="3">
        <v>1.0</v>
      </c>
      <c r="H2032" s="1"/>
      <c r="I2032" s="1"/>
      <c r="J2032" s="3">
        <v>1618.0</v>
      </c>
    </row>
    <row r="2033">
      <c r="A2033" s="3">
        <v>2251.0</v>
      </c>
      <c r="B2033" s="3">
        <v>2236.0</v>
      </c>
      <c r="C2033" s="1"/>
      <c r="D2033" s="3">
        <v>1.0</v>
      </c>
      <c r="E2033" s="1" t="s">
        <v>746</v>
      </c>
      <c r="F2033" s="1" t="s">
        <v>355</v>
      </c>
      <c r="G2033" s="3">
        <v>1.0</v>
      </c>
      <c r="H2033" s="1"/>
      <c r="I2033" s="1"/>
      <c r="J2033" s="3">
        <v>1618.0</v>
      </c>
    </row>
    <row r="2034">
      <c r="A2034" s="3">
        <v>2252.0</v>
      </c>
      <c r="B2034" s="3">
        <v>2237.0</v>
      </c>
      <c r="C2034" s="1"/>
      <c r="D2034" s="3">
        <v>1.0</v>
      </c>
      <c r="E2034" s="1" t="s">
        <v>746</v>
      </c>
      <c r="F2034" s="3">
        <v>2.0</v>
      </c>
      <c r="G2034" s="3">
        <v>1.0</v>
      </c>
      <c r="H2034" s="1"/>
      <c r="I2034" s="1"/>
      <c r="J2034" s="3">
        <v>1618.0</v>
      </c>
    </row>
    <row r="2035">
      <c r="A2035" s="3">
        <v>2253.0</v>
      </c>
      <c r="B2035" s="3">
        <v>2238.0</v>
      </c>
      <c r="C2035" s="1"/>
      <c r="D2035" s="3">
        <v>1.0</v>
      </c>
      <c r="E2035" s="1" t="s">
        <v>746</v>
      </c>
      <c r="F2035" s="3">
        <v>3.0</v>
      </c>
      <c r="G2035" s="3">
        <v>1.0</v>
      </c>
      <c r="H2035" s="1"/>
      <c r="I2035" s="1"/>
      <c r="J2035" s="3">
        <v>1618.0</v>
      </c>
    </row>
    <row r="2036">
      <c r="A2036" s="3">
        <v>2254.0</v>
      </c>
      <c r="B2036" s="3">
        <v>2239.0</v>
      </c>
      <c r="C2036" s="1"/>
      <c r="D2036" s="3">
        <v>1.0</v>
      </c>
      <c r="E2036" s="1" t="s">
        <v>78</v>
      </c>
      <c r="F2036" s="3">
        <v>1.0</v>
      </c>
      <c r="G2036" s="3">
        <v>1.0</v>
      </c>
      <c r="H2036" s="1"/>
      <c r="I2036" s="1"/>
      <c r="J2036" s="3">
        <v>1618.0</v>
      </c>
    </row>
    <row r="2037">
      <c r="A2037" s="3">
        <v>2255.0</v>
      </c>
      <c r="B2037" s="3">
        <v>2240.0</v>
      </c>
      <c r="C2037" s="1"/>
      <c r="D2037" s="3">
        <v>1.0</v>
      </c>
      <c r="E2037" s="1" t="s">
        <v>747</v>
      </c>
      <c r="F2037" s="3">
        <v>1.0</v>
      </c>
      <c r="G2037" s="3">
        <v>1.0</v>
      </c>
      <c r="H2037" s="1"/>
      <c r="I2037" s="1"/>
      <c r="J2037" s="3">
        <v>1618.0</v>
      </c>
    </row>
    <row r="2038">
      <c r="A2038" s="3">
        <v>2256.0</v>
      </c>
      <c r="B2038" s="3">
        <v>2241.0</v>
      </c>
      <c r="C2038" s="1"/>
      <c r="D2038" s="3">
        <v>1.0</v>
      </c>
      <c r="E2038" s="1" t="s">
        <v>747</v>
      </c>
      <c r="F2038" s="3">
        <v>2.0</v>
      </c>
      <c r="G2038" s="3">
        <v>1.0</v>
      </c>
      <c r="H2038" s="1"/>
      <c r="I2038" s="1"/>
      <c r="J2038" s="3">
        <v>1618.0</v>
      </c>
    </row>
    <row r="2039">
      <c r="A2039" s="3">
        <v>2257.0</v>
      </c>
      <c r="B2039" s="3">
        <v>2242.0</v>
      </c>
      <c r="C2039" s="1"/>
      <c r="D2039" s="3">
        <v>1.0</v>
      </c>
      <c r="E2039" s="1" t="s">
        <v>747</v>
      </c>
      <c r="F2039" s="3">
        <v>3.0</v>
      </c>
      <c r="G2039" s="3">
        <v>1.0</v>
      </c>
      <c r="H2039" s="1"/>
      <c r="I2039" s="1"/>
      <c r="J2039" s="3">
        <v>1618.0</v>
      </c>
    </row>
    <row r="2040">
      <c r="A2040" s="3">
        <v>2258.0</v>
      </c>
      <c r="B2040" s="3">
        <v>2243.0</v>
      </c>
      <c r="C2040" s="1"/>
      <c r="D2040" s="3">
        <v>1.0</v>
      </c>
      <c r="E2040" s="1" t="s">
        <v>747</v>
      </c>
      <c r="F2040" s="1" t="s">
        <v>748</v>
      </c>
      <c r="G2040" s="3">
        <v>1.0</v>
      </c>
      <c r="H2040" s="1"/>
      <c r="I2040" s="1"/>
      <c r="J2040" s="3">
        <v>1618.0</v>
      </c>
    </row>
    <row r="2041">
      <c r="A2041" s="3">
        <v>2259.0</v>
      </c>
      <c r="B2041" s="3">
        <v>2244.0</v>
      </c>
      <c r="C2041" s="1"/>
      <c r="D2041" s="3">
        <v>1.0</v>
      </c>
      <c r="E2041" s="1" t="s">
        <v>747</v>
      </c>
      <c r="F2041" s="3">
        <v>4.0</v>
      </c>
      <c r="G2041" s="3">
        <v>1.0</v>
      </c>
      <c r="H2041" s="1"/>
      <c r="I2041" s="1"/>
      <c r="J2041" s="3">
        <v>1618.0</v>
      </c>
    </row>
    <row r="2042">
      <c r="A2042" s="3">
        <v>2260.0</v>
      </c>
      <c r="B2042" s="3">
        <v>2245.0</v>
      </c>
      <c r="C2042" s="1"/>
      <c r="D2042" s="3">
        <v>1.0</v>
      </c>
      <c r="E2042" s="1" t="s">
        <v>749</v>
      </c>
      <c r="F2042" s="1"/>
      <c r="G2042" s="3">
        <v>1.0</v>
      </c>
      <c r="H2042" s="1"/>
      <c r="I2042" s="1"/>
      <c r="J2042" s="3">
        <v>1618.0</v>
      </c>
    </row>
    <row r="2043">
      <c r="A2043" s="3">
        <v>2261.0</v>
      </c>
      <c r="B2043" s="3">
        <v>2246.0</v>
      </c>
      <c r="C2043" s="1"/>
      <c r="D2043" s="3">
        <v>1.0</v>
      </c>
      <c r="E2043" s="1" t="s">
        <v>750</v>
      </c>
      <c r="F2043" s="3">
        <v>1.0</v>
      </c>
      <c r="G2043" s="3">
        <v>1.0</v>
      </c>
      <c r="H2043" s="1"/>
      <c r="I2043" s="1"/>
      <c r="J2043" s="3">
        <v>1618.0</v>
      </c>
    </row>
    <row r="2044">
      <c r="A2044" s="3">
        <v>2262.0</v>
      </c>
      <c r="B2044" s="3">
        <v>2247.0</v>
      </c>
      <c r="C2044" s="1"/>
      <c r="D2044" s="3">
        <v>1.0</v>
      </c>
      <c r="E2044" s="1" t="s">
        <v>751</v>
      </c>
      <c r="F2044" s="3">
        <v>1.0</v>
      </c>
      <c r="G2044" s="3">
        <v>1.0</v>
      </c>
      <c r="H2044" s="1"/>
      <c r="I2044" s="1"/>
      <c r="J2044" s="3">
        <v>1618.0</v>
      </c>
    </row>
    <row r="2045">
      <c r="A2045" s="3">
        <v>2263.0</v>
      </c>
      <c r="B2045" s="3">
        <v>2248.0</v>
      </c>
      <c r="C2045" s="1"/>
      <c r="D2045" s="3">
        <v>1.0</v>
      </c>
      <c r="E2045" s="1" t="s">
        <v>751</v>
      </c>
      <c r="F2045" s="3">
        <v>2.0</v>
      </c>
      <c r="G2045" s="3">
        <v>1.0</v>
      </c>
      <c r="H2045" s="1"/>
      <c r="I2045" s="1"/>
      <c r="J2045" s="3">
        <v>1618.0</v>
      </c>
    </row>
    <row r="2046">
      <c r="A2046" s="3">
        <v>2264.0</v>
      </c>
      <c r="B2046" s="3">
        <v>2249.0</v>
      </c>
      <c r="C2046" s="1"/>
      <c r="D2046" s="3">
        <v>1.0</v>
      </c>
      <c r="E2046" s="1" t="s">
        <v>751</v>
      </c>
      <c r="F2046" s="3">
        <v>3.0</v>
      </c>
      <c r="G2046" s="3">
        <v>1.0</v>
      </c>
      <c r="H2046" s="1"/>
      <c r="I2046" s="1"/>
      <c r="J2046" s="3">
        <v>1618.0</v>
      </c>
    </row>
    <row r="2047">
      <c r="A2047" s="3">
        <v>2265.0</v>
      </c>
      <c r="B2047" s="3">
        <v>2250.0</v>
      </c>
      <c r="C2047" s="1"/>
      <c r="D2047" s="3">
        <v>1.0</v>
      </c>
      <c r="E2047" s="1" t="s">
        <v>751</v>
      </c>
      <c r="F2047" s="3">
        <v>4.0</v>
      </c>
      <c r="G2047" s="3">
        <v>1.0</v>
      </c>
      <c r="H2047" s="1"/>
      <c r="I2047" s="1"/>
      <c r="J2047" s="3">
        <v>1618.0</v>
      </c>
    </row>
    <row r="2048">
      <c r="A2048" s="3">
        <v>2266.0</v>
      </c>
      <c r="B2048" s="3">
        <v>2251.0</v>
      </c>
      <c r="C2048" s="1"/>
      <c r="D2048" s="3">
        <v>1.0</v>
      </c>
      <c r="E2048" s="1" t="s">
        <v>751</v>
      </c>
      <c r="F2048" s="3">
        <v>5.0</v>
      </c>
      <c r="G2048" s="3">
        <v>1.0</v>
      </c>
      <c r="H2048" s="1"/>
      <c r="I2048" s="1"/>
      <c r="J2048" s="3">
        <v>1618.0</v>
      </c>
    </row>
    <row r="2049">
      <c r="A2049" s="3">
        <v>2267.0</v>
      </c>
      <c r="B2049" s="3">
        <v>2252.0</v>
      </c>
      <c r="C2049" s="1"/>
      <c r="D2049" s="3">
        <v>1.0</v>
      </c>
      <c r="E2049" s="1" t="s">
        <v>752</v>
      </c>
      <c r="F2049" s="3">
        <v>1.0</v>
      </c>
      <c r="G2049" s="3">
        <v>1.0</v>
      </c>
      <c r="H2049" s="1"/>
      <c r="I2049" s="1"/>
      <c r="J2049" s="3">
        <v>1618.0</v>
      </c>
    </row>
    <row r="2050">
      <c r="A2050" s="3">
        <v>2268.0</v>
      </c>
      <c r="B2050" s="3">
        <v>2253.0</v>
      </c>
      <c r="C2050" s="1"/>
      <c r="D2050" s="3">
        <v>1.0</v>
      </c>
      <c r="E2050" s="1" t="s">
        <v>752</v>
      </c>
      <c r="F2050" s="3">
        <v>2.0</v>
      </c>
      <c r="G2050" s="3">
        <v>1.0</v>
      </c>
      <c r="H2050" s="1"/>
      <c r="I2050" s="1"/>
      <c r="J2050" s="3">
        <v>1618.0</v>
      </c>
    </row>
    <row r="2051">
      <c r="A2051" s="3">
        <v>2269.0</v>
      </c>
      <c r="B2051" s="3">
        <v>2254.0</v>
      </c>
      <c r="C2051" s="1"/>
      <c r="D2051" s="3">
        <v>1.0</v>
      </c>
      <c r="E2051" s="1" t="s">
        <v>752</v>
      </c>
      <c r="F2051" s="3">
        <v>3.0</v>
      </c>
      <c r="G2051" s="3">
        <v>1.0</v>
      </c>
      <c r="H2051" s="1"/>
      <c r="I2051" s="1"/>
      <c r="J2051" s="3">
        <v>1618.0</v>
      </c>
    </row>
    <row r="2052">
      <c r="A2052" s="3">
        <v>2270.0</v>
      </c>
      <c r="B2052" s="3">
        <v>2255.0</v>
      </c>
      <c r="C2052" s="1"/>
      <c r="D2052" s="3">
        <v>1.0</v>
      </c>
      <c r="E2052" s="1" t="s">
        <v>752</v>
      </c>
      <c r="F2052" s="3">
        <v>4.0</v>
      </c>
      <c r="G2052" s="3">
        <v>1.0</v>
      </c>
      <c r="H2052" s="1"/>
      <c r="I2052" s="1"/>
      <c r="J2052" s="3">
        <v>1618.0</v>
      </c>
    </row>
    <row r="2053">
      <c r="A2053" s="3">
        <v>2271.0</v>
      </c>
      <c r="B2053" s="3">
        <v>2256.0</v>
      </c>
      <c r="C2053" s="1"/>
      <c r="D2053" s="3">
        <v>1.0</v>
      </c>
      <c r="E2053" s="1" t="s">
        <v>752</v>
      </c>
      <c r="F2053" s="3">
        <v>5.0</v>
      </c>
      <c r="G2053" s="3">
        <v>1.0</v>
      </c>
      <c r="H2053" s="1"/>
      <c r="I2053" s="1"/>
      <c r="J2053" s="3">
        <v>1618.0</v>
      </c>
    </row>
    <row r="2054">
      <c r="A2054" s="3">
        <v>2272.0</v>
      </c>
      <c r="B2054" s="3">
        <v>2257.0</v>
      </c>
      <c r="C2054" s="1"/>
      <c r="D2054" s="3">
        <v>1.0</v>
      </c>
      <c r="E2054" s="1" t="s">
        <v>752</v>
      </c>
      <c r="F2054" s="3">
        <v>6.0</v>
      </c>
      <c r="G2054" s="3">
        <v>1.0</v>
      </c>
      <c r="H2054" s="1"/>
      <c r="I2054" s="1"/>
      <c r="J2054" s="3">
        <v>1618.0</v>
      </c>
    </row>
    <row r="2055">
      <c r="A2055" s="3">
        <v>2273.0</v>
      </c>
      <c r="B2055" s="3">
        <v>2258.0</v>
      </c>
      <c r="C2055" s="1"/>
      <c r="D2055" s="3">
        <v>1.0</v>
      </c>
      <c r="E2055" s="1" t="s">
        <v>752</v>
      </c>
      <c r="F2055" s="3">
        <v>7.0</v>
      </c>
      <c r="G2055" s="3">
        <v>1.0</v>
      </c>
      <c r="H2055" s="1"/>
      <c r="I2055" s="1"/>
      <c r="J2055" s="3">
        <v>1618.0</v>
      </c>
    </row>
    <row r="2056">
      <c r="A2056" s="3">
        <v>2274.0</v>
      </c>
      <c r="B2056" s="3">
        <v>2259.0</v>
      </c>
      <c r="C2056" s="1"/>
      <c r="D2056" s="3">
        <v>1.0</v>
      </c>
      <c r="E2056" s="1" t="s">
        <v>752</v>
      </c>
      <c r="F2056" s="3">
        <v>8.0</v>
      </c>
      <c r="G2056" s="3">
        <v>1.0</v>
      </c>
      <c r="H2056" s="1"/>
      <c r="I2056" s="1"/>
      <c r="J2056" s="3">
        <v>1618.0</v>
      </c>
    </row>
    <row r="2057">
      <c r="A2057" s="3">
        <v>2275.0</v>
      </c>
      <c r="B2057" s="3">
        <v>2260.0</v>
      </c>
      <c r="C2057" s="1"/>
      <c r="D2057" s="3">
        <v>1.0</v>
      </c>
      <c r="E2057" s="1" t="s">
        <v>753</v>
      </c>
      <c r="F2057" s="3">
        <v>1.0</v>
      </c>
      <c r="G2057" s="3">
        <v>1.0</v>
      </c>
      <c r="H2057" s="1"/>
      <c r="I2057" s="1"/>
      <c r="J2057" s="3">
        <v>1618.0</v>
      </c>
    </row>
    <row r="2058">
      <c r="A2058" s="3">
        <v>2276.0</v>
      </c>
      <c r="B2058" s="3">
        <v>2261.0</v>
      </c>
      <c r="C2058" s="1"/>
      <c r="D2058" s="3">
        <v>1.0</v>
      </c>
      <c r="E2058" s="1" t="s">
        <v>753</v>
      </c>
      <c r="F2058" s="3">
        <v>2.0</v>
      </c>
      <c r="G2058" s="3">
        <v>1.0</v>
      </c>
      <c r="H2058" s="1"/>
      <c r="I2058" s="1"/>
      <c r="J2058" s="3">
        <v>1618.0</v>
      </c>
    </row>
    <row r="2059">
      <c r="A2059" s="3">
        <v>2277.0</v>
      </c>
      <c r="B2059" s="3">
        <v>2262.0</v>
      </c>
      <c r="C2059" s="1"/>
      <c r="D2059" s="3">
        <v>1.0</v>
      </c>
      <c r="E2059" s="1" t="s">
        <v>753</v>
      </c>
      <c r="F2059" s="3">
        <v>3.0</v>
      </c>
      <c r="G2059" s="3">
        <v>1.0</v>
      </c>
      <c r="H2059" s="1"/>
      <c r="I2059" s="1"/>
      <c r="J2059" s="3">
        <v>1618.0</v>
      </c>
    </row>
    <row r="2060">
      <c r="A2060" s="3">
        <v>2278.0</v>
      </c>
      <c r="B2060" s="3">
        <v>2263.0</v>
      </c>
      <c r="C2060" s="1"/>
      <c r="D2060" s="3">
        <v>1.0</v>
      </c>
      <c r="E2060" s="1" t="s">
        <v>754</v>
      </c>
      <c r="F2060" s="3">
        <v>1.0</v>
      </c>
      <c r="G2060" s="3">
        <v>1.0</v>
      </c>
      <c r="H2060" s="1"/>
      <c r="I2060" s="1"/>
      <c r="J2060" s="3">
        <v>1618.0</v>
      </c>
    </row>
    <row r="2061">
      <c r="A2061" s="3">
        <v>2279.0</v>
      </c>
      <c r="B2061" s="3">
        <v>2264.0</v>
      </c>
      <c r="C2061" s="1"/>
      <c r="D2061" s="3">
        <v>1.0</v>
      </c>
      <c r="E2061" s="1" t="s">
        <v>754</v>
      </c>
      <c r="F2061" s="3">
        <v>2.0</v>
      </c>
      <c r="G2061" s="3">
        <v>1.0</v>
      </c>
      <c r="H2061" s="1"/>
      <c r="I2061" s="1"/>
      <c r="J2061" s="3">
        <v>1618.0</v>
      </c>
    </row>
    <row r="2062">
      <c r="A2062" s="3">
        <v>2280.0</v>
      </c>
      <c r="B2062" s="3">
        <v>2265.0</v>
      </c>
      <c r="C2062" s="1"/>
      <c r="D2062" s="3">
        <v>1.0</v>
      </c>
      <c r="E2062" s="1" t="s">
        <v>755</v>
      </c>
      <c r="F2062" s="3">
        <v>1.0</v>
      </c>
      <c r="G2062" s="3">
        <v>1.0</v>
      </c>
      <c r="H2062" s="1"/>
      <c r="I2062" s="1"/>
      <c r="J2062" s="3">
        <v>1618.0</v>
      </c>
    </row>
    <row r="2063">
      <c r="A2063" s="3">
        <v>2281.0</v>
      </c>
      <c r="B2063" s="3">
        <v>2266.0</v>
      </c>
      <c r="C2063" s="1"/>
      <c r="D2063" s="3">
        <v>1.0</v>
      </c>
      <c r="E2063" s="1" t="s">
        <v>755</v>
      </c>
      <c r="F2063" s="3">
        <v>2.0</v>
      </c>
      <c r="G2063" s="3">
        <v>1.0</v>
      </c>
      <c r="H2063" s="1"/>
      <c r="I2063" s="1"/>
      <c r="J2063" s="3">
        <v>1618.0</v>
      </c>
    </row>
    <row r="2064">
      <c r="A2064" s="3">
        <v>2282.0</v>
      </c>
      <c r="B2064" s="3">
        <v>2267.0</v>
      </c>
      <c r="C2064" s="1"/>
      <c r="D2064" s="3">
        <v>1.0</v>
      </c>
      <c r="E2064" s="1" t="s">
        <v>755</v>
      </c>
      <c r="F2064" s="3">
        <v>3.0</v>
      </c>
      <c r="G2064" s="3">
        <v>1.0</v>
      </c>
      <c r="H2064" s="1"/>
      <c r="I2064" s="1"/>
      <c r="J2064" s="3">
        <v>1618.0</v>
      </c>
    </row>
    <row r="2065">
      <c r="A2065" s="3">
        <v>2283.0</v>
      </c>
      <c r="B2065" s="3">
        <v>2268.0</v>
      </c>
      <c r="C2065" s="1"/>
      <c r="D2065" s="3">
        <v>1.0</v>
      </c>
      <c r="E2065" s="1" t="s">
        <v>755</v>
      </c>
      <c r="F2065" s="3">
        <v>4.0</v>
      </c>
      <c r="G2065" s="3">
        <v>1.0</v>
      </c>
      <c r="H2065" s="1"/>
      <c r="I2065" s="1"/>
      <c r="J2065" s="3">
        <v>1618.0</v>
      </c>
    </row>
    <row r="2066">
      <c r="A2066" s="3">
        <v>2284.0</v>
      </c>
      <c r="B2066" s="3">
        <v>2269.0</v>
      </c>
      <c r="C2066" s="1"/>
      <c r="D2066" s="3">
        <v>1.0</v>
      </c>
      <c r="E2066" s="1" t="s">
        <v>755</v>
      </c>
      <c r="F2066" s="3">
        <v>5.0</v>
      </c>
      <c r="G2066" s="3">
        <v>1.0</v>
      </c>
      <c r="H2066" s="1"/>
      <c r="I2066" s="1"/>
      <c r="J2066" s="3">
        <v>1618.0</v>
      </c>
    </row>
    <row r="2067">
      <c r="A2067" s="3">
        <v>2285.0</v>
      </c>
      <c r="B2067" s="3">
        <v>2270.0</v>
      </c>
      <c r="C2067" s="1"/>
      <c r="D2067" s="3">
        <v>1.0</v>
      </c>
      <c r="E2067" s="1" t="s">
        <v>755</v>
      </c>
      <c r="F2067" s="3">
        <v>6.0</v>
      </c>
      <c r="G2067" s="3">
        <v>1.0</v>
      </c>
      <c r="H2067" s="1"/>
      <c r="I2067" s="1"/>
      <c r="J2067" s="3">
        <v>1618.0</v>
      </c>
    </row>
    <row r="2068">
      <c r="A2068" s="3">
        <v>2286.0</v>
      </c>
      <c r="B2068" s="3">
        <v>2271.0</v>
      </c>
      <c r="C2068" s="1"/>
      <c r="D2068" s="3">
        <v>1.0</v>
      </c>
      <c r="E2068" s="1" t="s">
        <v>755</v>
      </c>
      <c r="F2068" s="3">
        <v>7.0</v>
      </c>
      <c r="G2068" s="3">
        <v>1.0</v>
      </c>
      <c r="H2068" s="1"/>
      <c r="I2068" s="1"/>
      <c r="J2068" s="3">
        <v>1618.0</v>
      </c>
    </row>
    <row r="2069">
      <c r="A2069" s="3">
        <v>2287.0</v>
      </c>
      <c r="B2069" s="3">
        <v>2272.0</v>
      </c>
      <c r="C2069" s="1"/>
      <c r="D2069" s="3">
        <v>1.0</v>
      </c>
      <c r="E2069" s="1" t="s">
        <v>755</v>
      </c>
      <c r="F2069" s="3">
        <v>8.0</v>
      </c>
      <c r="G2069" s="3">
        <v>1.0</v>
      </c>
      <c r="H2069" s="1"/>
      <c r="I2069" s="1"/>
      <c r="J2069" s="3">
        <v>1618.0</v>
      </c>
    </row>
    <row r="2070">
      <c r="A2070" s="3">
        <v>2288.0</v>
      </c>
      <c r="B2070" s="3">
        <v>2273.0</v>
      </c>
      <c r="C2070" s="1"/>
      <c r="D2070" s="3">
        <v>1.0</v>
      </c>
      <c r="E2070" s="1" t="s">
        <v>755</v>
      </c>
      <c r="F2070" s="3">
        <v>9.0</v>
      </c>
      <c r="G2070" s="3">
        <v>1.0</v>
      </c>
      <c r="H2070" s="1"/>
      <c r="I2070" s="1"/>
      <c r="J2070" s="3">
        <v>1618.0</v>
      </c>
    </row>
    <row r="2071">
      <c r="A2071" s="3">
        <v>2289.0</v>
      </c>
      <c r="B2071" s="3">
        <v>2274.0</v>
      </c>
      <c r="C2071" s="1"/>
      <c r="D2071" s="3">
        <v>1.0</v>
      </c>
      <c r="E2071" s="1" t="s">
        <v>756</v>
      </c>
      <c r="F2071" s="3">
        <v>1.0</v>
      </c>
      <c r="G2071" s="3">
        <v>1.0</v>
      </c>
      <c r="H2071" s="1"/>
      <c r="I2071" s="1"/>
      <c r="J2071" s="3">
        <v>1618.0</v>
      </c>
    </row>
    <row r="2072">
      <c r="A2072" s="3">
        <v>2290.0</v>
      </c>
      <c r="B2072" s="3">
        <v>2275.0</v>
      </c>
      <c r="C2072" s="1"/>
      <c r="D2072" s="3">
        <v>1.0</v>
      </c>
      <c r="E2072" s="1" t="s">
        <v>756</v>
      </c>
      <c r="F2072" s="3">
        <v>2.0</v>
      </c>
      <c r="G2072" s="3">
        <v>1.0</v>
      </c>
      <c r="H2072" s="1"/>
      <c r="I2072" s="1"/>
      <c r="J2072" s="3">
        <v>1618.0</v>
      </c>
    </row>
    <row r="2073">
      <c r="A2073" s="3">
        <v>2291.0</v>
      </c>
      <c r="B2073" s="3">
        <v>2276.0</v>
      </c>
      <c r="C2073" s="1"/>
      <c r="D2073" s="3">
        <v>1.0</v>
      </c>
      <c r="E2073" s="1" t="s">
        <v>756</v>
      </c>
      <c r="F2073" s="3">
        <v>3.0</v>
      </c>
      <c r="G2073" s="3">
        <v>1.0</v>
      </c>
      <c r="H2073" s="1"/>
      <c r="I2073" s="1"/>
      <c r="J2073" s="3">
        <v>1618.0</v>
      </c>
    </row>
    <row r="2074">
      <c r="A2074" s="3">
        <v>2292.0</v>
      </c>
      <c r="B2074" s="3">
        <v>2277.0</v>
      </c>
      <c r="C2074" s="1"/>
      <c r="D2074" s="3">
        <v>1.0</v>
      </c>
      <c r="E2074" s="1" t="s">
        <v>756</v>
      </c>
      <c r="F2074" s="3">
        <v>4.0</v>
      </c>
      <c r="G2074" s="3">
        <v>1.0</v>
      </c>
      <c r="H2074" s="1"/>
      <c r="I2074" s="1"/>
      <c r="J2074" s="3">
        <v>1618.0</v>
      </c>
    </row>
    <row r="2075">
      <c r="A2075" s="3">
        <v>2293.0</v>
      </c>
      <c r="B2075" s="3">
        <v>2278.0</v>
      </c>
      <c r="C2075" s="1"/>
      <c r="D2075" s="3">
        <v>1.0</v>
      </c>
      <c r="E2075" s="1" t="s">
        <v>757</v>
      </c>
      <c r="F2075" s="3">
        <v>1.0</v>
      </c>
      <c r="G2075" s="3">
        <v>1.0</v>
      </c>
      <c r="H2075" s="1"/>
      <c r="I2075" s="1"/>
      <c r="J2075" s="3">
        <v>1618.0</v>
      </c>
    </row>
    <row r="2076">
      <c r="A2076" s="3">
        <v>2294.0</v>
      </c>
      <c r="B2076" s="3">
        <v>2279.0</v>
      </c>
      <c r="C2076" s="1"/>
      <c r="D2076" s="3">
        <v>1.0</v>
      </c>
      <c r="E2076" s="1" t="s">
        <v>363</v>
      </c>
      <c r="F2076" s="3">
        <v>1.0</v>
      </c>
      <c r="G2076" s="3">
        <v>1.0</v>
      </c>
      <c r="H2076" s="1"/>
      <c r="I2076" s="1"/>
      <c r="J2076" s="3">
        <v>1618.0</v>
      </c>
    </row>
    <row r="2077">
      <c r="A2077" s="3">
        <v>2295.0</v>
      </c>
      <c r="B2077" s="3">
        <v>2280.0</v>
      </c>
      <c r="C2077" s="1"/>
      <c r="D2077" s="3">
        <v>1.0</v>
      </c>
      <c r="E2077" s="1" t="s">
        <v>363</v>
      </c>
      <c r="F2077" s="3">
        <v>2.0</v>
      </c>
      <c r="G2077" s="3">
        <v>1.0</v>
      </c>
      <c r="H2077" s="1"/>
      <c r="I2077" s="1"/>
      <c r="J2077" s="3">
        <v>1618.0</v>
      </c>
    </row>
    <row r="2078">
      <c r="A2078" s="3">
        <v>2296.0</v>
      </c>
      <c r="B2078" s="3">
        <v>2281.0</v>
      </c>
      <c r="C2078" s="1"/>
      <c r="D2078" s="3">
        <v>1.0</v>
      </c>
      <c r="E2078" s="1" t="s">
        <v>363</v>
      </c>
      <c r="F2078" s="3">
        <v>3.0</v>
      </c>
      <c r="G2078" s="3">
        <v>1.0</v>
      </c>
      <c r="H2078" s="1"/>
      <c r="I2078" s="1"/>
      <c r="J2078" s="3">
        <v>1618.0</v>
      </c>
    </row>
    <row r="2079">
      <c r="A2079" s="3">
        <v>2297.0</v>
      </c>
      <c r="B2079" s="3">
        <v>2282.0</v>
      </c>
      <c r="C2079" s="1"/>
      <c r="D2079" s="3">
        <v>1.0</v>
      </c>
      <c r="E2079" s="1" t="s">
        <v>363</v>
      </c>
      <c r="F2079" s="3">
        <v>4.0</v>
      </c>
      <c r="G2079" s="3">
        <v>1.0</v>
      </c>
      <c r="H2079" s="1"/>
      <c r="I2079" s="1"/>
      <c r="J2079" s="3">
        <v>1618.0</v>
      </c>
    </row>
    <row r="2080">
      <c r="A2080" s="3">
        <v>2298.0</v>
      </c>
      <c r="B2080" s="3">
        <v>2283.0</v>
      </c>
      <c r="C2080" s="1"/>
      <c r="D2080" s="3">
        <v>1.0</v>
      </c>
      <c r="E2080" s="1" t="s">
        <v>363</v>
      </c>
      <c r="F2080" s="3">
        <v>5.0</v>
      </c>
      <c r="G2080" s="3">
        <v>1.0</v>
      </c>
      <c r="H2080" s="1"/>
      <c r="I2080" s="1"/>
      <c r="J2080" s="3">
        <v>1618.0</v>
      </c>
    </row>
    <row r="2081">
      <c r="A2081" s="3">
        <v>2299.0</v>
      </c>
      <c r="B2081" s="3">
        <v>2284.0</v>
      </c>
      <c r="C2081" s="1"/>
      <c r="D2081" s="3">
        <v>1.0</v>
      </c>
      <c r="E2081" s="1" t="s">
        <v>363</v>
      </c>
      <c r="F2081" s="3">
        <v>6.0</v>
      </c>
      <c r="G2081" s="3">
        <v>1.0</v>
      </c>
      <c r="H2081" s="1"/>
      <c r="I2081" s="1"/>
      <c r="J2081" s="3">
        <v>1618.0</v>
      </c>
    </row>
    <row r="2082">
      <c r="A2082" s="3">
        <v>2300.0</v>
      </c>
      <c r="B2082" s="3">
        <v>2285.0</v>
      </c>
      <c r="C2082" s="1"/>
      <c r="D2082" s="3">
        <v>1.0</v>
      </c>
      <c r="E2082" s="1" t="s">
        <v>363</v>
      </c>
      <c r="F2082" s="1" t="s">
        <v>758</v>
      </c>
      <c r="G2082" s="3">
        <v>1.0</v>
      </c>
      <c r="H2082" s="1"/>
      <c r="I2082" s="1"/>
      <c r="J2082" s="3">
        <v>1618.0</v>
      </c>
    </row>
    <row r="2083">
      <c r="A2083" s="3">
        <v>2301.0</v>
      </c>
      <c r="B2083" s="3">
        <v>2286.0</v>
      </c>
      <c r="C2083" s="1"/>
      <c r="D2083" s="3">
        <v>1.0</v>
      </c>
      <c r="E2083" s="1" t="s">
        <v>363</v>
      </c>
      <c r="F2083" s="3">
        <v>12.0</v>
      </c>
      <c r="G2083" s="3">
        <v>1.0</v>
      </c>
      <c r="H2083" s="1"/>
      <c r="I2083" s="1"/>
      <c r="J2083" s="3">
        <v>1618.0</v>
      </c>
    </row>
    <row r="2084">
      <c r="A2084" s="3">
        <v>2302.0</v>
      </c>
      <c r="B2084" s="3">
        <v>2287.0</v>
      </c>
      <c r="C2084" s="1"/>
      <c r="D2084" s="3">
        <v>1.0</v>
      </c>
      <c r="E2084" s="1" t="s">
        <v>363</v>
      </c>
      <c r="F2084" s="3">
        <v>13.0</v>
      </c>
      <c r="G2084" s="3">
        <v>1.0</v>
      </c>
      <c r="H2084" s="1"/>
      <c r="I2084" s="1"/>
      <c r="J2084" s="3">
        <v>1618.0</v>
      </c>
    </row>
    <row r="2085">
      <c r="A2085" s="3">
        <v>2303.0</v>
      </c>
      <c r="B2085" s="3">
        <v>2288.0</v>
      </c>
      <c r="C2085" s="1"/>
      <c r="D2085" s="3">
        <v>1.0</v>
      </c>
      <c r="E2085" s="1" t="s">
        <v>363</v>
      </c>
      <c r="F2085" s="3">
        <v>14.0</v>
      </c>
      <c r="G2085" s="3">
        <v>1.0</v>
      </c>
      <c r="H2085" s="1"/>
      <c r="I2085" s="1"/>
      <c r="J2085" s="3">
        <v>1618.0</v>
      </c>
    </row>
    <row r="2086">
      <c r="A2086" s="3">
        <v>2304.0</v>
      </c>
      <c r="B2086" s="3">
        <v>2289.0</v>
      </c>
      <c r="C2086" s="1"/>
      <c r="D2086" s="3">
        <v>1.0</v>
      </c>
      <c r="E2086" s="1" t="s">
        <v>363</v>
      </c>
      <c r="F2086" s="3">
        <v>15.0</v>
      </c>
      <c r="G2086" s="3">
        <v>1.0</v>
      </c>
      <c r="H2086" s="1"/>
      <c r="I2086" s="1"/>
      <c r="J2086" s="3">
        <v>1618.0</v>
      </c>
    </row>
    <row r="2087">
      <c r="A2087" s="3">
        <v>2305.0</v>
      </c>
      <c r="B2087" s="3">
        <v>2290.0</v>
      </c>
      <c r="C2087" s="1"/>
      <c r="D2087" s="3">
        <v>1.0</v>
      </c>
      <c r="E2087" s="1" t="s">
        <v>363</v>
      </c>
      <c r="F2087" s="3">
        <v>16.0</v>
      </c>
      <c r="G2087" s="3">
        <v>1.0</v>
      </c>
      <c r="H2087" s="1"/>
      <c r="I2087" s="1"/>
      <c r="J2087" s="3">
        <v>1618.0</v>
      </c>
    </row>
    <row r="2088">
      <c r="A2088" s="3">
        <v>2306.0</v>
      </c>
      <c r="B2088" s="3">
        <v>2291.0</v>
      </c>
      <c r="C2088" s="1"/>
      <c r="D2088" s="3">
        <v>1.0</v>
      </c>
      <c r="E2088" s="1" t="s">
        <v>363</v>
      </c>
      <c r="F2088" s="3">
        <v>17.0</v>
      </c>
      <c r="G2088" s="3">
        <v>1.0</v>
      </c>
      <c r="H2088" s="1"/>
      <c r="I2088" s="1"/>
      <c r="J2088" s="3">
        <v>1618.0</v>
      </c>
    </row>
    <row r="2089">
      <c r="A2089" s="3">
        <v>2307.0</v>
      </c>
      <c r="B2089" s="3">
        <v>2292.0</v>
      </c>
      <c r="C2089" s="1"/>
      <c r="D2089" s="3">
        <v>1.0</v>
      </c>
      <c r="E2089" s="1" t="s">
        <v>363</v>
      </c>
      <c r="F2089" s="3">
        <v>18.0</v>
      </c>
      <c r="G2089" s="3">
        <v>1.0</v>
      </c>
      <c r="H2089" s="1"/>
      <c r="I2089" s="1"/>
      <c r="J2089" s="3">
        <v>1618.0</v>
      </c>
    </row>
    <row r="2090">
      <c r="A2090" s="3">
        <v>2862.0</v>
      </c>
      <c r="B2090" s="3">
        <v>2463.0</v>
      </c>
      <c r="C2090" s="1"/>
      <c r="D2090" s="3">
        <v>2.0</v>
      </c>
      <c r="E2090" s="1" t="s">
        <v>401</v>
      </c>
      <c r="F2090" s="1"/>
      <c r="G2090" s="3">
        <v>1.0</v>
      </c>
      <c r="H2090" s="3">
        <v>3.0</v>
      </c>
      <c r="I2090" s="4">
        <v>42639.0</v>
      </c>
      <c r="J2090" s="3">
        <v>1618.0</v>
      </c>
    </row>
    <row r="2091">
      <c r="A2091" s="3">
        <v>2901.0</v>
      </c>
      <c r="B2091" s="3">
        <v>2605.0</v>
      </c>
      <c r="C2091" s="1"/>
      <c r="D2091" s="3">
        <v>2.0</v>
      </c>
      <c r="E2091" s="1" t="s">
        <v>465</v>
      </c>
      <c r="F2091" s="3">
        <v>10.0</v>
      </c>
      <c r="G2091" s="3">
        <v>1.0</v>
      </c>
      <c r="H2091" s="3">
        <v>3.0</v>
      </c>
      <c r="I2091" s="4">
        <v>42639.0</v>
      </c>
      <c r="J2091" s="3">
        <v>1618.0</v>
      </c>
    </row>
    <row r="2092">
      <c r="A2092" s="3">
        <v>2905.0</v>
      </c>
      <c r="B2092" s="3">
        <v>2604.0</v>
      </c>
      <c r="C2092" s="1"/>
      <c r="D2092" s="3">
        <v>2.0</v>
      </c>
      <c r="E2092" s="1" t="s">
        <v>465</v>
      </c>
      <c r="F2092" s="3">
        <v>11.0</v>
      </c>
      <c r="G2092" s="3">
        <v>1.0</v>
      </c>
      <c r="H2092" s="3">
        <v>3.0</v>
      </c>
      <c r="I2092" s="4">
        <v>42639.0</v>
      </c>
      <c r="J2092" s="3">
        <v>1618.0</v>
      </c>
    </row>
    <row r="2093">
      <c r="A2093" s="3">
        <v>2907.0</v>
      </c>
      <c r="B2093" s="3">
        <v>2704.0</v>
      </c>
      <c r="C2093" s="1"/>
      <c r="D2093" s="3">
        <v>2.0</v>
      </c>
      <c r="E2093" s="1" t="s">
        <v>467</v>
      </c>
      <c r="F2093" s="3">
        <v>2.0</v>
      </c>
      <c r="G2093" s="3">
        <v>1.0</v>
      </c>
      <c r="H2093" s="3">
        <v>3.0</v>
      </c>
      <c r="I2093" s="4">
        <v>42639.0</v>
      </c>
      <c r="J2093" s="3">
        <v>1618.0</v>
      </c>
    </row>
    <row r="2094">
      <c r="A2094" s="3">
        <v>2940.0</v>
      </c>
      <c r="B2094" s="3">
        <v>2591.0</v>
      </c>
      <c r="C2094" s="1"/>
      <c r="D2094" s="3">
        <v>1.0</v>
      </c>
      <c r="E2094" s="1" t="s">
        <v>380</v>
      </c>
      <c r="F2094" s="3">
        <v>2.0</v>
      </c>
      <c r="G2094" s="3">
        <v>2.0</v>
      </c>
      <c r="H2094" s="3">
        <v>3.0</v>
      </c>
      <c r="I2094" s="4">
        <v>42774.0</v>
      </c>
      <c r="J2094" s="3">
        <v>1618.0</v>
      </c>
    </row>
    <row r="2095">
      <c r="A2095" s="3">
        <v>2924.0</v>
      </c>
      <c r="B2095" s="3">
        <v>2924.0</v>
      </c>
      <c r="C2095" s="1"/>
      <c r="D2095" s="3">
        <v>1.0</v>
      </c>
      <c r="E2095" s="1" t="s">
        <v>759</v>
      </c>
      <c r="F2095" s="1"/>
      <c r="G2095" s="3">
        <v>1.0</v>
      </c>
      <c r="H2095" s="3">
        <v>11.0</v>
      </c>
      <c r="I2095" s="4">
        <v>42647.0</v>
      </c>
      <c r="J2095" s="1"/>
    </row>
    <row r="2096">
      <c r="A2096" s="3">
        <v>2861.0</v>
      </c>
      <c r="B2096" s="3">
        <v>2454.0</v>
      </c>
      <c r="C2096" s="1"/>
      <c r="D2096" s="3">
        <v>2.0</v>
      </c>
      <c r="E2096" s="1" t="s">
        <v>381</v>
      </c>
      <c r="F2096" s="3">
        <v>7.0</v>
      </c>
      <c r="G2096" s="3">
        <v>1.0</v>
      </c>
      <c r="H2096" s="3">
        <v>3.0</v>
      </c>
      <c r="I2096" s="4">
        <v>42639.0</v>
      </c>
      <c r="J2096" s="3">
        <v>1618.0</v>
      </c>
    </row>
    <row r="2097">
      <c r="A2097" s="3">
        <v>2900.0</v>
      </c>
      <c r="B2097" s="3">
        <v>2682.0</v>
      </c>
      <c r="C2097" s="1"/>
      <c r="D2097" s="3">
        <v>2.0</v>
      </c>
      <c r="E2097" s="1" t="s">
        <v>464</v>
      </c>
      <c r="F2097" s="3">
        <v>3.0</v>
      </c>
      <c r="G2097" s="3">
        <v>1.0</v>
      </c>
      <c r="H2097" s="3">
        <v>3.0</v>
      </c>
      <c r="I2097" s="4">
        <v>42639.0</v>
      </c>
      <c r="J2097" s="3">
        <v>1618.0</v>
      </c>
    </row>
    <row r="2098">
      <c r="A2098" s="3">
        <v>2902.0</v>
      </c>
      <c r="B2098" s="3">
        <v>2608.0</v>
      </c>
      <c r="C2098" s="1"/>
      <c r="D2098" s="3">
        <v>2.0</v>
      </c>
      <c r="E2098" s="1" t="s">
        <v>465</v>
      </c>
      <c r="F2098" s="3">
        <v>7.0</v>
      </c>
      <c r="G2098" s="3">
        <v>1.0</v>
      </c>
      <c r="H2098" s="3">
        <v>3.0</v>
      </c>
      <c r="I2098" s="4">
        <v>42639.0</v>
      </c>
      <c r="J2098" s="3">
        <v>1618.0</v>
      </c>
    </row>
    <row r="2099">
      <c r="A2099" s="3">
        <v>2903.0</v>
      </c>
      <c r="B2099" s="3">
        <v>2607.0</v>
      </c>
      <c r="C2099" s="1"/>
      <c r="D2099" s="3">
        <v>2.0</v>
      </c>
      <c r="E2099" s="1" t="s">
        <v>465</v>
      </c>
      <c r="F2099" s="3">
        <v>8.0</v>
      </c>
      <c r="G2099" s="3">
        <v>1.0</v>
      </c>
      <c r="H2099" s="3">
        <v>3.0</v>
      </c>
      <c r="I2099" s="4">
        <v>42639.0</v>
      </c>
      <c r="J2099" s="3">
        <v>1618.0</v>
      </c>
    </row>
    <row r="2100">
      <c r="A2100" s="3">
        <v>2904.0</v>
      </c>
      <c r="B2100" s="3">
        <v>2606.0</v>
      </c>
      <c r="C2100" s="1"/>
      <c r="D2100" s="3">
        <v>2.0</v>
      </c>
      <c r="E2100" s="1" t="s">
        <v>465</v>
      </c>
      <c r="F2100" s="3">
        <v>9.0</v>
      </c>
      <c r="G2100" s="3">
        <v>1.0</v>
      </c>
      <c r="H2100" s="3">
        <v>3.0</v>
      </c>
      <c r="I2100" s="4">
        <v>42639.0</v>
      </c>
      <c r="J2100" s="3">
        <v>1618.0</v>
      </c>
    </row>
    <row r="2101">
      <c r="A2101" s="3">
        <v>2860.0</v>
      </c>
      <c r="B2101" s="3">
        <v>2533.0</v>
      </c>
      <c r="C2101" s="1"/>
      <c r="D2101" s="3">
        <v>2.0</v>
      </c>
      <c r="E2101" s="1" t="s">
        <v>760</v>
      </c>
      <c r="F2101" s="3">
        <v>1.0</v>
      </c>
      <c r="G2101" s="3">
        <v>1.0</v>
      </c>
      <c r="H2101" s="3">
        <v>3.0</v>
      </c>
      <c r="I2101" s="4">
        <v>42639.0</v>
      </c>
      <c r="J2101" s="3">
        <v>1618.0</v>
      </c>
    </row>
    <row r="2102">
      <c r="A2102" s="3">
        <v>2906.0</v>
      </c>
      <c r="B2102" s="3">
        <v>2532.0</v>
      </c>
      <c r="C2102" s="1"/>
      <c r="D2102" s="3">
        <v>2.0</v>
      </c>
      <c r="E2102" s="1" t="s">
        <v>421</v>
      </c>
      <c r="F2102" s="3">
        <v>2.0</v>
      </c>
      <c r="G2102" s="3">
        <v>1.0</v>
      </c>
      <c r="H2102" s="3">
        <v>3.0</v>
      </c>
      <c r="I2102" s="4">
        <v>42639.0</v>
      </c>
      <c r="J2102" s="3">
        <v>1618.0</v>
      </c>
    </row>
    <row r="2103">
      <c r="A2103" s="3">
        <v>2908.0</v>
      </c>
      <c r="B2103" s="3">
        <v>2447.0</v>
      </c>
      <c r="C2103" s="1"/>
      <c r="D2103" s="3">
        <v>2.0</v>
      </c>
      <c r="E2103" s="1" t="s">
        <v>390</v>
      </c>
      <c r="F2103" s="3">
        <v>1.0</v>
      </c>
      <c r="G2103" s="3">
        <v>1.0</v>
      </c>
      <c r="H2103" s="3">
        <v>3.0</v>
      </c>
      <c r="I2103" s="4">
        <v>42639.0</v>
      </c>
      <c r="J2103" s="3">
        <v>1618.0</v>
      </c>
    </row>
    <row r="2104">
      <c r="A2104" s="3">
        <v>2880.0</v>
      </c>
      <c r="B2104" s="3">
        <v>2426.0</v>
      </c>
      <c r="C2104" s="1"/>
      <c r="D2104" s="3">
        <v>2.0</v>
      </c>
      <c r="E2104" s="1" t="s">
        <v>382</v>
      </c>
      <c r="F2104" s="3">
        <v>9.0</v>
      </c>
      <c r="G2104" s="3">
        <v>1.0</v>
      </c>
      <c r="H2104" s="3">
        <v>0.0</v>
      </c>
      <c r="I2104" s="4">
        <v>42639.0</v>
      </c>
      <c r="J2104" s="3">
        <v>1618.0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761</v>
      </c>
      <c r="C1" s="1" t="s">
        <v>762</v>
      </c>
      <c r="D1" s="5" t="s">
        <v>763</v>
      </c>
      <c r="E1" s="5" t="s">
        <v>764</v>
      </c>
    </row>
    <row r="2">
      <c r="A2" s="3">
        <v>1.0</v>
      </c>
      <c r="B2" s="3">
        <v>52.0</v>
      </c>
      <c r="C2" s="3">
        <v>5.0</v>
      </c>
      <c r="D2" t="str">
        <f>VLOOKUP(B2,ERA_MOTIF_TYPES.csv!$A$1:$C$119,2,1)</f>
        <v>Single or multiple cups</v>
      </c>
      <c r="E2" t="str">
        <f>VLOOKUP(A2,Panels!$A$1:$E$2104,5,0)</f>
        <v>Ord</v>
      </c>
    </row>
    <row r="3">
      <c r="A3" s="3">
        <v>1.0</v>
      </c>
      <c r="B3" s="3">
        <v>66.0</v>
      </c>
      <c r="C3" s="3">
        <v>1.0</v>
      </c>
      <c r="D3" t="str">
        <f>VLOOKUP(B3,ERA_MOTIF_TYPES.csv!$A$1:$C$119,2,1)</f>
        <v>Cup and groove with multiple penannulars</v>
      </c>
      <c r="E3" t="str">
        <f>VLOOKUP(A3,Panels!$A$1:$E$2104,5,0)</f>
        <v>Ord</v>
      </c>
    </row>
    <row r="4">
      <c r="A4" s="3">
        <v>3.0</v>
      </c>
      <c r="B4" s="3">
        <v>52.0</v>
      </c>
      <c r="C4" s="3">
        <v>1.0</v>
      </c>
      <c r="D4" t="str">
        <f>VLOOKUP(B4,ERA_MOTIF_TYPES.csv!$A$1:$C$119,2,1)</f>
        <v>Single or multiple cups</v>
      </c>
      <c r="E4" t="str">
        <f>VLOOKUP(A4,Panels!$A$1:$E$2104,5,0)</f>
        <v>Ord</v>
      </c>
    </row>
    <row r="5">
      <c r="A5" s="3">
        <v>4.0</v>
      </c>
      <c r="B5" s="3">
        <v>52.0</v>
      </c>
      <c r="C5" s="3">
        <v>3.0</v>
      </c>
      <c r="D5" t="str">
        <f>VLOOKUP(B5,ERA_MOTIF_TYPES.csv!$A$1:$C$119,2,1)</f>
        <v>Single or multiple cups</v>
      </c>
      <c r="E5" t="str">
        <f>VLOOKUP(A5,Panels!$A$1:$E$2104,5,0)</f>
        <v>The Duddo Stones</v>
      </c>
    </row>
    <row r="6">
      <c r="A6" s="3">
        <v>5.0</v>
      </c>
      <c r="B6" s="3">
        <v>2.0</v>
      </c>
      <c r="C6" s="3">
        <v>1.0</v>
      </c>
      <c r="D6" t="str">
        <f>VLOOKUP(B6,ERA_MOTIF_TYPES.csv!$A$1:$C$119,2,1)</f>
        <v>Random Cluster</v>
      </c>
      <c r="E6" t="str">
        <f>VLOOKUP(A6,Panels!$A$1:$E$2104,5,0)</f>
        <v>Broomridge</v>
      </c>
    </row>
    <row r="7">
      <c r="A7" s="3">
        <v>5.0</v>
      </c>
      <c r="B7" s="3">
        <v>12.0</v>
      </c>
      <c r="C7" s="3">
        <v>2.0</v>
      </c>
      <c r="D7" t="str">
        <f>VLOOKUP(B7,ERA_MOTIF_TYPES.csv!$A$1:$C$119,2,1)</f>
        <v>Multi Arc</v>
      </c>
      <c r="E7" t="str">
        <f>VLOOKUP(A7,Panels!$A$1:$E$2104,5,0)</f>
        <v>Broomridge</v>
      </c>
    </row>
    <row r="8">
      <c r="A8" s="3">
        <v>5.0</v>
      </c>
      <c r="B8" s="3">
        <v>13.0</v>
      </c>
      <c r="C8" s="3">
        <v>1.0</v>
      </c>
      <c r="D8" t="str">
        <f>VLOOKUP(B8,ERA_MOTIF_TYPES.csv!$A$1:$C$119,2,1)</f>
        <v>Single Ring + cup</v>
      </c>
      <c r="E8" t="str">
        <f>VLOOKUP(A8,Panels!$A$1:$E$2104,5,0)</f>
        <v>Broomridge</v>
      </c>
    </row>
    <row r="9">
      <c r="A9" s="3">
        <v>5.0</v>
      </c>
      <c r="B9" s="3">
        <v>14.0</v>
      </c>
      <c r="C9" s="3">
        <v>5.0</v>
      </c>
      <c r="D9" t="str">
        <f>VLOOKUP(B9,ERA_MOTIF_TYPES.csv!$A$1:$C$119,2,1)</f>
        <v>Multi Ring + cup</v>
      </c>
      <c r="E9" t="str">
        <f>VLOOKUP(A9,Panels!$A$1:$E$2104,5,0)</f>
        <v>Broomridge</v>
      </c>
    </row>
    <row r="10">
      <c r="A10" s="3">
        <v>5.0</v>
      </c>
      <c r="B10" s="3">
        <v>16.0</v>
      </c>
      <c r="C10" s="3">
        <v>1.0</v>
      </c>
      <c r="D10" t="str">
        <f>VLOOKUP(B10,ERA_MOTIF_TYPES.csv!$A$1:$C$119,2,1)</f>
        <v>Single Arc + cup</v>
      </c>
      <c r="E10" t="str">
        <f>VLOOKUP(A10,Panels!$A$1:$E$2104,5,0)</f>
        <v>Broomridge</v>
      </c>
    </row>
    <row r="11">
      <c r="A11" s="3">
        <v>5.0</v>
      </c>
      <c r="B11" s="3">
        <v>31.0</v>
      </c>
      <c r="C11" s="3">
        <v>1.0</v>
      </c>
      <c r="D11" t="str">
        <f>VLOOKUP(B11,ERA_MOTIF_TYPES.csv!$A$1:$C$119,2,1)</f>
        <v>Cup and Groove</v>
      </c>
      <c r="E11" t="str">
        <f>VLOOKUP(A11,Panels!$A$1:$E$2104,5,0)</f>
        <v>Broomridge</v>
      </c>
    </row>
    <row r="12">
      <c r="A12" s="3">
        <v>5.0</v>
      </c>
      <c r="B12" s="3">
        <v>36.0</v>
      </c>
      <c r="C12" s="3">
        <v>1.0</v>
      </c>
      <c r="D12" t="str">
        <f>VLOOKUP(B12,ERA_MOTIF_TYPES.csv!$A$1:$C$119,2,1)</f>
        <v>Cup Groove and arc</v>
      </c>
      <c r="E12" t="str">
        <f>VLOOKUP(A12,Panels!$A$1:$E$2104,5,0)</f>
        <v>Broomridge</v>
      </c>
    </row>
    <row r="13">
      <c r="A13" s="3">
        <v>5.0</v>
      </c>
      <c r="B13" s="3">
        <v>52.0</v>
      </c>
      <c r="C13" s="3">
        <v>12.0</v>
      </c>
      <c r="D13" t="str">
        <f>VLOOKUP(B13,ERA_MOTIF_TYPES.csv!$A$1:$C$119,2,1)</f>
        <v>Single or multiple cups</v>
      </c>
      <c r="E13" t="str">
        <f>VLOOKUP(A13,Panels!$A$1:$E$2104,5,0)</f>
        <v>Broomridge</v>
      </c>
    </row>
    <row r="14">
      <c r="A14" s="3">
        <v>5.0</v>
      </c>
      <c r="B14" s="3">
        <v>57.0</v>
      </c>
      <c r="C14" s="3">
        <v>6.0</v>
      </c>
      <c r="D14" t="str">
        <f>VLOOKUP(B14,ERA_MOTIF_TYPES.csv!$A$1:$C$119,2,1)</f>
        <v>Cup and ring</v>
      </c>
      <c r="E14" t="str">
        <f>VLOOKUP(A14,Panels!$A$1:$E$2104,5,0)</f>
        <v>Broomridge</v>
      </c>
    </row>
    <row r="15">
      <c r="A15" s="3">
        <v>5.0</v>
      </c>
      <c r="B15" s="3">
        <v>58.0</v>
      </c>
      <c r="C15" s="3">
        <v>3.0</v>
      </c>
      <c r="D15" t="str">
        <f>VLOOKUP(B15,ERA_MOTIF_TYPES.csv!$A$1:$C$119,2,1)</f>
        <v>Cup and multiple rings</v>
      </c>
      <c r="E15" t="str">
        <f>VLOOKUP(A15,Panels!$A$1:$E$2104,5,0)</f>
        <v>Broomridge</v>
      </c>
    </row>
    <row r="16">
      <c r="A16" s="3">
        <v>5.0</v>
      </c>
      <c r="B16" s="3">
        <v>64.0</v>
      </c>
      <c r="C16" s="3">
        <v>1.0</v>
      </c>
      <c r="D16" t="str">
        <f>VLOOKUP(B16,ERA_MOTIF_TYPES.csv!$A$1:$C$119,2,1)</f>
        <v>Cup with groove cutting through multiple rings</v>
      </c>
      <c r="E16" t="str">
        <f>VLOOKUP(A16,Panels!$A$1:$E$2104,5,0)</f>
        <v>Broomridge</v>
      </c>
    </row>
    <row r="17">
      <c r="A17" s="3">
        <v>5.0</v>
      </c>
      <c r="B17" s="3">
        <v>71.0</v>
      </c>
      <c r="C17" s="3">
        <v>1.0</v>
      </c>
      <c r="D17" t="str">
        <f>VLOOKUP(B17,ERA_MOTIF_TYPES.csv!$A$1:$C$119,2,1)</f>
        <v>Penannular</v>
      </c>
      <c r="E17" t="str">
        <f>VLOOKUP(A17,Panels!$A$1:$E$2104,5,0)</f>
        <v>Broomridge</v>
      </c>
    </row>
    <row r="18">
      <c r="A18" s="3">
        <v>5.0</v>
      </c>
      <c r="B18" s="3">
        <v>72.0</v>
      </c>
      <c r="C18" s="3">
        <v>1.0</v>
      </c>
      <c r="D18" t="str">
        <f>VLOOKUP(B18,ERA_MOTIF_TYPES.csv!$A$1:$C$119,2,1)</f>
        <v>Multiple penannulars</v>
      </c>
      <c r="E18" t="str">
        <f>VLOOKUP(A18,Panels!$A$1:$E$2104,5,0)</f>
        <v>Broomridge</v>
      </c>
    </row>
    <row r="19">
      <c r="A19" s="3">
        <v>5.0</v>
      </c>
      <c r="B19" s="3">
        <v>74.0</v>
      </c>
      <c r="C19" s="3">
        <v>1.0</v>
      </c>
      <c r="D19" t="str">
        <f>VLOOKUP(B19,ERA_MOTIF_TYPES.csv!$A$1:$C$119,2,1)</f>
        <v>Multiple arcs</v>
      </c>
      <c r="E19" t="str">
        <f>VLOOKUP(A19,Panels!$A$1:$E$2104,5,0)</f>
        <v>Broomridge</v>
      </c>
    </row>
    <row r="20">
      <c r="A20" s="3">
        <v>5.0</v>
      </c>
      <c r="B20" s="3">
        <v>84.0</v>
      </c>
      <c r="C20" s="3">
        <v>1.0</v>
      </c>
      <c r="D20" t="str">
        <f>VLOOKUP(B20,ERA_MOTIF_TYPES.csv!$A$1:$C$119,2,1)</f>
        <v>Oval groove enclosing cups</v>
      </c>
      <c r="E20" t="str">
        <f>VLOOKUP(A20,Panels!$A$1:$E$2104,5,0)</f>
        <v>Broomridge</v>
      </c>
    </row>
    <row r="21">
      <c r="A21" s="3">
        <v>5.0</v>
      </c>
      <c r="B21" s="3">
        <v>87.0</v>
      </c>
      <c r="C21" s="3">
        <v>1.0</v>
      </c>
      <c r="D21" t="str">
        <f>VLOOKUP(B21,ERA_MOTIF_TYPES.csv!$A$1:$C$119,2,1)</f>
        <v>Linear and angular groove</v>
      </c>
      <c r="E21" t="str">
        <f>VLOOKUP(A21,Panels!$A$1:$E$2104,5,0)</f>
        <v>Broomridge</v>
      </c>
    </row>
    <row r="22">
      <c r="A22" s="3">
        <v>5.0</v>
      </c>
      <c r="B22" s="3">
        <v>102.0</v>
      </c>
      <c r="C22" s="3">
        <v>1.0</v>
      </c>
      <c r="D22" t="str">
        <f>VLOOKUP(B22,ERA_MOTIF_TYPES.csv!$A$1:$C$119,2,1)</f>
        <v>Crossed groove</v>
      </c>
      <c r="E22" t="str">
        <f>VLOOKUP(A22,Panels!$A$1:$E$2104,5,0)</f>
        <v>Broomridge</v>
      </c>
    </row>
    <row r="23">
      <c r="A23" s="3">
        <v>5.0</v>
      </c>
      <c r="B23" s="3">
        <v>105.0</v>
      </c>
      <c r="C23" s="3">
        <v>1.0</v>
      </c>
      <c r="D23" t="str">
        <f>VLOOKUP(B23,ERA_MOTIF_TYPES.csv!$A$1:$C$119,2,1)</f>
        <v>Two cups linked by a groove</v>
      </c>
      <c r="E23" t="str">
        <f>VLOOKUP(A23,Panels!$A$1:$E$2104,5,0)</f>
        <v>Broomridge</v>
      </c>
    </row>
    <row r="24">
      <c r="A24" s="3">
        <v>5.0</v>
      </c>
      <c r="B24" s="3">
        <v>107.0</v>
      </c>
      <c r="C24" s="3">
        <v>1.0</v>
      </c>
      <c r="D24" t="str">
        <f>VLOOKUP(B24,ERA_MOTIF_TYPES.csv!$A$1:$C$119,2,1)</f>
        <v>Cup and ring with exterior groove</v>
      </c>
      <c r="E24" t="str">
        <f>VLOOKUP(A24,Panels!$A$1:$E$2104,5,0)</f>
        <v>Broomridge</v>
      </c>
    </row>
    <row r="25">
      <c r="A25" s="3">
        <v>6.0</v>
      </c>
      <c r="B25" s="3">
        <v>7.0</v>
      </c>
      <c r="C25" s="3">
        <v>1.0</v>
      </c>
      <c r="D25" t="str">
        <f>VLOOKUP(B25,ERA_MOTIF_TYPES.csv!$A$1:$C$119,2,1)</f>
        <v>Single Ring</v>
      </c>
      <c r="E25" t="str">
        <f>VLOOKUP(A25,Panels!$A$1:$E$2104,5,0)</f>
        <v>Broomridge</v>
      </c>
    </row>
    <row r="26">
      <c r="A26" s="3">
        <v>6.0</v>
      </c>
      <c r="B26" s="3">
        <v>14.0</v>
      </c>
      <c r="C26" s="3">
        <v>1.0</v>
      </c>
      <c r="D26" t="str">
        <f>VLOOKUP(B26,ERA_MOTIF_TYPES.csv!$A$1:$C$119,2,1)</f>
        <v>Multi Ring + cup</v>
      </c>
      <c r="E26" t="str">
        <f>VLOOKUP(A26,Panels!$A$1:$E$2104,5,0)</f>
        <v>Broomridge</v>
      </c>
    </row>
    <row r="27">
      <c r="A27" s="3">
        <v>7.0</v>
      </c>
      <c r="B27" s="3">
        <v>2.0</v>
      </c>
      <c r="C27" s="3">
        <v>3.0</v>
      </c>
      <c r="D27" t="str">
        <f>VLOOKUP(B27,ERA_MOTIF_TYPES.csv!$A$1:$C$119,2,1)</f>
        <v>Random Cluster</v>
      </c>
      <c r="E27" t="str">
        <f>VLOOKUP(A27,Panels!$A$1:$E$2104,5,0)</f>
        <v>Broomridge</v>
      </c>
    </row>
    <row r="28">
      <c r="A28" s="3">
        <v>7.0</v>
      </c>
      <c r="B28" s="3">
        <v>14.0</v>
      </c>
      <c r="C28" s="3">
        <v>1.0</v>
      </c>
      <c r="D28" t="str">
        <f>VLOOKUP(B28,ERA_MOTIF_TYPES.csv!$A$1:$C$119,2,1)</f>
        <v>Multi Ring + cup</v>
      </c>
      <c r="E28" t="str">
        <f>VLOOKUP(A28,Panels!$A$1:$E$2104,5,0)</f>
        <v>Broomridge</v>
      </c>
    </row>
    <row r="29">
      <c r="A29" s="3">
        <v>7.0</v>
      </c>
      <c r="B29" s="3">
        <v>33.0</v>
      </c>
      <c r="C29" s="3">
        <v>3.0</v>
      </c>
      <c r="D29" t="str">
        <f>VLOOKUP(B29,ERA_MOTIF_TYPES.csv!$A$1:$C$119,2,1)</f>
        <v>Cup Groove and multi ring</v>
      </c>
      <c r="E29" t="str">
        <f>VLOOKUP(A29,Panels!$A$1:$E$2104,5,0)</f>
        <v>Broomridge</v>
      </c>
    </row>
    <row r="30">
      <c r="A30" s="3">
        <v>7.0</v>
      </c>
      <c r="B30" s="3">
        <v>52.0</v>
      </c>
      <c r="C30" s="3">
        <v>20.0</v>
      </c>
      <c r="D30" t="str">
        <f>VLOOKUP(B30,ERA_MOTIF_TYPES.csv!$A$1:$C$119,2,1)</f>
        <v>Single or multiple cups</v>
      </c>
      <c r="E30" t="str">
        <f>VLOOKUP(A30,Panels!$A$1:$E$2104,5,0)</f>
        <v>Broomridge</v>
      </c>
    </row>
    <row r="31">
      <c r="A31" s="3">
        <v>7.0</v>
      </c>
      <c r="B31" s="3">
        <v>57.0</v>
      </c>
      <c r="C31" s="3">
        <v>1.0</v>
      </c>
      <c r="D31" t="str">
        <f>VLOOKUP(B31,ERA_MOTIF_TYPES.csv!$A$1:$C$119,2,1)</f>
        <v>Cup and ring</v>
      </c>
      <c r="E31" t="str">
        <f>VLOOKUP(A31,Panels!$A$1:$E$2104,5,0)</f>
        <v>Broomridge</v>
      </c>
    </row>
    <row r="32">
      <c r="A32" s="3">
        <v>7.0</v>
      </c>
      <c r="B32" s="3">
        <v>58.0</v>
      </c>
      <c r="C32" s="3">
        <v>2.0</v>
      </c>
      <c r="D32" t="str">
        <f>VLOOKUP(B32,ERA_MOTIF_TYPES.csv!$A$1:$C$119,2,1)</f>
        <v>Cup and multiple rings</v>
      </c>
      <c r="E32" t="str">
        <f>VLOOKUP(A32,Panels!$A$1:$E$2104,5,0)</f>
        <v>Broomridge</v>
      </c>
    </row>
    <row r="33">
      <c r="A33" s="3">
        <v>7.0</v>
      </c>
      <c r="B33" s="3">
        <v>59.0</v>
      </c>
      <c r="C33" s="3">
        <v>1.0</v>
      </c>
      <c r="D33" t="str">
        <f>VLOOKUP(B33,ERA_MOTIF_TYPES.csv!$A$1:$C$119,2,1)</f>
        <v>Cup and penannular</v>
      </c>
      <c r="E33" t="str">
        <f>VLOOKUP(A33,Panels!$A$1:$E$2104,5,0)</f>
        <v>Broomridge</v>
      </c>
    </row>
    <row r="34">
      <c r="A34" s="3">
        <v>7.0</v>
      </c>
      <c r="B34" s="3">
        <v>70.0</v>
      </c>
      <c r="C34" s="3">
        <v>1.0</v>
      </c>
      <c r="D34" t="str">
        <f>VLOOKUP(B34,ERA_MOTIF_TYPES.csv!$A$1:$C$119,2,1)</f>
        <v>Concentric rings</v>
      </c>
      <c r="E34" t="str">
        <f>VLOOKUP(A34,Panels!$A$1:$E$2104,5,0)</f>
        <v>Broomridge</v>
      </c>
    </row>
    <row r="35">
      <c r="A35" s="3">
        <v>7.0</v>
      </c>
      <c r="B35" s="3">
        <v>72.0</v>
      </c>
      <c r="C35" s="3">
        <v>1.0</v>
      </c>
      <c r="D35" t="str">
        <f>VLOOKUP(B35,ERA_MOTIF_TYPES.csv!$A$1:$C$119,2,1)</f>
        <v>Multiple penannulars</v>
      </c>
      <c r="E35" t="str">
        <f>VLOOKUP(A35,Panels!$A$1:$E$2104,5,0)</f>
        <v>Broomridge</v>
      </c>
    </row>
    <row r="36">
      <c r="A36" s="3">
        <v>7.0</v>
      </c>
      <c r="B36" s="3">
        <v>100.0</v>
      </c>
      <c r="C36" s="3">
        <v>1.0</v>
      </c>
      <c r="D36" t="str">
        <f>VLOOKUP(B36,ERA_MOTIF_TYPES.csv!$A$1:$C$119,2,1)</f>
        <v>Pick marks</v>
      </c>
      <c r="E36" t="str">
        <f>VLOOKUP(A36,Panels!$A$1:$E$2104,5,0)</f>
        <v>Broomridge</v>
      </c>
    </row>
    <row r="37">
      <c r="A37" s="3">
        <v>7.0</v>
      </c>
      <c r="B37" s="3">
        <v>103.0</v>
      </c>
      <c r="C37" s="3">
        <v>3.0</v>
      </c>
      <c r="D37" t="str">
        <f>VLOOKUP(B37,ERA_MOTIF_TYPES.csv!$A$1:$C$119,2,1)</f>
        <v>Cup and groove</v>
      </c>
      <c r="E37" t="str">
        <f>VLOOKUP(A37,Panels!$A$1:$E$2104,5,0)</f>
        <v>Broomridge</v>
      </c>
    </row>
    <row r="38">
      <c r="A38" s="3">
        <v>7.0</v>
      </c>
      <c r="B38" s="3">
        <v>105.0</v>
      </c>
      <c r="C38" s="3">
        <v>1.0</v>
      </c>
      <c r="D38" t="str">
        <f>VLOOKUP(B38,ERA_MOTIF_TYPES.csv!$A$1:$C$119,2,1)</f>
        <v>Two cups linked by a groove</v>
      </c>
      <c r="E38" t="str">
        <f>VLOOKUP(A38,Panels!$A$1:$E$2104,5,0)</f>
        <v>Broomridge</v>
      </c>
    </row>
    <row r="39">
      <c r="A39" s="3">
        <v>7.0</v>
      </c>
      <c r="B39" s="3">
        <v>110.0</v>
      </c>
      <c r="C39" s="3">
        <v>1.0</v>
      </c>
      <c r="D39" t="str">
        <f>VLOOKUP(B39,ERA_MOTIF_TYPES.csv!$A$1:$C$119,2,1)</f>
        <v>Curved groove</v>
      </c>
      <c r="E39" t="str">
        <f>VLOOKUP(A39,Panels!$A$1:$E$2104,5,0)</f>
        <v>Broomridge</v>
      </c>
    </row>
    <row r="40">
      <c r="A40" s="3">
        <v>8.0</v>
      </c>
      <c r="B40" s="3">
        <v>10.0</v>
      </c>
      <c r="C40" s="3">
        <v>2.0</v>
      </c>
      <c r="D40" t="str">
        <f>VLOOKUP(B40,ERA_MOTIF_TYPES.csv!$A$1:$C$119,2,1)</f>
        <v>Single Arc</v>
      </c>
      <c r="E40" t="str">
        <f>VLOOKUP(A40,Panels!$A$1:$E$2104,5,0)</f>
        <v>Goatscrag</v>
      </c>
    </row>
    <row r="41">
      <c r="A41" s="3">
        <v>8.0</v>
      </c>
      <c r="B41" s="3">
        <v>52.0</v>
      </c>
      <c r="C41" s="3">
        <v>2.0</v>
      </c>
      <c r="D41" t="str">
        <f>VLOOKUP(B41,ERA_MOTIF_TYPES.csv!$A$1:$C$119,2,1)</f>
        <v>Single or multiple cups</v>
      </c>
      <c r="E41" t="str">
        <f>VLOOKUP(A41,Panels!$A$1:$E$2104,5,0)</f>
        <v>Goatscrag</v>
      </c>
    </row>
    <row r="42">
      <c r="A42" s="3">
        <v>8.0</v>
      </c>
      <c r="B42" s="3">
        <v>73.0</v>
      </c>
      <c r="C42" s="3">
        <v>10.0</v>
      </c>
      <c r="D42" t="str">
        <f>VLOOKUP(B42,ERA_MOTIF_TYPES.csv!$A$1:$C$119,2,1)</f>
        <v>Arc</v>
      </c>
      <c r="E42" t="str">
        <f>VLOOKUP(A42,Panels!$A$1:$E$2104,5,0)</f>
        <v>Goatscrag</v>
      </c>
    </row>
    <row r="43">
      <c r="A43" s="3">
        <v>9.0</v>
      </c>
      <c r="B43" s="3">
        <v>10.0</v>
      </c>
      <c r="C43" s="3">
        <v>2.0</v>
      </c>
      <c r="D43" t="str">
        <f>VLOOKUP(B43,ERA_MOTIF_TYPES.csv!$A$1:$C$119,2,1)</f>
        <v>Single Arc</v>
      </c>
      <c r="E43" t="str">
        <f>VLOOKUP(A43,Panels!$A$1:$E$2104,5,0)</f>
        <v>Broomridge</v>
      </c>
    </row>
    <row r="44">
      <c r="A44" s="3">
        <v>9.0</v>
      </c>
      <c r="B44" s="3">
        <v>17.0</v>
      </c>
      <c r="C44" s="3">
        <v>1.0</v>
      </c>
      <c r="D44" t="str">
        <f>VLOOKUP(B44,ERA_MOTIF_TYPES.csv!$A$1:$C$119,2,1)</f>
        <v>Single Penannular + cup</v>
      </c>
      <c r="E44" t="str">
        <f>VLOOKUP(A44,Panels!$A$1:$E$2104,5,0)</f>
        <v>Broomridge</v>
      </c>
    </row>
    <row r="45">
      <c r="A45" s="3">
        <v>9.0</v>
      </c>
      <c r="B45" s="3">
        <v>32.0</v>
      </c>
      <c r="C45" s="3">
        <v>1.0</v>
      </c>
      <c r="D45" t="str">
        <f>VLOOKUP(B45,ERA_MOTIF_TYPES.csv!$A$1:$C$119,2,1)</f>
        <v>Cup Groove and single ring</v>
      </c>
      <c r="E45" t="str">
        <f>VLOOKUP(A45,Panels!$A$1:$E$2104,5,0)</f>
        <v>Broomridge</v>
      </c>
    </row>
    <row r="46">
      <c r="A46" s="3">
        <v>9.0</v>
      </c>
      <c r="B46" s="3">
        <v>52.0</v>
      </c>
      <c r="C46" s="3">
        <v>6.0</v>
      </c>
      <c r="D46" t="str">
        <f>VLOOKUP(B46,ERA_MOTIF_TYPES.csv!$A$1:$C$119,2,1)</f>
        <v>Single or multiple cups</v>
      </c>
      <c r="E46" t="str">
        <f>VLOOKUP(A46,Panels!$A$1:$E$2104,5,0)</f>
        <v>Broomridge</v>
      </c>
    </row>
    <row r="47">
      <c r="A47" s="3">
        <v>9.0</v>
      </c>
      <c r="B47" s="3">
        <v>60.0</v>
      </c>
      <c r="C47" s="3">
        <v>1.0</v>
      </c>
      <c r="D47" t="str">
        <f>VLOOKUP(B47,ERA_MOTIF_TYPES.csv!$A$1:$C$119,2,1)</f>
        <v>Cup and multiple penannulars</v>
      </c>
      <c r="E47" t="str">
        <f>VLOOKUP(A47,Panels!$A$1:$E$2104,5,0)</f>
        <v>Broomridge</v>
      </c>
    </row>
    <row r="48">
      <c r="A48" s="3">
        <v>9.0</v>
      </c>
      <c r="B48" s="3">
        <v>103.0</v>
      </c>
      <c r="C48" s="3">
        <v>2.0</v>
      </c>
      <c r="D48" t="str">
        <f>VLOOKUP(B48,ERA_MOTIF_TYPES.csv!$A$1:$C$119,2,1)</f>
        <v>Cup and groove</v>
      </c>
      <c r="E48" t="str">
        <f>VLOOKUP(A48,Panels!$A$1:$E$2104,5,0)</f>
        <v>Broomridge</v>
      </c>
    </row>
    <row r="49">
      <c r="A49" s="3">
        <v>9.0</v>
      </c>
      <c r="B49" s="3">
        <v>110.0</v>
      </c>
      <c r="C49" s="3">
        <v>3.0</v>
      </c>
      <c r="D49" t="str">
        <f>VLOOKUP(B49,ERA_MOTIF_TYPES.csv!$A$1:$C$119,2,1)</f>
        <v>Curved groove</v>
      </c>
      <c r="E49" t="str">
        <f>VLOOKUP(A49,Panels!$A$1:$E$2104,5,0)</f>
        <v>Broomridge</v>
      </c>
    </row>
    <row r="50">
      <c r="A50" s="3">
        <v>10.0</v>
      </c>
      <c r="B50" s="3">
        <v>1.0</v>
      </c>
      <c r="C50" s="3">
        <v>2.0</v>
      </c>
      <c r="D50" t="str">
        <f>VLOOKUP(B50,ERA_MOTIF_TYPES.csv!$A$1:$C$119,2,1)</f>
        <v>Cups Single</v>
      </c>
      <c r="E50" t="str">
        <f>VLOOKUP(A50,Panels!$A$1:$E$2104,5,0)</f>
        <v>Goatscrag</v>
      </c>
    </row>
    <row r="51">
      <c r="A51" s="3">
        <v>10.0</v>
      </c>
      <c r="B51" s="3">
        <v>52.0</v>
      </c>
      <c r="C51" s="3">
        <v>2.0</v>
      </c>
      <c r="D51" t="str">
        <f>VLOOKUP(B51,ERA_MOTIF_TYPES.csv!$A$1:$C$119,2,1)</f>
        <v>Single or multiple cups</v>
      </c>
      <c r="E51" t="str">
        <f>VLOOKUP(A51,Panels!$A$1:$E$2104,5,0)</f>
        <v>Goatscrag</v>
      </c>
    </row>
    <row r="52">
      <c r="A52" s="3">
        <v>12.0</v>
      </c>
      <c r="B52" s="3">
        <v>52.0</v>
      </c>
      <c r="C52" s="3">
        <v>102.0</v>
      </c>
      <c r="D52" t="str">
        <f>VLOOKUP(B52,ERA_MOTIF_TYPES.csv!$A$1:$C$119,2,1)</f>
        <v>Single or multiple cups</v>
      </c>
      <c r="E52" t="str">
        <f>VLOOKUP(A52,Panels!$A$1:$E$2104,5,0)</f>
        <v>Roughting Linn</v>
      </c>
    </row>
    <row r="53">
      <c r="A53" s="3">
        <v>12.0</v>
      </c>
      <c r="B53" s="3">
        <v>54.0</v>
      </c>
      <c r="C53" s="3">
        <v>1.0</v>
      </c>
      <c r="D53" t="str">
        <f>VLOOKUP(B53,ERA_MOTIF_TYPES.csv!$A$1:$C$119,2,1)</f>
        <v>Rosette</v>
      </c>
      <c r="E53" t="str">
        <f>VLOOKUP(A53,Panels!$A$1:$E$2104,5,0)</f>
        <v>Roughting Linn</v>
      </c>
    </row>
    <row r="54">
      <c r="A54" s="3">
        <v>12.0</v>
      </c>
      <c r="B54" s="3">
        <v>55.0</v>
      </c>
      <c r="C54" s="3">
        <v>1.0</v>
      </c>
      <c r="D54" t="str">
        <f>VLOOKUP(B54,ERA_MOTIF_TYPES.csv!$A$1:$C$119,2,1)</f>
        <v>Cups in a straight or curved line</v>
      </c>
      <c r="E54" t="str">
        <f>VLOOKUP(A54,Panels!$A$1:$E$2104,5,0)</f>
        <v>Roughting Linn</v>
      </c>
    </row>
    <row r="55">
      <c r="A55" s="3">
        <v>12.0</v>
      </c>
      <c r="B55" s="3">
        <v>57.0</v>
      </c>
      <c r="C55" s="3">
        <v>5.0</v>
      </c>
      <c r="D55" t="str">
        <f>VLOOKUP(B55,ERA_MOTIF_TYPES.csv!$A$1:$C$119,2,1)</f>
        <v>Cup and ring</v>
      </c>
      <c r="E55" t="str">
        <f>VLOOKUP(A55,Panels!$A$1:$E$2104,5,0)</f>
        <v>Roughting Linn</v>
      </c>
    </row>
    <row r="56">
      <c r="A56" s="3">
        <v>12.0</v>
      </c>
      <c r="B56" s="3">
        <v>58.0</v>
      </c>
      <c r="C56" s="3">
        <v>1.0</v>
      </c>
      <c r="D56" t="str">
        <f>VLOOKUP(B56,ERA_MOTIF_TYPES.csv!$A$1:$C$119,2,1)</f>
        <v>Cup and multiple rings</v>
      </c>
      <c r="E56" t="str">
        <f>VLOOKUP(A56,Panels!$A$1:$E$2104,5,0)</f>
        <v>Roughting Linn</v>
      </c>
    </row>
    <row r="57">
      <c r="A57" s="3">
        <v>12.0</v>
      </c>
      <c r="B57" s="3">
        <v>59.0</v>
      </c>
      <c r="C57" s="3">
        <v>7.0</v>
      </c>
      <c r="D57" t="str">
        <f>VLOOKUP(B57,ERA_MOTIF_TYPES.csv!$A$1:$C$119,2,1)</f>
        <v>Cup and penannular</v>
      </c>
      <c r="E57" t="str">
        <f>VLOOKUP(A57,Panels!$A$1:$E$2104,5,0)</f>
        <v>Roughting Linn</v>
      </c>
    </row>
    <row r="58">
      <c r="A58" s="3">
        <v>12.0</v>
      </c>
      <c r="B58" s="3">
        <v>60.0</v>
      </c>
      <c r="C58" s="3">
        <v>6.0</v>
      </c>
      <c r="D58" t="str">
        <f>VLOOKUP(B58,ERA_MOTIF_TYPES.csv!$A$1:$C$119,2,1)</f>
        <v>Cup and multiple penannulars</v>
      </c>
      <c r="E58" t="str">
        <f>VLOOKUP(A58,Panels!$A$1:$E$2104,5,0)</f>
        <v>Roughting Linn</v>
      </c>
    </row>
    <row r="59">
      <c r="A59" s="3">
        <v>12.0</v>
      </c>
      <c r="B59" s="3">
        <v>61.0</v>
      </c>
      <c r="C59" s="3">
        <v>11.0</v>
      </c>
      <c r="D59" t="str">
        <f>VLOOKUP(B59,ERA_MOTIF_TYPES.csv!$A$1:$C$119,2,1)</f>
        <v>Cup and arc (or semi-ovoid)</v>
      </c>
      <c r="E59" t="str">
        <f>VLOOKUP(A59,Panels!$A$1:$E$2104,5,0)</f>
        <v>Roughting Linn</v>
      </c>
    </row>
    <row r="60">
      <c r="A60" s="3">
        <v>12.0</v>
      </c>
      <c r="B60" s="3">
        <v>62.0</v>
      </c>
      <c r="C60" s="3">
        <v>4.0</v>
      </c>
      <c r="D60" t="str">
        <f>VLOOKUP(B60,ERA_MOTIF_TYPES.csv!$A$1:$C$119,2,1)</f>
        <v>Cup and multiple arcs</v>
      </c>
      <c r="E60" t="str">
        <f>VLOOKUP(A60,Panels!$A$1:$E$2104,5,0)</f>
        <v>Roughting Linn</v>
      </c>
    </row>
    <row r="61">
      <c r="A61" s="3">
        <v>12.0</v>
      </c>
      <c r="B61" s="3">
        <v>64.0</v>
      </c>
      <c r="C61" s="3">
        <v>2.0</v>
      </c>
      <c r="D61" t="str">
        <f>VLOOKUP(B61,ERA_MOTIF_TYPES.csv!$A$1:$C$119,2,1)</f>
        <v>Cup with groove cutting through multiple rings</v>
      </c>
      <c r="E61" t="str">
        <f>VLOOKUP(A61,Panels!$A$1:$E$2104,5,0)</f>
        <v>Roughting Linn</v>
      </c>
    </row>
    <row r="62">
      <c r="A62" s="3">
        <v>12.0</v>
      </c>
      <c r="B62" s="3">
        <v>65.0</v>
      </c>
      <c r="C62" s="3">
        <v>6.0</v>
      </c>
      <c r="D62" t="str">
        <f>VLOOKUP(B62,ERA_MOTIF_TYPES.csv!$A$1:$C$119,2,1)</f>
        <v>Cup and groove with penannular</v>
      </c>
      <c r="E62" t="str">
        <f>VLOOKUP(A62,Panels!$A$1:$E$2104,5,0)</f>
        <v>Roughting Linn</v>
      </c>
    </row>
    <row r="63">
      <c r="A63" s="3">
        <v>12.0</v>
      </c>
      <c r="B63" s="3">
        <v>66.0</v>
      </c>
      <c r="C63" s="3">
        <v>16.0</v>
      </c>
      <c r="D63" t="str">
        <f>VLOOKUP(B63,ERA_MOTIF_TYPES.csv!$A$1:$C$119,2,1)</f>
        <v>Cup and groove with multiple penannulars</v>
      </c>
      <c r="E63" t="str">
        <f>VLOOKUP(A63,Panels!$A$1:$E$2104,5,0)</f>
        <v>Roughting Linn</v>
      </c>
    </row>
    <row r="64">
      <c r="A64" s="3">
        <v>12.0</v>
      </c>
      <c r="B64" s="3">
        <v>68.0</v>
      </c>
      <c r="C64" s="3">
        <v>4.0</v>
      </c>
      <c r="D64" t="str">
        <f>VLOOKUP(B64,ERA_MOTIF_TYPES.csv!$A$1:$C$119,2,1)</f>
        <v>Cup and groove with multiple arcs</v>
      </c>
      <c r="E64" t="str">
        <f>VLOOKUP(A64,Panels!$A$1:$E$2104,5,0)</f>
        <v>Roughting Linn</v>
      </c>
    </row>
    <row r="65">
      <c r="A65" s="3">
        <v>12.0</v>
      </c>
      <c r="B65" s="3">
        <v>69.0</v>
      </c>
      <c r="C65" s="3">
        <v>1.0</v>
      </c>
      <c r="D65" t="str">
        <f>VLOOKUP(B65,ERA_MOTIF_TYPES.csv!$A$1:$C$119,2,1)</f>
        <v>Ring</v>
      </c>
      <c r="E65" t="str">
        <f>VLOOKUP(A65,Panels!$A$1:$E$2104,5,0)</f>
        <v>Roughting Linn</v>
      </c>
    </row>
    <row r="66">
      <c r="A66" s="3">
        <v>12.0</v>
      </c>
      <c r="B66" s="3">
        <v>71.0</v>
      </c>
      <c r="C66" s="3">
        <v>2.0</v>
      </c>
      <c r="D66" t="str">
        <f>VLOOKUP(B66,ERA_MOTIF_TYPES.csv!$A$1:$C$119,2,1)</f>
        <v>Penannular</v>
      </c>
      <c r="E66" t="str">
        <f>VLOOKUP(A66,Panels!$A$1:$E$2104,5,0)</f>
        <v>Roughting Linn</v>
      </c>
    </row>
    <row r="67">
      <c r="A67" s="3">
        <v>12.0</v>
      </c>
      <c r="B67" s="3">
        <v>72.0</v>
      </c>
      <c r="C67" s="3">
        <v>2.0</v>
      </c>
      <c r="D67" t="str">
        <f>VLOOKUP(B67,ERA_MOTIF_TYPES.csv!$A$1:$C$119,2,1)</f>
        <v>Multiple penannulars</v>
      </c>
      <c r="E67" t="str">
        <f>VLOOKUP(A67,Panels!$A$1:$E$2104,5,0)</f>
        <v>Roughting Linn</v>
      </c>
    </row>
    <row r="68">
      <c r="A68" s="3">
        <v>12.0</v>
      </c>
      <c r="B68" s="3">
        <v>73.0</v>
      </c>
      <c r="C68" s="3">
        <v>10.0</v>
      </c>
      <c r="D68" t="str">
        <f>VLOOKUP(B68,ERA_MOTIF_TYPES.csv!$A$1:$C$119,2,1)</f>
        <v>Arc</v>
      </c>
      <c r="E68" t="str">
        <f>VLOOKUP(A68,Panels!$A$1:$E$2104,5,0)</f>
        <v>Roughting Linn</v>
      </c>
    </row>
    <row r="69">
      <c r="A69" s="3">
        <v>12.0</v>
      </c>
      <c r="B69" s="3">
        <v>74.0</v>
      </c>
      <c r="C69" s="3">
        <v>3.0</v>
      </c>
      <c r="D69" t="str">
        <f>VLOOKUP(B69,ERA_MOTIF_TYPES.csv!$A$1:$C$119,2,1)</f>
        <v>Multiple arcs</v>
      </c>
      <c r="E69" t="str">
        <f>VLOOKUP(A69,Panels!$A$1:$E$2104,5,0)</f>
        <v>Roughting Linn</v>
      </c>
    </row>
    <row r="70">
      <c r="A70" s="3">
        <v>12.0</v>
      </c>
      <c r="B70" s="3">
        <v>87.0</v>
      </c>
      <c r="C70" s="3">
        <v>8.0</v>
      </c>
      <c r="D70" t="str">
        <f>VLOOKUP(B70,ERA_MOTIF_TYPES.csv!$A$1:$C$119,2,1)</f>
        <v>Linear and angular groove</v>
      </c>
      <c r="E70" t="str">
        <f>VLOOKUP(A70,Panels!$A$1:$E$2104,5,0)</f>
        <v>Roughting Linn</v>
      </c>
    </row>
    <row r="71">
      <c r="A71" s="3">
        <v>12.0</v>
      </c>
      <c r="B71" s="3">
        <v>88.0</v>
      </c>
      <c r="C71" s="3">
        <v>2.0</v>
      </c>
      <c r="D71" t="str">
        <f>VLOOKUP(B71,ERA_MOTIF_TYPES.csv!$A$1:$C$119,2,1)</f>
        <v>Parallel grooves</v>
      </c>
      <c r="E71" t="str">
        <f>VLOOKUP(A71,Panels!$A$1:$E$2104,5,0)</f>
        <v>Roughting Linn</v>
      </c>
    </row>
    <row r="72">
      <c r="A72" s="3">
        <v>12.0</v>
      </c>
      <c r="B72" s="3">
        <v>90.0</v>
      </c>
      <c r="C72" s="3">
        <v>3.0</v>
      </c>
      <c r="D72" t="str">
        <f>VLOOKUP(B72,ERA_MOTIF_TYPES.csv!$A$1:$C$119,2,1)</f>
        <v>Serpentine groove</v>
      </c>
      <c r="E72" t="str">
        <f>VLOOKUP(A72,Panels!$A$1:$E$2104,5,0)</f>
        <v>Roughting Linn</v>
      </c>
    </row>
    <row r="73">
      <c r="A73" s="3">
        <v>12.0</v>
      </c>
      <c r="B73" s="3">
        <v>100.0</v>
      </c>
      <c r="C73" s="3">
        <v>1.0</v>
      </c>
      <c r="D73" t="str">
        <f>VLOOKUP(B73,ERA_MOTIF_TYPES.csv!$A$1:$C$119,2,1)</f>
        <v>Pick marks</v>
      </c>
      <c r="E73" t="str">
        <f>VLOOKUP(A73,Panels!$A$1:$E$2104,5,0)</f>
        <v>Roughting Linn</v>
      </c>
    </row>
    <row r="74">
      <c r="A74" s="3">
        <v>12.0</v>
      </c>
      <c r="B74" s="3">
        <v>103.0</v>
      </c>
      <c r="C74" s="3">
        <v>5.0</v>
      </c>
      <c r="D74" t="str">
        <f>VLOOKUP(B74,ERA_MOTIF_TYPES.csv!$A$1:$C$119,2,1)</f>
        <v>Cup and groove</v>
      </c>
      <c r="E74" t="str">
        <f>VLOOKUP(A74,Panels!$A$1:$E$2104,5,0)</f>
        <v>Roughting Linn</v>
      </c>
    </row>
    <row r="75">
      <c r="A75" s="3">
        <v>12.0</v>
      </c>
      <c r="B75" s="3">
        <v>105.0</v>
      </c>
      <c r="C75" s="3">
        <v>1.0</v>
      </c>
      <c r="D75" t="str">
        <f>VLOOKUP(B75,ERA_MOTIF_TYPES.csv!$A$1:$C$119,2,1)</f>
        <v>Two cups linked by a groove</v>
      </c>
      <c r="E75" t="str">
        <f>VLOOKUP(A75,Panels!$A$1:$E$2104,5,0)</f>
        <v>Roughting Linn</v>
      </c>
    </row>
    <row r="76">
      <c r="A76" s="3">
        <v>12.0</v>
      </c>
      <c r="B76" s="3">
        <v>107.0</v>
      </c>
      <c r="C76" s="3">
        <v>5.0</v>
      </c>
      <c r="D76" t="str">
        <f>VLOOKUP(B76,ERA_MOTIF_TYPES.csv!$A$1:$C$119,2,1)</f>
        <v>Cup and ring with exterior groove</v>
      </c>
      <c r="E76" t="str">
        <f>VLOOKUP(A76,Panels!$A$1:$E$2104,5,0)</f>
        <v>Roughting Linn</v>
      </c>
    </row>
    <row r="77">
      <c r="A77" s="3">
        <v>12.0</v>
      </c>
      <c r="B77" s="3">
        <v>109.0</v>
      </c>
      <c r="C77" s="3">
        <v>1.0</v>
      </c>
      <c r="D77" t="str">
        <f>VLOOKUP(B77,ERA_MOTIF_TYPES.csv!$A$1:$C$119,2,1)</f>
        <v>Radiates</v>
      </c>
      <c r="E77" t="str">
        <f>VLOOKUP(A77,Panels!$A$1:$E$2104,5,0)</f>
        <v>Roughting Linn</v>
      </c>
    </row>
    <row r="78">
      <c r="A78" s="3">
        <v>12.0</v>
      </c>
      <c r="B78" s="3">
        <v>110.0</v>
      </c>
      <c r="C78" s="3">
        <v>5.0</v>
      </c>
      <c r="D78" t="str">
        <f>VLOOKUP(B78,ERA_MOTIF_TYPES.csv!$A$1:$C$119,2,1)</f>
        <v>Curved groove</v>
      </c>
      <c r="E78" t="str">
        <f>VLOOKUP(A78,Panels!$A$1:$E$2104,5,0)</f>
        <v>Roughting Linn</v>
      </c>
    </row>
    <row r="79">
      <c r="A79" s="3">
        <v>13.0</v>
      </c>
      <c r="B79" s="3">
        <v>1.0</v>
      </c>
      <c r="C79" s="3">
        <v>3.0</v>
      </c>
      <c r="D79" t="str">
        <f>VLOOKUP(B79,ERA_MOTIF_TYPES.csv!$A$1:$C$119,2,1)</f>
        <v>Cups Single</v>
      </c>
      <c r="E79" t="str">
        <f>VLOOKUP(A79,Panels!$A$1:$E$2104,5,0)</f>
        <v>Hare Law Crags</v>
      </c>
    </row>
    <row r="80">
      <c r="A80" s="3">
        <v>13.0</v>
      </c>
      <c r="B80" s="3">
        <v>13.0</v>
      </c>
      <c r="C80" s="3">
        <v>1.0</v>
      </c>
      <c r="D80" t="str">
        <f>VLOOKUP(B80,ERA_MOTIF_TYPES.csv!$A$1:$C$119,2,1)</f>
        <v>Single Ring + cup</v>
      </c>
      <c r="E80" t="str">
        <f>VLOOKUP(A80,Panels!$A$1:$E$2104,5,0)</f>
        <v>Hare Law Crags</v>
      </c>
    </row>
    <row r="81">
      <c r="A81" s="3">
        <v>13.0</v>
      </c>
      <c r="B81" s="3">
        <v>33.0</v>
      </c>
      <c r="C81" s="3">
        <v>1.0</v>
      </c>
      <c r="D81" t="str">
        <f>VLOOKUP(B81,ERA_MOTIF_TYPES.csv!$A$1:$C$119,2,1)</f>
        <v>Cup Groove and multi ring</v>
      </c>
      <c r="E81" t="str">
        <f>VLOOKUP(A81,Panels!$A$1:$E$2104,5,0)</f>
        <v>Hare Law Crags</v>
      </c>
    </row>
    <row r="82">
      <c r="A82" s="3">
        <v>13.0</v>
      </c>
      <c r="B82" s="3">
        <v>52.0</v>
      </c>
      <c r="C82" s="3">
        <v>1.0</v>
      </c>
      <c r="D82" t="str">
        <f>VLOOKUP(B82,ERA_MOTIF_TYPES.csv!$A$1:$C$119,2,1)</f>
        <v>Single or multiple cups</v>
      </c>
      <c r="E82" t="str">
        <f>VLOOKUP(A82,Panels!$A$1:$E$2104,5,0)</f>
        <v>Hare Law Crags</v>
      </c>
    </row>
    <row r="83">
      <c r="A83" s="3">
        <v>13.0</v>
      </c>
      <c r="B83" s="3">
        <v>57.0</v>
      </c>
      <c r="C83" s="3">
        <v>2.0</v>
      </c>
      <c r="D83" t="str">
        <f>VLOOKUP(B83,ERA_MOTIF_TYPES.csv!$A$1:$C$119,2,1)</f>
        <v>Cup and ring</v>
      </c>
      <c r="E83" t="str">
        <f>VLOOKUP(A83,Panels!$A$1:$E$2104,5,0)</f>
        <v>Hare Law Crags</v>
      </c>
    </row>
    <row r="84">
      <c r="A84" s="3">
        <v>13.0</v>
      </c>
      <c r="B84" s="3">
        <v>58.0</v>
      </c>
      <c r="C84" s="3">
        <v>4.0</v>
      </c>
      <c r="D84" t="str">
        <f>VLOOKUP(B84,ERA_MOTIF_TYPES.csv!$A$1:$C$119,2,1)</f>
        <v>Cup and multiple rings</v>
      </c>
      <c r="E84" t="str">
        <f>VLOOKUP(A84,Panels!$A$1:$E$2104,5,0)</f>
        <v>Hare Law Crags</v>
      </c>
    </row>
    <row r="85">
      <c r="A85" s="3">
        <v>13.0</v>
      </c>
      <c r="B85" s="3">
        <v>60.0</v>
      </c>
      <c r="C85" s="3">
        <v>1.0</v>
      </c>
      <c r="D85" t="str">
        <f>VLOOKUP(B85,ERA_MOTIF_TYPES.csv!$A$1:$C$119,2,1)</f>
        <v>Cup and multiple penannulars</v>
      </c>
      <c r="E85" t="str">
        <f>VLOOKUP(A85,Panels!$A$1:$E$2104,5,0)</f>
        <v>Hare Law Crags</v>
      </c>
    </row>
    <row r="86">
      <c r="A86" s="3">
        <v>13.0</v>
      </c>
      <c r="B86" s="3">
        <v>65.0</v>
      </c>
      <c r="C86" s="3">
        <v>2.0</v>
      </c>
      <c r="D86" t="str">
        <f>VLOOKUP(B86,ERA_MOTIF_TYPES.csv!$A$1:$C$119,2,1)</f>
        <v>Cup and groove with penannular</v>
      </c>
      <c r="E86" t="str">
        <f>VLOOKUP(A86,Panels!$A$1:$E$2104,5,0)</f>
        <v>Hare Law Crags</v>
      </c>
    </row>
    <row r="87">
      <c r="A87" s="3">
        <v>13.0</v>
      </c>
      <c r="B87" s="3">
        <v>66.0</v>
      </c>
      <c r="C87" s="3">
        <v>1.0</v>
      </c>
      <c r="D87" t="str">
        <f>VLOOKUP(B87,ERA_MOTIF_TYPES.csv!$A$1:$C$119,2,1)</f>
        <v>Cup and groove with multiple penannulars</v>
      </c>
      <c r="E87" t="str">
        <f>VLOOKUP(A87,Panels!$A$1:$E$2104,5,0)</f>
        <v>Hare Law Crags</v>
      </c>
    </row>
    <row r="88">
      <c r="A88" s="3">
        <v>13.0</v>
      </c>
      <c r="B88" s="3">
        <v>69.0</v>
      </c>
      <c r="C88" s="3">
        <v>1.0</v>
      </c>
      <c r="D88" t="str">
        <f>VLOOKUP(B88,ERA_MOTIF_TYPES.csv!$A$1:$C$119,2,1)</f>
        <v>Ring</v>
      </c>
      <c r="E88" t="str">
        <f>VLOOKUP(A88,Panels!$A$1:$E$2104,5,0)</f>
        <v>Hare Law Crags</v>
      </c>
    </row>
    <row r="89">
      <c r="A89" s="3">
        <v>13.0</v>
      </c>
      <c r="B89" s="3">
        <v>87.0</v>
      </c>
      <c r="C89" s="3">
        <v>1.0</v>
      </c>
      <c r="D89" t="str">
        <f>VLOOKUP(B89,ERA_MOTIF_TYPES.csv!$A$1:$C$119,2,1)</f>
        <v>Linear and angular groove</v>
      </c>
      <c r="E89" t="str">
        <f>VLOOKUP(A89,Panels!$A$1:$E$2104,5,0)</f>
        <v>Hare Law Crags</v>
      </c>
    </row>
    <row r="90">
      <c r="A90" s="3">
        <v>13.0</v>
      </c>
      <c r="B90" s="3">
        <v>104.0</v>
      </c>
      <c r="C90" s="3">
        <v>1.0</v>
      </c>
      <c r="D90" t="str">
        <f>VLOOKUP(B90,ERA_MOTIF_TYPES.csv!$A$1:$C$119,2,1)</f>
        <v>Angular groove around a cup</v>
      </c>
      <c r="E90" t="str">
        <f>VLOOKUP(A90,Panels!$A$1:$E$2104,5,0)</f>
        <v>Hare Law Crags</v>
      </c>
    </row>
    <row r="91">
      <c r="A91" s="3">
        <v>14.0</v>
      </c>
      <c r="B91" s="3">
        <v>1.0</v>
      </c>
      <c r="C91" s="3">
        <v>5.0</v>
      </c>
      <c r="D91" t="str">
        <f>VLOOKUP(B91,ERA_MOTIF_TYPES.csv!$A$1:$C$119,2,1)</f>
        <v>Cups Single</v>
      </c>
      <c r="E91" t="str">
        <f>VLOOKUP(A91,Panels!$A$1:$E$2104,5,0)</f>
        <v>Hare Law Crags</v>
      </c>
    </row>
    <row r="92">
      <c r="A92" s="3">
        <v>14.0</v>
      </c>
      <c r="B92" s="3">
        <v>2.0</v>
      </c>
      <c r="C92" s="3">
        <v>1.0</v>
      </c>
      <c r="D92" t="str">
        <f>VLOOKUP(B92,ERA_MOTIF_TYPES.csv!$A$1:$C$119,2,1)</f>
        <v>Random Cluster</v>
      </c>
      <c r="E92" t="str">
        <f>VLOOKUP(A92,Panels!$A$1:$E$2104,5,0)</f>
        <v>Hare Law Crags</v>
      </c>
    </row>
    <row r="93">
      <c r="A93" s="3">
        <v>14.0</v>
      </c>
      <c r="B93" s="3">
        <v>31.0</v>
      </c>
      <c r="C93" s="3">
        <v>1.0</v>
      </c>
      <c r="D93" t="str">
        <f>VLOOKUP(B93,ERA_MOTIF_TYPES.csv!$A$1:$C$119,2,1)</f>
        <v>Cup and Groove</v>
      </c>
      <c r="E93" t="str">
        <f>VLOOKUP(A93,Panels!$A$1:$E$2104,5,0)</f>
        <v>Hare Law Crags</v>
      </c>
    </row>
    <row r="94">
      <c r="A94" s="3">
        <v>14.0</v>
      </c>
      <c r="B94" s="3">
        <v>52.0</v>
      </c>
      <c r="C94" s="3">
        <v>12.0</v>
      </c>
      <c r="D94" t="str">
        <f>VLOOKUP(B94,ERA_MOTIF_TYPES.csv!$A$1:$C$119,2,1)</f>
        <v>Single or multiple cups</v>
      </c>
      <c r="E94" t="str">
        <f>VLOOKUP(A94,Panels!$A$1:$E$2104,5,0)</f>
        <v>Hare Law Crags</v>
      </c>
    </row>
    <row r="95">
      <c r="A95" s="3">
        <v>14.0</v>
      </c>
      <c r="B95" s="3">
        <v>57.0</v>
      </c>
      <c r="C95" s="3">
        <v>1.0</v>
      </c>
      <c r="D95" t="str">
        <f>VLOOKUP(B95,ERA_MOTIF_TYPES.csv!$A$1:$C$119,2,1)</f>
        <v>Cup and ring</v>
      </c>
      <c r="E95" t="str">
        <f>VLOOKUP(A95,Panels!$A$1:$E$2104,5,0)</f>
        <v>Hare Law Crags</v>
      </c>
    </row>
    <row r="96">
      <c r="A96" s="3">
        <v>14.0</v>
      </c>
      <c r="B96" s="3">
        <v>103.0</v>
      </c>
      <c r="C96" s="3">
        <v>2.0</v>
      </c>
      <c r="D96" t="str">
        <f>VLOOKUP(B96,ERA_MOTIF_TYPES.csv!$A$1:$C$119,2,1)</f>
        <v>Cup and groove</v>
      </c>
      <c r="E96" t="str">
        <f>VLOOKUP(A96,Panels!$A$1:$E$2104,5,0)</f>
        <v>Hare Law Crags</v>
      </c>
    </row>
    <row r="97">
      <c r="A97" s="3">
        <v>15.0</v>
      </c>
      <c r="B97" s="3">
        <v>1.0</v>
      </c>
      <c r="C97" s="3">
        <v>1.0</v>
      </c>
      <c r="D97" t="str">
        <f>VLOOKUP(B97,ERA_MOTIF_TYPES.csv!$A$1:$C$119,2,1)</f>
        <v>Cups Single</v>
      </c>
      <c r="E97" t="str">
        <f>VLOOKUP(A97,Panels!$A$1:$E$2104,5,0)</f>
        <v>Hare Law Crags</v>
      </c>
    </row>
    <row r="98">
      <c r="A98" s="3">
        <v>15.0</v>
      </c>
      <c r="B98" s="3">
        <v>14.0</v>
      </c>
      <c r="C98" s="3">
        <v>1.0</v>
      </c>
      <c r="D98" t="str">
        <f>VLOOKUP(B98,ERA_MOTIF_TYPES.csv!$A$1:$C$119,2,1)</f>
        <v>Multi Ring + cup</v>
      </c>
      <c r="E98" t="str">
        <f>VLOOKUP(A98,Panels!$A$1:$E$2104,5,0)</f>
        <v>Hare Law Crags</v>
      </c>
    </row>
    <row r="99">
      <c r="A99" s="3">
        <v>15.0</v>
      </c>
      <c r="B99" s="3">
        <v>52.0</v>
      </c>
      <c r="C99" s="3">
        <v>3.0</v>
      </c>
      <c r="D99" t="str">
        <f>VLOOKUP(B99,ERA_MOTIF_TYPES.csv!$A$1:$C$119,2,1)</f>
        <v>Single or multiple cups</v>
      </c>
      <c r="E99" t="str">
        <f>VLOOKUP(A99,Panels!$A$1:$E$2104,5,0)</f>
        <v>Hare Law Crags</v>
      </c>
    </row>
    <row r="100">
      <c r="A100" s="3">
        <v>15.0</v>
      </c>
      <c r="B100" s="3">
        <v>61.0</v>
      </c>
      <c r="C100" s="3">
        <v>2.0</v>
      </c>
      <c r="D100" t="str">
        <f>VLOOKUP(B100,ERA_MOTIF_TYPES.csv!$A$1:$C$119,2,1)</f>
        <v>Cup and arc (or semi-ovoid)</v>
      </c>
      <c r="E100" t="str">
        <f>VLOOKUP(A100,Panels!$A$1:$E$2104,5,0)</f>
        <v>Hare Law Crags</v>
      </c>
    </row>
    <row r="101">
      <c r="A101" s="3">
        <v>15.0</v>
      </c>
      <c r="B101" s="3">
        <v>64.0</v>
      </c>
      <c r="C101" s="3">
        <v>1.0</v>
      </c>
      <c r="D101" t="str">
        <f>VLOOKUP(B101,ERA_MOTIF_TYPES.csv!$A$1:$C$119,2,1)</f>
        <v>Cup with groove cutting through multiple rings</v>
      </c>
      <c r="E101" t="str">
        <f>VLOOKUP(A101,Panels!$A$1:$E$2104,5,0)</f>
        <v>Hare Law Crags</v>
      </c>
    </row>
    <row r="102">
      <c r="A102" s="3">
        <v>16.0</v>
      </c>
      <c r="B102" s="3">
        <v>14.0</v>
      </c>
      <c r="C102" s="3">
        <v>1.0</v>
      </c>
      <c r="D102" t="str">
        <f>VLOOKUP(B102,ERA_MOTIF_TYPES.csv!$A$1:$C$119,2,1)</f>
        <v>Multi Ring + cup</v>
      </c>
      <c r="E102" t="str">
        <f>VLOOKUP(A102,Panels!$A$1:$E$2104,5,0)</f>
        <v>Hare Law Crags</v>
      </c>
    </row>
    <row r="103">
      <c r="A103" s="3">
        <v>16.0</v>
      </c>
      <c r="B103" s="3">
        <v>52.0</v>
      </c>
      <c r="C103" s="3">
        <v>2.0</v>
      </c>
      <c r="D103" t="str">
        <f>VLOOKUP(B103,ERA_MOTIF_TYPES.csv!$A$1:$C$119,2,1)</f>
        <v>Single or multiple cups</v>
      </c>
      <c r="E103" t="str">
        <f>VLOOKUP(A103,Panels!$A$1:$E$2104,5,0)</f>
        <v>Hare Law Crags</v>
      </c>
    </row>
    <row r="104">
      <c r="A104" s="3">
        <v>16.0</v>
      </c>
      <c r="B104" s="3">
        <v>57.0</v>
      </c>
      <c r="C104" s="3">
        <v>3.0</v>
      </c>
      <c r="D104" t="str">
        <f>VLOOKUP(B104,ERA_MOTIF_TYPES.csv!$A$1:$C$119,2,1)</f>
        <v>Cup and ring</v>
      </c>
      <c r="E104" t="str">
        <f>VLOOKUP(A104,Panels!$A$1:$E$2104,5,0)</f>
        <v>Hare Law Crags</v>
      </c>
    </row>
    <row r="105">
      <c r="A105" s="3">
        <v>16.0</v>
      </c>
      <c r="B105" s="3">
        <v>64.0</v>
      </c>
      <c r="C105" s="3">
        <v>1.0</v>
      </c>
      <c r="D105" t="str">
        <f>VLOOKUP(B105,ERA_MOTIF_TYPES.csv!$A$1:$C$119,2,1)</f>
        <v>Cup with groove cutting through multiple rings</v>
      </c>
      <c r="E105" t="str">
        <f>VLOOKUP(A105,Panels!$A$1:$E$2104,5,0)</f>
        <v>Hare Law Crags</v>
      </c>
    </row>
    <row r="106">
      <c r="A106" s="3">
        <v>16.0</v>
      </c>
      <c r="B106" s="3">
        <v>65.0</v>
      </c>
      <c r="C106" s="3">
        <v>1.0</v>
      </c>
      <c r="D106" t="str">
        <f>VLOOKUP(B106,ERA_MOTIF_TYPES.csv!$A$1:$C$119,2,1)</f>
        <v>Cup and groove with penannular</v>
      </c>
      <c r="E106" t="str">
        <f>VLOOKUP(A106,Panels!$A$1:$E$2104,5,0)</f>
        <v>Hare Law Crags</v>
      </c>
    </row>
    <row r="107">
      <c r="A107" s="3">
        <v>16.0</v>
      </c>
      <c r="B107" s="3">
        <v>67.0</v>
      </c>
      <c r="C107" s="3">
        <v>1.0</v>
      </c>
      <c r="D107" t="str">
        <f>VLOOKUP(B107,ERA_MOTIF_TYPES.csv!$A$1:$C$119,2,1)</f>
        <v>Cup and groove with arc</v>
      </c>
      <c r="E107" t="str">
        <f>VLOOKUP(A107,Panels!$A$1:$E$2104,5,0)</f>
        <v>Hare Law Crags</v>
      </c>
    </row>
    <row r="108">
      <c r="A108" s="3">
        <v>17.0</v>
      </c>
      <c r="B108" s="3">
        <v>6.0</v>
      </c>
      <c r="C108" s="3">
        <v>1.0</v>
      </c>
      <c r="D108" t="str">
        <f>VLOOKUP(B108,ERA_MOTIF_TYPES.csv!$A$1:$C$119,2,1)</f>
        <v>curved or straight line</v>
      </c>
      <c r="E108" t="str">
        <f>VLOOKUP(A108,Panels!$A$1:$E$2104,5,0)</f>
        <v>Hare Law Crags</v>
      </c>
    </row>
    <row r="109">
      <c r="A109" s="3">
        <v>17.0</v>
      </c>
      <c r="B109" s="3">
        <v>14.0</v>
      </c>
      <c r="C109" s="3">
        <v>1.0</v>
      </c>
      <c r="D109" t="str">
        <f>VLOOKUP(B109,ERA_MOTIF_TYPES.csv!$A$1:$C$119,2,1)</f>
        <v>Multi Ring + cup</v>
      </c>
      <c r="E109" t="str">
        <f>VLOOKUP(A109,Panels!$A$1:$E$2104,5,0)</f>
        <v>Hare Law Crags</v>
      </c>
    </row>
    <row r="110">
      <c r="A110" s="3">
        <v>17.0</v>
      </c>
      <c r="B110" s="3">
        <v>17.0</v>
      </c>
      <c r="C110" s="3">
        <v>1.0</v>
      </c>
      <c r="D110" t="str">
        <f>VLOOKUP(B110,ERA_MOTIF_TYPES.csv!$A$1:$C$119,2,1)</f>
        <v>Single Penannular + cup</v>
      </c>
      <c r="E110" t="str">
        <f>VLOOKUP(A110,Panels!$A$1:$E$2104,5,0)</f>
        <v>Hare Law Crags</v>
      </c>
    </row>
    <row r="111">
      <c r="A111" s="3">
        <v>17.0</v>
      </c>
      <c r="B111" s="3">
        <v>52.0</v>
      </c>
      <c r="C111" s="3">
        <v>3.0</v>
      </c>
      <c r="D111" t="str">
        <f>VLOOKUP(B111,ERA_MOTIF_TYPES.csv!$A$1:$C$119,2,1)</f>
        <v>Single or multiple cups</v>
      </c>
      <c r="E111" t="str">
        <f>VLOOKUP(A111,Panels!$A$1:$E$2104,5,0)</f>
        <v>Hare Law Crags</v>
      </c>
    </row>
    <row r="112">
      <c r="A112" s="3">
        <v>17.0</v>
      </c>
      <c r="B112" s="3">
        <v>58.0</v>
      </c>
      <c r="C112" s="3">
        <v>1.0</v>
      </c>
      <c r="D112" t="str">
        <f>VLOOKUP(B112,ERA_MOTIF_TYPES.csv!$A$1:$C$119,2,1)</f>
        <v>Cup and multiple rings</v>
      </c>
      <c r="E112" t="str">
        <f>VLOOKUP(A112,Panels!$A$1:$E$2104,5,0)</f>
        <v>Hare Law Crags</v>
      </c>
    </row>
    <row r="113">
      <c r="A113" s="3">
        <v>17.0</v>
      </c>
      <c r="B113" s="3">
        <v>59.0</v>
      </c>
      <c r="C113" s="3">
        <v>1.0</v>
      </c>
      <c r="D113" t="str">
        <f>VLOOKUP(B113,ERA_MOTIF_TYPES.csv!$A$1:$C$119,2,1)</f>
        <v>Cup and penannular</v>
      </c>
      <c r="E113" t="str">
        <f>VLOOKUP(A113,Panels!$A$1:$E$2104,5,0)</f>
        <v>Hare Law Crags</v>
      </c>
    </row>
    <row r="114">
      <c r="A114" s="3">
        <v>17.0</v>
      </c>
      <c r="B114" s="3">
        <v>61.0</v>
      </c>
      <c r="C114" s="3">
        <v>1.0</v>
      </c>
      <c r="D114" t="str">
        <f>VLOOKUP(B114,ERA_MOTIF_TYPES.csv!$A$1:$C$119,2,1)</f>
        <v>Cup and arc (or semi-ovoid)</v>
      </c>
      <c r="E114" t="str">
        <f>VLOOKUP(A114,Panels!$A$1:$E$2104,5,0)</f>
        <v>Hare Law Crags</v>
      </c>
    </row>
    <row r="115">
      <c r="A115" s="3">
        <v>17.0</v>
      </c>
      <c r="B115" s="3">
        <v>87.0</v>
      </c>
      <c r="C115" s="3">
        <v>1.0</v>
      </c>
      <c r="D115" t="str">
        <f>VLOOKUP(B115,ERA_MOTIF_TYPES.csv!$A$1:$C$119,2,1)</f>
        <v>Linear and angular groove</v>
      </c>
      <c r="E115" t="str">
        <f>VLOOKUP(A115,Panels!$A$1:$E$2104,5,0)</f>
        <v>Hare Law Crags</v>
      </c>
    </row>
    <row r="116">
      <c r="A116" s="3">
        <v>17.0</v>
      </c>
      <c r="B116" s="3">
        <v>105.0</v>
      </c>
      <c r="C116" s="3">
        <v>1.0</v>
      </c>
      <c r="D116" t="str">
        <f>VLOOKUP(B116,ERA_MOTIF_TYPES.csv!$A$1:$C$119,2,1)</f>
        <v>Two cups linked by a groove</v>
      </c>
      <c r="E116" t="str">
        <f>VLOOKUP(A116,Panels!$A$1:$E$2104,5,0)</f>
        <v>Hare Law Crags</v>
      </c>
    </row>
    <row r="117">
      <c r="A117" s="3">
        <v>17.0</v>
      </c>
      <c r="B117" s="3">
        <v>110.0</v>
      </c>
      <c r="C117" s="3">
        <v>1.0</v>
      </c>
      <c r="D117" t="str">
        <f>VLOOKUP(B117,ERA_MOTIF_TYPES.csv!$A$1:$C$119,2,1)</f>
        <v>Curved groove</v>
      </c>
      <c r="E117" t="str">
        <f>VLOOKUP(A117,Panels!$A$1:$E$2104,5,0)</f>
        <v>Hare Law Crags</v>
      </c>
    </row>
    <row r="118">
      <c r="A118" s="3">
        <v>18.0</v>
      </c>
      <c r="B118" s="3">
        <v>1.0</v>
      </c>
      <c r="C118" s="3">
        <v>1.0</v>
      </c>
      <c r="D118" t="str">
        <f>VLOOKUP(B118,ERA_MOTIF_TYPES.csv!$A$1:$C$119,2,1)</f>
        <v>Cups Single</v>
      </c>
      <c r="E118" t="str">
        <f>VLOOKUP(A118,Panels!$A$1:$E$2104,5,0)</f>
        <v>Hare Law Crags</v>
      </c>
    </row>
    <row r="119">
      <c r="A119" s="3">
        <v>18.0</v>
      </c>
      <c r="B119" s="3">
        <v>52.0</v>
      </c>
      <c r="C119" s="3">
        <v>6.0</v>
      </c>
      <c r="D119" t="str">
        <f>VLOOKUP(B119,ERA_MOTIF_TYPES.csv!$A$1:$C$119,2,1)</f>
        <v>Single or multiple cups</v>
      </c>
      <c r="E119" t="str">
        <f>VLOOKUP(A119,Panels!$A$1:$E$2104,5,0)</f>
        <v>Hare Law Crags</v>
      </c>
    </row>
    <row r="120">
      <c r="A120" s="3">
        <v>18.0</v>
      </c>
      <c r="B120" s="3">
        <v>58.0</v>
      </c>
      <c r="C120" s="3">
        <v>1.0</v>
      </c>
      <c r="D120" t="str">
        <f>VLOOKUP(B120,ERA_MOTIF_TYPES.csv!$A$1:$C$119,2,1)</f>
        <v>Cup and multiple rings</v>
      </c>
      <c r="E120" t="str">
        <f>VLOOKUP(A120,Panels!$A$1:$E$2104,5,0)</f>
        <v>Hare Law Crags</v>
      </c>
    </row>
    <row r="121">
      <c r="A121" s="3">
        <v>19.0</v>
      </c>
      <c r="B121" s="3">
        <v>16.0</v>
      </c>
      <c r="C121" s="3">
        <v>1.0</v>
      </c>
      <c r="D121" t="str">
        <f>VLOOKUP(B121,ERA_MOTIF_TYPES.csv!$A$1:$C$119,2,1)</f>
        <v>Single Arc + cup</v>
      </c>
      <c r="E121" t="str">
        <f>VLOOKUP(A121,Panels!$A$1:$E$2104,5,0)</f>
        <v>Hare Law Crags</v>
      </c>
    </row>
    <row r="122">
      <c r="A122" s="3">
        <v>19.0</v>
      </c>
      <c r="B122" s="3">
        <v>52.0</v>
      </c>
      <c r="C122" s="3">
        <v>11.0</v>
      </c>
      <c r="D122" t="str">
        <f>VLOOKUP(B122,ERA_MOTIF_TYPES.csv!$A$1:$C$119,2,1)</f>
        <v>Single or multiple cups</v>
      </c>
      <c r="E122" t="str">
        <f>VLOOKUP(A122,Panels!$A$1:$E$2104,5,0)</f>
        <v>Hare Law Crags</v>
      </c>
    </row>
    <row r="123">
      <c r="A123" s="3">
        <v>19.0</v>
      </c>
      <c r="B123" s="3">
        <v>57.0</v>
      </c>
      <c r="C123" s="3">
        <v>3.0</v>
      </c>
      <c r="D123" t="str">
        <f>VLOOKUP(B123,ERA_MOTIF_TYPES.csv!$A$1:$C$119,2,1)</f>
        <v>Cup and ring</v>
      </c>
      <c r="E123" t="str">
        <f>VLOOKUP(A123,Panels!$A$1:$E$2104,5,0)</f>
        <v>Hare Law Crags</v>
      </c>
    </row>
    <row r="124">
      <c r="A124" s="3">
        <v>19.0</v>
      </c>
      <c r="B124" s="3">
        <v>59.0</v>
      </c>
      <c r="C124" s="3">
        <v>1.0</v>
      </c>
      <c r="D124" t="str">
        <f>VLOOKUP(B124,ERA_MOTIF_TYPES.csv!$A$1:$C$119,2,1)</f>
        <v>Cup and penannular</v>
      </c>
      <c r="E124" t="str">
        <f>VLOOKUP(A124,Panels!$A$1:$E$2104,5,0)</f>
        <v>Hare Law Crags</v>
      </c>
    </row>
    <row r="125">
      <c r="A125" s="3">
        <v>19.0</v>
      </c>
      <c r="B125" s="3">
        <v>60.0</v>
      </c>
      <c r="C125" s="3">
        <v>1.0</v>
      </c>
      <c r="D125" t="str">
        <f>VLOOKUP(B125,ERA_MOTIF_TYPES.csv!$A$1:$C$119,2,1)</f>
        <v>Cup and multiple penannulars</v>
      </c>
      <c r="E125" t="str">
        <f>VLOOKUP(A125,Panels!$A$1:$E$2104,5,0)</f>
        <v>Hare Law Crags</v>
      </c>
    </row>
    <row r="126">
      <c r="A126" s="3">
        <v>19.0</v>
      </c>
      <c r="B126" s="3">
        <v>61.0</v>
      </c>
      <c r="C126" s="3">
        <v>2.0</v>
      </c>
      <c r="D126" t="str">
        <f>VLOOKUP(B126,ERA_MOTIF_TYPES.csv!$A$1:$C$119,2,1)</f>
        <v>Cup and arc (or semi-ovoid)</v>
      </c>
      <c r="E126" t="str">
        <f>VLOOKUP(A126,Panels!$A$1:$E$2104,5,0)</f>
        <v>Hare Law Crags</v>
      </c>
    </row>
    <row r="127">
      <c r="A127" s="3">
        <v>19.0</v>
      </c>
      <c r="B127" s="3">
        <v>69.0</v>
      </c>
      <c r="C127" s="3">
        <v>1.0</v>
      </c>
      <c r="D127" t="str">
        <f>VLOOKUP(B127,ERA_MOTIF_TYPES.csv!$A$1:$C$119,2,1)</f>
        <v>Ring</v>
      </c>
      <c r="E127" t="str">
        <f>VLOOKUP(A127,Panels!$A$1:$E$2104,5,0)</f>
        <v>Hare Law Crags</v>
      </c>
    </row>
    <row r="128">
      <c r="A128" s="3">
        <v>19.0</v>
      </c>
      <c r="B128" s="3">
        <v>71.0</v>
      </c>
      <c r="C128" s="3">
        <v>3.0</v>
      </c>
      <c r="D128" t="str">
        <f>VLOOKUP(B128,ERA_MOTIF_TYPES.csv!$A$1:$C$119,2,1)</f>
        <v>Penannular</v>
      </c>
      <c r="E128" t="str">
        <f>VLOOKUP(A128,Panels!$A$1:$E$2104,5,0)</f>
        <v>Hare Law Crags</v>
      </c>
    </row>
    <row r="129">
      <c r="A129" s="3">
        <v>19.0</v>
      </c>
      <c r="B129" s="3">
        <v>73.0</v>
      </c>
      <c r="C129" s="3">
        <v>2.0</v>
      </c>
      <c r="D129" t="str">
        <f>VLOOKUP(B129,ERA_MOTIF_TYPES.csv!$A$1:$C$119,2,1)</f>
        <v>Arc</v>
      </c>
      <c r="E129" t="str">
        <f>VLOOKUP(A129,Panels!$A$1:$E$2104,5,0)</f>
        <v>Hare Law Crags</v>
      </c>
    </row>
    <row r="130">
      <c r="A130" s="3">
        <v>19.0</v>
      </c>
      <c r="B130" s="3">
        <v>74.0</v>
      </c>
      <c r="C130" s="3">
        <v>1.0</v>
      </c>
      <c r="D130" t="str">
        <f>VLOOKUP(B130,ERA_MOTIF_TYPES.csv!$A$1:$C$119,2,1)</f>
        <v>Multiple arcs</v>
      </c>
      <c r="E130" t="str">
        <f>VLOOKUP(A130,Panels!$A$1:$E$2104,5,0)</f>
        <v>Hare Law Crags</v>
      </c>
    </row>
    <row r="131">
      <c r="A131" s="3">
        <v>19.0</v>
      </c>
      <c r="B131" s="3">
        <v>82.0</v>
      </c>
      <c r="C131" s="3">
        <v>1.0</v>
      </c>
      <c r="D131" t="str">
        <f>VLOOKUP(B131,ERA_MOTIF_TYPES.csv!$A$1:$C$119,2,1)</f>
        <v>Rosette enclosed by a ring</v>
      </c>
      <c r="E131" t="str">
        <f>VLOOKUP(A131,Panels!$A$1:$E$2104,5,0)</f>
        <v>Hare Law Crags</v>
      </c>
    </row>
    <row r="132">
      <c r="A132" s="3">
        <v>19.0</v>
      </c>
      <c r="B132" s="3">
        <v>101.0</v>
      </c>
      <c r="C132" s="3">
        <v>1.0</v>
      </c>
      <c r="D132" t="str">
        <f>VLOOKUP(B132,ERA_MOTIF_TYPES.csv!$A$1:$C$119,2,1)</f>
        <v>Occulus</v>
      </c>
      <c r="E132" t="str">
        <f>VLOOKUP(A132,Panels!$A$1:$E$2104,5,0)</f>
        <v>Hare Law Crags</v>
      </c>
    </row>
    <row r="133">
      <c r="A133" s="3">
        <v>19.0</v>
      </c>
      <c r="B133" s="3">
        <v>104.0</v>
      </c>
      <c r="C133" s="3">
        <v>1.0</v>
      </c>
      <c r="D133" t="str">
        <f>VLOOKUP(B133,ERA_MOTIF_TYPES.csv!$A$1:$C$119,2,1)</f>
        <v>Angular groove around a cup</v>
      </c>
      <c r="E133" t="str">
        <f>VLOOKUP(A133,Panels!$A$1:$E$2104,5,0)</f>
        <v>Hare Law Crags</v>
      </c>
    </row>
    <row r="134">
      <c r="A134" s="3">
        <v>19.0</v>
      </c>
      <c r="B134" s="3">
        <v>107.0</v>
      </c>
      <c r="C134" s="3">
        <v>1.0</v>
      </c>
      <c r="D134" t="str">
        <f>VLOOKUP(B134,ERA_MOTIF_TYPES.csv!$A$1:$C$119,2,1)</f>
        <v>Cup and ring with exterior groove</v>
      </c>
      <c r="E134" t="str">
        <f>VLOOKUP(A134,Panels!$A$1:$E$2104,5,0)</f>
        <v>Hare Law Crags</v>
      </c>
    </row>
    <row r="135">
      <c r="A135" s="3">
        <v>20.0</v>
      </c>
      <c r="B135" s="3">
        <v>1.0</v>
      </c>
      <c r="C135" s="3">
        <v>1.0</v>
      </c>
      <c r="D135" t="str">
        <f>VLOOKUP(B135,ERA_MOTIF_TYPES.csv!$A$1:$C$119,2,1)</f>
        <v>Cups Single</v>
      </c>
      <c r="E135" t="str">
        <f>VLOOKUP(A135,Panels!$A$1:$E$2104,5,0)</f>
        <v>High Chesters (Cairnheads)</v>
      </c>
    </row>
    <row r="136">
      <c r="A136" s="3">
        <v>20.0</v>
      </c>
      <c r="B136" s="3">
        <v>17.0</v>
      </c>
      <c r="C136" s="3">
        <v>3.0</v>
      </c>
      <c r="D136" t="str">
        <f>VLOOKUP(B136,ERA_MOTIF_TYPES.csv!$A$1:$C$119,2,1)</f>
        <v>Single Penannular + cup</v>
      </c>
      <c r="E136" t="str">
        <f>VLOOKUP(A136,Panels!$A$1:$E$2104,5,0)</f>
        <v>High Chesters (Cairnheads)</v>
      </c>
    </row>
    <row r="137">
      <c r="A137" s="3">
        <v>20.0</v>
      </c>
      <c r="B137" s="3">
        <v>31.0</v>
      </c>
      <c r="C137" s="3">
        <v>1.0</v>
      </c>
      <c r="D137" t="str">
        <f>VLOOKUP(B137,ERA_MOTIF_TYPES.csv!$A$1:$C$119,2,1)</f>
        <v>Cup and Groove</v>
      </c>
      <c r="E137" t="str">
        <f>VLOOKUP(A137,Panels!$A$1:$E$2104,5,0)</f>
        <v>High Chesters (Cairnheads)</v>
      </c>
    </row>
    <row r="138">
      <c r="A138" s="3">
        <v>20.0</v>
      </c>
      <c r="B138" s="3">
        <v>32.0</v>
      </c>
      <c r="C138" s="3">
        <v>1.0</v>
      </c>
      <c r="D138" t="str">
        <f>VLOOKUP(B138,ERA_MOTIF_TYPES.csv!$A$1:$C$119,2,1)</f>
        <v>Cup Groove and single ring</v>
      </c>
      <c r="E138" t="str">
        <f>VLOOKUP(A138,Panels!$A$1:$E$2104,5,0)</f>
        <v>High Chesters (Cairnheads)</v>
      </c>
    </row>
    <row r="139">
      <c r="A139" s="3">
        <v>21.0</v>
      </c>
      <c r="B139" s="3">
        <v>13.0</v>
      </c>
      <c r="C139" s="3">
        <v>1.0</v>
      </c>
      <c r="D139" t="str">
        <f>VLOOKUP(B139,ERA_MOTIF_TYPES.csv!$A$1:$C$119,2,1)</f>
        <v>Single Ring + cup</v>
      </c>
      <c r="E139" t="str">
        <f>VLOOKUP(A139,Panels!$A$1:$E$2104,5,0)</f>
        <v>Doddington Sheepfold</v>
      </c>
    </row>
    <row r="140">
      <c r="A140" s="3">
        <v>21.0</v>
      </c>
      <c r="B140" s="3">
        <v>52.0</v>
      </c>
      <c r="C140" s="3">
        <v>3.0</v>
      </c>
      <c r="D140" t="str">
        <f>VLOOKUP(B140,ERA_MOTIF_TYPES.csv!$A$1:$C$119,2,1)</f>
        <v>Single or multiple cups</v>
      </c>
      <c r="E140" t="str">
        <f>VLOOKUP(A140,Panels!$A$1:$E$2104,5,0)</f>
        <v>Doddington Sheepfold</v>
      </c>
    </row>
    <row r="141">
      <c r="A141" s="3">
        <v>21.0</v>
      </c>
      <c r="B141" s="3">
        <v>57.0</v>
      </c>
      <c r="C141" s="3">
        <v>1.0</v>
      </c>
      <c r="D141" t="str">
        <f>VLOOKUP(B141,ERA_MOTIF_TYPES.csv!$A$1:$C$119,2,1)</f>
        <v>Cup and ring</v>
      </c>
      <c r="E141" t="str">
        <f>VLOOKUP(A141,Panels!$A$1:$E$2104,5,0)</f>
        <v>Doddington Sheepfold</v>
      </c>
    </row>
    <row r="142">
      <c r="A142" s="3">
        <v>21.0</v>
      </c>
      <c r="B142" s="3">
        <v>67.0</v>
      </c>
      <c r="C142" s="3">
        <v>1.0</v>
      </c>
      <c r="D142" t="str">
        <f>VLOOKUP(B142,ERA_MOTIF_TYPES.csv!$A$1:$C$119,2,1)</f>
        <v>Cup and groove with arc</v>
      </c>
      <c r="E142" t="str">
        <f>VLOOKUP(A142,Panels!$A$1:$E$2104,5,0)</f>
        <v>Doddington Sheepfold</v>
      </c>
    </row>
    <row r="143">
      <c r="A143" s="3">
        <v>21.0</v>
      </c>
      <c r="B143" s="3">
        <v>73.0</v>
      </c>
      <c r="C143" s="3">
        <v>2.0</v>
      </c>
      <c r="D143" t="str">
        <f>VLOOKUP(B143,ERA_MOTIF_TYPES.csv!$A$1:$C$119,2,1)</f>
        <v>Arc</v>
      </c>
      <c r="E143" t="str">
        <f>VLOOKUP(A143,Panels!$A$1:$E$2104,5,0)</f>
        <v>Doddington Sheepfold</v>
      </c>
    </row>
    <row r="144">
      <c r="A144" s="3">
        <v>22.0</v>
      </c>
      <c r="B144" s="3">
        <v>31.0</v>
      </c>
      <c r="C144" s="3">
        <v>1.0</v>
      </c>
      <c r="D144" t="str">
        <f>VLOOKUP(B144,ERA_MOTIF_TYPES.csv!$A$1:$C$119,2,1)</f>
        <v>Cup and Groove</v>
      </c>
      <c r="E144" t="str">
        <f>VLOOKUP(A144,Panels!$A$1:$E$2104,5,0)</f>
        <v>Doddington Sheepfold</v>
      </c>
    </row>
    <row r="145">
      <c r="A145" s="3">
        <v>22.0</v>
      </c>
      <c r="B145" s="3">
        <v>103.0</v>
      </c>
      <c r="C145" s="3">
        <v>1.0</v>
      </c>
      <c r="D145" t="str">
        <f>VLOOKUP(B145,ERA_MOTIF_TYPES.csv!$A$1:$C$119,2,1)</f>
        <v>Cup and groove</v>
      </c>
      <c r="E145" t="str">
        <f>VLOOKUP(A145,Panels!$A$1:$E$2104,5,0)</f>
        <v>Doddington Sheepfold</v>
      </c>
    </row>
    <row r="146">
      <c r="A146" s="3">
        <v>23.0</v>
      </c>
      <c r="B146" s="3">
        <v>52.0</v>
      </c>
      <c r="C146" s="3">
        <v>1.0</v>
      </c>
      <c r="D146" t="str">
        <f>VLOOKUP(B146,ERA_MOTIF_TYPES.csv!$A$1:$C$119,2,1)</f>
        <v>Single or multiple cups</v>
      </c>
      <c r="E146" t="str">
        <f>VLOOKUP(A146,Panels!$A$1:$E$2104,5,0)</f>
        <v>Doddington Sheepfold</v>
      </c>
    </row>
    <row r="147">
      <c r="A147" s="3">
        <v>23.0</v>
      </c>
      <c r="B147" s="3">
        <v>65.0</v>
      </c>
      <c r="C147" s="3">
        <v>2.0</v>
      </c>
      <c r="D147" t="str">
        <f>VLOOKUP(B147,ERA_MOTIF_TYPES.csv!$A$1:$C$119,2,1)</f>
        <v>Cup and groove with penannular</v>
      </c>
      <c r="E147" t="str">
        <f>VLOOKUP(A147,Panels!$A$1:$E$2104,5,0)</f>
        <v>Doddington Sheepfold</v>
      </c>
    </row>
    <row r="148">
      <c r="A148" s="3">
        <v>23.0</v>
      </c>
      <c r="B148" s="3">
        <v>73.0</v>
      </c>
      <c r="C148" s="3">
        <v>3.0</v>
      </c>
      <c r="D148" t="str">
        <f>VLOOKUP(B148,ERA_MOTIF_TYPES.csv!$A$1:$C$119,2,1)</f>
        <v>Arc</v>
      </c>
      <c r="E148" t="str">
        <f>VLOOKUP(A148,Panels!$A$1:$E$2104,5,0)</f>
        <v>Doddington Sheepfold</v>
      </c>
    </row>
    <row r="149">
      <c r="A149" s="3">
        <v>23.0</v>
      </c>
      <c r="B149" s="3">
        <v>104.0</v>
      </c>
      <c r="C149" s="3">
        <v>1.0</v>
      </c>
      <c r="D149" t="str">
        <f>VLOOKUP(B149,ERA_MOTIF_TYPES.csv!$A$1:$C$119,2,1)</f>
        <v>Angular groove around a cup</v>
      </c>
      <c r="E149" t="str">
        <f>VLOOKUP(A149,Panels!$A$1:$E$2104,5,0)</f>
        <v>Doddington Sheepfold</v>
      </c>
    </row>
    <row r="150">
      <c r="A150" s="3">
        <v>24.0</v>
      </c>
      <c r="B150" s="3">
        <v>59.0</v>
      </c>
      <c r="C150" s="3">
        <v>1.0</v>
      </c>
      <c r="D150" t="str">
        <f>VLOOKUP(B150,ERA_MOTIF_TYPES.csv!$A$1:$C$119,2,1)</f>
        <v>Cup and penannular</v>
      </c>
      <c r="E150" t="str">
        <f>VLOOKUP(A150,Panels!$A$1:$E$2104,5,0)</f>
        <v>Doddington Sheepfold</v>
      </c>
    </row>
    <row r="151">
      <c r="A151" s="3">
        <v>25.0</v>
      </c>
      <c r="B151" s="3">
        <v>1.0</v>
      </c>
      <c r="C151" s="3">
        <v>5.0</v>
      </c>
      <c r="D151" t="str">
        <f>VLOOKUP(B151,ERA_MOTIF_TYPES.csv!$A$1:$C$119,2,1)</f>
        <v>Cups Single</v>
      </c>
      <c r="E151" t="str">
        <f>VLOOKUP(A151,Panels!$A$1:$E$2104,5,0)</f>
        <v>The Ringses</v>
      </c>
    </row>
    <row r="152">
      <c r="A152" s="3">
        <v>25.0</v>
      </c>
      <c r="B152" s="3">
        <v>2.0</v>
      </c>
      <c r="C152" s="3">
        <v>2.0</v>
      </c>
      <c r="D152" t="str">
        <f>VLOOKUP(B152,ERA_MOTIF_TYPES.csv!$A$1:$C$119,2,1)</f>
        <v>Random Cluster</v>
      </c>
      <c r="E152" t="str">
        <f>VLOOKUP(A152,Panels!$A$1:$E$2104,5,0)</f>
        <v>The Ringses</v>
      </c>
    </row>
    <row r="153">
      <c r="A153" s="3">
        <v>25.0</v>
      </c>
      <c r="B153" s="3">
        <v>13.0</v>
      </c>
      <c r="C153" s="3">
        <v>1.0</v>
      </c>
      <c r="D153" t="str">
        <f>VLOOKUP(B153,ERA_MOTIF_TYPES.csv!$A$1:$C$119,2,1)</f>
        <v>Single Ring + cup</v>
      </c>
      <c r="E153" t="str">
        <f>VLOOKUP(A153,Panels!$A$1:$E$2104,5,0)</f>
        <v>The Ringses</v>
      </c>
    </row>
    <row r="154">
      <c r="A154" s="3">
        <v>25.0</v>
      </c>
      <c r="B154" s="3">
        <v>14.0</v>
      </c>
      <c r="C154" s="3">
        <v>3.0</v>
      </c>
      <c r="D154" t="str">
        <f>VLOOKUP(B154,ERA_MOTIF_TYPES.csv!$A$1:$C$119,2,1)</f>
        <v>Multi Ring + cup</v>
      </c>
      <c r="E154" t="str">
        <f>VLOOKUP(A154,Panels!$A$1:$E$2104,5,0)</f>
        <v>The Ringses</v>
      </c>
    </row>
    <row r="155">
      <c r="A155" s="3">
        <v>25.0</v>
      </c>
      <c r="B155" s="3">
        <v>16.0</v>
      </c>
      <c r="C155" s="3">
        <v>2.0</v>
      </c>
      <c r="D155" t="str">
        <f>VLOOKUP(B155,ERA_MOTIF_TYPES.csv!$A$1:$C$119,2,1)</f>
        <v>Single Arc + cup</v>
      </c>
      <c r="E155" t="str">
        <f>VLOOKUP(A155,Panels!$A$1:$E$2104,5,0)</f>
        <v>The Ringses</v>
      </c>
    </row>
    <row r="156">
      <c r="A156" s="3">
        <v>25.0</v>
      </c>
      <c r="B156" s="3">
        <v>45.0</v>
      </c>
      <c r="C156" s="3">
        <v>1.0</v>
      </c>
      <c r="D156" t="str">
        <f>VLOOKUP(B156,ERA_MOTIF_TYPES.csv!$A$1:$C$119,2,1)</f>
        <v>Rossette and Groove</v>
      </c>
      <c r="E156" t="str">
        <f>VLOOKUP(A156,Panels!$A$1:$E$2104,5,0)</f>
        <v>The Ringses</v>
      </c>
    </row>
    <row r="157">
      <c r="A157" s="3">
        <v>25.0</v>
      </c>
      <c r="B157" s="3">
        <v>51.0</v>
      </c>
      <c r="C157" s="3">
        <v>2.0</v>
      </c>
      <c r="D157" t="str">
        <f>VLOOKUP(B157,ERA_MOTIF_TYPES.csv!$A$1:$C$119,2,1)</f>
        <v>Bowls</v>
      </c>
      <c r="E157" t="str">
        <f>VLOOKUP(A157,Panels!$A$1:$E$2104,5,0)</f>
        <v>The Ringses</v>
      </c>
    </row>
    <row r="158">
      <c r="A158" s="3">
        <v>25.0</v>
      </c>
      <c r="B158" s="3">
        <v>52.0</v>
      </c>
      <c r="C158" s="3">
        <v>54.0</v>
      </c>
      <c r="D158" t="str">
        <f>VLOOKUP(B158,ERA_MOTIF_TYPES.csv!$A$1:$C$119,2,1)</f>
        <v>Single or multiple cups</v>
      </c>
      <c r="E158" t="str">
        <f>VLOOKUP(A158,Panels!$A$1:$E$2104,5,0)</f>
        <v>The Ringses</v>
      </c>
    </row>
    <row r="159">
      <c r="A159" s="3">
        <v>25.0</v>
      </c>
      <c r="B159" s="3">
        <v>57.0</v>
      </c>
      <c r="C159" s="3">
        <v>3.0</v>
      </c>
      <c r="D159" t="str">
        <f>VLOOKUP(B159,ERA_MOTIF_TYPES.csv!$A$1:$C$119,2,1)</f>
        <v>Cup and ring</v>
      </c>
      <c r="E159" t="str">
        <f>VLOOKUP(A159,Panels!$A$1:$E$2104,5,0)</f>
        <v>The Ringses</v>
      </c>
    </row>
    <row r="160">
      <c r="A160" s="3">
        <v>25.0</v>
      </c>
      <c r="B160" s="3">
        <v>60.0</v>
      </c>
      <c r="C160" s="3">
        <v>2.0</v>
      </c>
      <c r="D160" t="str">
        <f>VLOOKUP(B160,ERA_MOTIF_TYPES.csv!$A$1:$C$119,2,1)</f>
        <v>Cup and multiple penannulars</v>
      </c>
      <c r="E160" t="str">
        <f>VLOOKUP(A160,Panels!$A$1:$E$2104,5,0)</f>
        <v>The Ringses</v>
      </c>
    </row>
    <row r="161">
      <c r="A161" s="3">
        <v>25.0</v>
      </c>
      <c r="B161" s="3">
        <v>61.0</v>
      </c>
      <c r="C161" s="3">
        <v>3.0</v>
      </c>
      <c r="D161" t="str">
        <f>VLOOKUP(B161,ERA_MOTIF_TYPES.csv!$A$1:$C$119,2,1)</f>
        <v>Cup and arc (or semi-ovoid)</v>
      </c>
      <c r="E161" t="str">
        <f>VLOOKUP(A161,Panels!$A$1:$E$2104,5,0)</f>
        <v>The Ringses</v>
      </c>
    </row>
    <row r="162">
      <c r="A162" s="3">
        <v>25.0</v>
      </c>
      <c r="B162" s="3">
        <v>67.0</v>
      </c>
      <c r="C162" s="3">
        <v>1.0</v>
      </c>
      <c r="D162" t="str">
        <f>VLOOKUP(B162,ERA_MOTIF_TYPES.csv!$A$1:$C$119,2,1)</f>
        <v>Cup and groove with arc</v>
      </c>
      <c r="E162" t="str">
        <f>VLOOKUP(A162,Panels!$A$1:$E$2104,5,0)</f>
        <v>The Ringses</v>
      </c>
    </row>
    <row r="163">
      <c r="A163" s="3">
        <v>25.0</v>
      </c>
      <c r="B163" s="3">
        <v>72.0</v>
      </c>
      <c r="C163" s="3">
        <v>1.0</v>
      </c>
      <c r="D163" t="str">
        <f>VLOOKUP(B163,ERA_MOTIF_TYPES.csv!$A$1:$C$119,2,1)</f>
        <v>Multiple penannulars</v>
      </c>
      <c r="E163" t="str">
        <f>VLOOKUP(A163,Panels!$A$1:$E$2104,5,0)</f>
        <v>The Ringses</v>
      </c>
    </row>
    <row r="164">
      <c r="A164" s="3">
        <v>25.0</v>
      </c>
      <c r="B164" s="3">
        <v>83.0</v>
      </c>
      <c r="C164" s="3">
        <v>1.0</v>
      </c>
      <c r="D164" t="str">
        <f>VLOOKUP(B164,ERA_MOTIF_TYPES.csv!$A$1:$C$119,2,1)</f>
        <v>Rosette enclosed by two concentric rings, the central cup having a groove that cuts the rings</v>
      </c>
      <c r="E164" t="str">
        <f>VLOOKUP(A164,Panels!$A$1:$E$2104,5,0)</f>
        <v>The Ringses</v>
      </c>
    </row>
    <row r="165">
      <c r="A165" s="3">
        <v>25.0</v>
      </c>
      <c r="B165" s="3">
        <v>84.0</v>
      </c>
      <c r="C165" s="3">
        <v>1.0</v>
      </c>
      <c r="D165" t="str">
        <f>VLOOKUP(B165,ERA_MOTIF_TYPES.csv!$A$1:$C$119,2,1)</f>
        <v>Oval groove enclosing cups</v>
      </c>
      <c r="E165" t="str">
        <f>VLOOKUP(A165,Panels!$A$1:$E$2104,5,0)</f>
        <v>The Ringses</v>
      </c>
    </row>
    <row r="166">
      <c r="A166" s="3">
        <v>25.0</v>
      </c>
      <c r="B166" s="3">
        <v>87.0</v>
      </c>
      <c r="C166" s="3">
        <v>4.0</v>
      </c>
      <c r="D166" t="str">
        <f>VLOOKUP(B166,ERA_MOTIF_TYPES.csv!$A$1:$C$119,2,1)</f>
        <v>Linear and angular groove</v>
      </c>
      <c r="E166" t="str">
        <f>VLOOKUP(A166,Panels!$A$1:$E$2104,5,0)</f>
        <v>The Ringses</v>
      </c>
    </row>
    <row r="167">
      <c r="A167" s="3">
        <v>25.0</v>
      </c>
      <c r="B167" s="3">
        <v>100.0</v>
      </c>
      <c r="C167" s="3">
        <v>1.0</v>
      </c>
      <c r="D167" t="str">
        <f>VLOOKUP(B167,ERA_MOTIF_TYPES.csv!$A$1:$C$119,2,1)</f>
        <v>Pick marks</v>
      </c>
      <c r="E167" t="str">
        <f>VLOOKUP(A167,Panels!$A$1:$E$2104,5,0)</f>
        <v>The Ringses</v>
      </c>
    </row>
    <row r="168">
      <c r="A168" s="3">
        <v>25.0</v>
      </c>
      <c r="B168" s="3">
        <v>103.0</v>
      </c>
      <c r="C168" s="3">
        <v>4.0</v>
      </c>
      <c r="D168" t="str">
        <f>VLOOKUP(B168,ERA_MOTIF_TYPES.csv!$A$1:$C$119,2,1)</f>
        <v>Cup and groove</v>
      </c>
      <c r="E168" t="str">
        <f>VLOOKUP(A168,Panels!$A$1:$E$2104,5,0)</f>
        <v>The Ringses</v>
      </c>
    </row>
    <row r="169">
      <c r="A169" s="3">
        <v>25.0</v>
      </c>
      <c r="B169" s="3">
        <v>105.0</v>
      </c>
      <c r="C169" s="3">
        <v>1.0</v>
      </c>
      <c r="D169" t="str">
        <f>VLOOKUP(B169,ERA_MOTIF_TYPES.csv!$A$1:$C$119,2,1)</f>
        <v>Two cups linked by a groove</v>
      </c>
      <c r="E169" t="str">
        <f>VLOOKUP(A169,Panels!$A$1:$E$2104,5,0)</f>
        <v>The Ringses</v>
      </c>
    </row>
    <row r="170">
      <c r="A170" s="3">
        <v>25.0</v>
      </c>
      <c r="B170" s="3">
        <v>107.0</v>
      </c>
      <c r="C170" s="3">
        <v>2.0</v>
      </c>
      <c r="D170" t="str">
        <f>VLOOKUP(B170,ERA_MOTIF_TYPES.csv!$A$1:$C$119,2,1)</f>
        <v>Cup and ring with exterior groove</v>
      </c>
      <c r="E170" t="str">
        <f>VLOOKUP(A170,Panels!$A$1:$E$2104,5,0)</f>
        <v>The Ringses</v>
      </c>
    </row>
    <row r="171">
      <c r="A171" s="3">
        <v>25.0</v>
      </c>
      <c r="B171" s="3">
        <v>110.0</v>
      </c>
      <c r="C171" s="3">
        <v>4.0</v>
      </c>
      <c r="D171" t="str">
        <f>VLOOKUP(B171,ERA_MOTIF_TYPES.csv!$A$1:$C$119,2,1)</f>
        <v>Curved groove</v>
      </c>
      <c r="E171" t="str">
        <f>VLOOKUP(A171,Panels!$A$1:$E$2104,5,0)</f>
        <v>The Ringses</v>
      </c>
    </row>
    <row r="172">
      <c r="A172" s="3">
        <v>26.0</v>
      </c>
      <c r="B172" s="3">
        <v>1.0</v>
      </c>
      <c r="C172" s="3">
        <v>2.0</v>
      </c>
      <c r="D172" t="str">
        <f>VLOOKUP(B172,ERA_MOTIF_TYPES.csv!$A$1:$C$119,2,1)</f>
        <v>Cups Single</v>
      </c>
      <c r="E172" t="str">
        <f>VLOOKUP(A172,Panels!$A$1:$E$2104,5,0)</f>
        <v>The Ringses</v>
      </c>
    </row>
    <row r="173">
      <c r="A173" s="3">
        <v>26.0</v>
      </c>
      <c r="B173" s="3">
        <v>2.0</v>
      </c>
      <c r="C173" s="3">
        <v>1.0</v>
      </c>
      <c r="D173" t="str">
        <f>VLOOKUP(B173,ERA_MOTIF_TYPES.csv!$A$1:$C$119,2,1)</f>
        <v>Random Cluster</v>
      </c>
      <c r="E173" t="str">
        <f>VLOOKUP(A173,Panels!$A$1:$E$2104,5,0)</f>
        <v>The Ringses</v>
      </c>
    </row>
    <row r="174">
      <c r="A174" s="3">
        <v>26.0</v>
      </c>
      <c r="B174" s="3">
        <v>14.0</v>
      </c>
      <c r="C174" s="3">
        <v>1.0</v>
      </c>
      <c r="D174" t="str">
        <f>VLOOKUP(B174,ERA_MOTIF_TYPES.csv!$A$1:$C$119,2,1)</f>
        <v>Multi Ring + cup</v>
      </c>
      <c r="E174" t="str">
        <f>VLOOKUP(A174,Panels!$A$1:$E$2104,5,0)</f>
        <v>The Ringses</v>
      </c>
    </row>
    <row r="175">
      <c r="A175" s="3">
        <v>26.0</v>
      </c>
      <c r="B175" s="3">
        <v>17.0</v>
      </c>
      <c r="C175" s="3">
        <v>1.0</v>
      </c>
      <c r="D175" t="str">
        <f>VLOOKUP(B175,ERA_MOTIF_TYPES.csv!$A$1:$C$119,2,1)</f>
        <v>Single Penannular + cup</v>
      </c>
      <c r="E175" t="str">
        <f>VLOOKUP(A175,Panels!$A$1:$E$2104,5,0)</f>
        <v>The Ringses</v>
      </c>
    </row>
    <row r="176">
      <c r="A176" s="3">
        <v>26.0</v>
      </c>
      <c r="B176" s="3">
        <v>27.0</v>
      </c>
      <c r="C176" s="3">
        <v>1.0</v>
      </c>
      <c r="D176" t="str">
        <f>VLOOKUP(B176,ERA_MOTIF_TYPES.csv!$A$1:$C$119,2,1)</f>
        <v>Serpentine</v>
      </c>
      <c r="E176" t="str">
        <f>VLOOKUP(A176,Panels!$A$1:$E$2104,5,0)</f>
        <v>The Ringses</v>
      </c>
    </row>
    <row r="177">
      <c r="A177" s="3">
        <v>26.0</v>
      </c>
      <c r="B177" s="3">
        <v>44.0</v>
      </c>
      <c r="C177" s="3">
        <v>1.0</v>
      </c>
      <c r="D177" t="str">
        <f>VLOOKUP(B177,ERA_MOTIF_TYPES.csv!$A$1:$C$119,2,1)</f>
        <v>Rossette</v>
      </c>
      <c r="E177" t="str">
        <f>VLOOKUP(A177,Panels!$A$1:$E$2104,5,0)</f>
        <v>The Ringses</v>
      </c>
    </row>
    <row r="178">
      <c r="A178" s="3">
        <v>26.0</v>
      </c>
      <c r="B178" s="3">
        <v>51.0</v>
      </c>
      <c r="C178" s="3">
        <v>5.0</v>
      </c>
      <c r="D178" t="str">
        <f>VLOOKUP(B178,ERA_MOTIF_TYPES.csv!$A$1:$C$119,2,1)</f>
        <v>Bowls</v>
      </c>
      <c r="E178" t="str">
        <f>VLOOKUP(A178,Panels!$A$1:$E$2104,5,0)</f>
        <v>The Ringses</v>
      </c>
    </row>
    <row r="179">
      <c r="A179" s="3">
        <v>26.0</v>
      </c>
      <c r="B179" s="3">
        <v>52.0</v>
      </c>
      <c r="C179" s="3">
        <v>35.0</v>
      </c>
      <c r="D179" t="str">
        <f>VLOOKUP(B179,ERA_MOTIF_TYPES.csv!$A$1:$C$119,2,1)</f>
        <v>Single or multiple cups</v>
      </c>
      <c r="E179" t="str">
        <f>VLOOKUP(A179,Panels!$A$1:$E$2104,5,0)</f>
        <v>The Ringses</v>
      </c>
    </row>
    <row r="180">
      <c r="A180" s="3">
        <v>26.0</v>
      </c>
      <c r="B180" s="3">
        <v>57.0</v>
      </c>
      <c r="C180" s="3">
        <v>2.0</v>
      </c>
      <c r="D180" t="str">
        <f>VLOOKUP(B180,ERA_MOTIF_TYPES.csv!$A$1:$C$119,2,1)</f>
        <v>Cup and ring</v>
      </c>
      <c r="E180" t="str">
        <f>VLOOKUP(A180,Panels!$A$1:$E$2104,5,0)</f>
        <v>The Ringses</v>
      </c>
    </row>
    <row r="181">
      <c r="A181" s="3">
        <v>26.0</v>
      </c>
      <c r="B181" s="3">
        <v>58.0</v>
      </c>
      <c r="C181" s="3">
        <v>1.0</v>
      </c>
      <c r="D181" t="str">
        <f>VLOOKUP(B181,ERA_MOTIF_TYPES.csv!$A$1:$C$119,2,1)</f>
        <v>Cup and multiple rings</v>
      </c>
      <c r="E181" t="str">
        <f>VLOOKUP(A181,Panels!$A$1:$E$2104,5,0)</f>
        <v>The Ringses</v>
      </c>
    </row>
    <row r="182">
      <c r="A182" s="3">
        <v>26.0</v>
      </c>
      <c r="B182" s="3">
        <v>59.0</v>
      </c>
      <c r="C182" s="3">
        <v>1.0</v>
      </c>
      <c r="D182" t="str">
        <f>VLOOKUP(B182,ERA_MOTIF_TYPES.csv!$A$1:$C$119,2,1)</f>
        <v>Cup and penannular</v>
      </c>
      <c r="E182" t="str">
        <f>VLOOKUP(A182,Panels!$A$1:$E$2104,5,0)</f>
        <v>The Ringses</v>
      </c>
    </row>
    <row r="183">
      <c r="A183" s="3">
        <v>26.0</v>
      </c>
      <c r="B183" s="3">
        <v>60.0</v>
      </c>
      <c r="C183" s="3">
        <v>1.0</v>
      </c>
      <c r="D183" t="str">
        <f>VLOOKUP(B183,ERA_MOTIF_TYPES.csv!$A$1:$C$119,2,1)</f>
        <v>Cup and multiple penannulars</v>
      </c>
      <c r="E183" t="str">
        <f>VLOOKUP(A183,Panels!$A$1:$E$2104,5,0)</f>
        <v>The Ringses</v>
      </c>
    </row>
    <row r="184">
      <c r="A184" s="3">
        <v>26.0</v>
      </c>
      <c r="B184" s="3">
        <v>61.0</v>
      </c>
      <c r="C184" s="3">
        <v>1.0</v>
      </c>
      <c r="D184" t="str">
        <f>VLOOKUP(B184,ERA_MOTIF_TYPES.csv!$A$1:$C$119,2,1)</f>
        <v>Cup and arc (or semi-ovoid)</v>
      </c>
      <c r="E184" t="str">
        <f>VLOOKUP(A184,Panels!$A$1:$E$2104,5,0)</f>
        <v>The Ringses</v>
      </c>
    </row>
    <row r="185">
      <c r="A185" s="3">
        <v>26.0</v>
      </c>
      <c r="B185" s="3">
        <v>62.0</v>
      </c>
      <c r="C185" s="3">
        <v>1.0</v>
      </c>
      <c r="D185" t="str">
        <f>VLOOKUP(B185,ERA_MOTIF_TYPES.csv!$A$1:$C$119,2,1)</f>
        <v>Cup and multiple arcs</v>
      </c>
      <c r="E185" t="str">
        <f>VLOOKUP(A185,Panels!$A$1:$E$2104,5,0)</f>
        <v>The Ringses</v>
      </c>
    </row>
    <row r="186">
      <c r="A186" s="3">
        <v>26.0</v>
      </c>
      <c r="B186" s="3">
        <v>69.0</v>
      </c>
      <c r="C186" s="3">
        <v>4.0</v>
      </c>
      <c r="D186" t="str">
        <f>VLOOKUP(B186,ERA_MOTIF_TYPES.csv!$A$1:$C$119,2,1)</f>
        <v>Ring</v>
      </c>
      <c r="E186" t="str">
        <f>VLOOKUP(A186,Panels!$A$1:$E$2104,5,0)</f>
        <v>The Ringses</v>
      </c>
    </row>
    <row r="187">
      <c r="A187" s="3">
        <v>26.0</v>
      </c>
      <c r="B187" s="3">
        <v>73.0</v>
      </c>
      <c r="C187" s="3">
        <v>2.0</v>
      </c>
      <c r="D187" t="str">
        <f>VLOOKUP(B187,ERA_MOTIF_TYPES.csv!$A$1:$C$119,2,1)</f>
        <v>Arc</v>
      </c>
      <c r="E187" t="str">
        <f>VLOOKUP(A187,Panels!$A$1:$E$2104,5,0)</f>
        <v>The Ringses</v>
      </c>
    </row>
    <row r="188">
      <c r="A188" s="3">
        <v>26.0</v>
      </c>
      <c r="B188" s="3">
        <v>84.0</v>
      </c>
      <c r="C188" s="3">
        <v>2.0</v>
      </c>
      <c r="D188" t="str">
        <f>VLOOKUP(B188,ERA_MOTIF_TYPES.csv!$A$1:$C$119,2,1)</f>
        <v>Oval groove enclosing cups</v>
      </c>
      <c r="E188" t="str">
        <f>VLOOKUP(A188,Panels!$A$1:$E$2104,5,0)</f>
        <v>The Ringses</v>
      </c>
    </row>
    <row r="189">
      <c r="A189" s="3">
        <v>26.0</v>
      </c>
      <c r="B189" s="3">
        <v>87.0</v>
      </c>
      <c r="C189" s="3">
        <v>3.0</v>
      </c>
      <c r="D189" t="str">
        <f>VLOOKUP(B189,ERA_MOTIF_TYPES.csv!$A$1:$C$119,2,1)</f>
        <v>Linear and angular groove</v>
      </c>
      <c r="E189" t="str">
        <f>VLOOKUP(A189,Panels!$A$1:$E$2104,5,0)</f>
        <v>The Ringses</v>
      </c>
    </row>
    <row r="190">
      <c r="A190" s="3">
        <v>26.0</v>
      </c>
      <c r="B190" s="3">
        <v>90.0</v>
      </c>
      <c r="C190" s="3">
        <v>2.0</v>
      </c>
      <c r="D190" t="str">
        <f>VLOOKUP(B190,ERA_MOTIF_TYPES.csv!$A$1:$C$119,2,1)</f>
        <v>Serpentine groove</v>
      </c>
      <c r="E190" t="str">
        <f>VLOOKUP(A190,Panels!$A$1:$E$2104,5,0)</f>
        <v>The Ringses</v>
      </c>
    </row>
    <row r="191">
      <c r="A191" s="3">
        <v>26.0</v>
      </c>
      <c r="B191" s="3">
        <v>100.0</v>
      </c>
      <c r="C191" s="3">
        <v>1.0</v>
      </c>
      <c r="D191" t="str">
        <f>VLOOKUP(B191,ERA_MOTIF_TYPES.csv!$A$1:$C$119,2,1)</f>
        <v>Pick marks</v>
      </c>
      <c r="E191" t="str">
        <f>VLOOKUP(A191,Panels!$A$1:$E$2104,5,0)</f>
        <v>The Ringses</v>
      </c>
    </row>
    <row r="192">
      <c r="A192" s="3">
        <v>26.0</v>
      </c>
      <c r="B192" s="3">
        <v>103.0</v>
      </c>
      <c r="C192" s="3">
        <v>1.0</v>
      </c>
      <c r="D192" t="str">
        <f>VLOOKUP(B192,ERA_MOTIF_TYPES.csv!$A$1:$C$119,2,1)</f>
        <v>Cup and groove</v>
      </c>
      <c r="E192" t="str">
        <f>VLOOKUP(A192,Panels!$A$1:$E$2104,5,0)</f>
        <v>The Ringses</v>
      </c>
    </row>
    <row r="193">
      <c r="A193" s="3">
        <v>26.0</v>
      </c>
      <c r="B193" s="3">
        <v>105.0</v>
      </c>
      <c r="C193" s="3">
        <v>1.0</v>
      </c>
      <c r="D193" t="str">
        <f>VLOOKUP(B193,ERA_MOTIF_TYPES.csv!$A$1:$C$119,2,1)</f>
        <v>Two cups linked by a groove</v>
      </c>
      <c r="E193" t="str">
        <f>VLOOKUP(A193,Panels!$A$1:$E$2104,5,0)</f>
        <v>The Ringses</v>
      </c>
    </row>
    <row r="194">
      <c r="A194" s="3">
        <v>27.0</v>
      </c>
      <c r="B194" s="3">
        <v>1.0</v>
      </c>
      <c r="C194" s="3">
        <v>17.0</v>
      </c>
      <c r="D194" t="str">
        <f>VLOOKUP(B194,ERA_MOTIF_TYPES.csv!$A$1:$C$119,2,1)</f>
        <v>Cups Single</v>
      </c>
      <c r="E194" t="str">
        <f>VLOOKUP(A194,Panels!$A$1:$E$2104,5,0)</f>
        <v>The Ringses</v>
      </c>
    </row>
    <row r="195">
      <c r="A195" s="3">
        <v>27.0</v>
      </c>
      <c r="B195" s="3">
        <v>13.0</v>
      </c>
      <c r="C195" s="3">
        <v>1.0</v>
      </c>
      <c r="D195" t="str">
        <f>VLOOKUP(B195,ERA_MOTIF_TYPES.csv!$A$1:$C$119,2,1)</f>
        <v>Single Ring + cup</v>
      </c>
      <c r="E195" t="str">
        <f>VLOOKUP(A195,Panels!$A$1:$E$2104,5,0)</f>
        <v>The Ringses</v>
      </c>
    </row>
    <row r="196">
      <c r="A196" s="3">
        <v>27.0</v>
      </c>
      <c r="B196" s="3">
        <v>52.0</v>
      </c>
      <c r="C196" s="3">
        <v>46.0</v>
      </c>
      <c r="D196" t="str">
        <f>VLOOKUP(B196,ERA_MOTIF_TYPES.csv!$A$1:$C$119,2,1)</f>
        <v>Single or multiple cups</v>
      </c>
      <c r="E196" t="str">
        <f>VLOOKUP(A196,Panels!$A$1:$E$2104,5,0)</f>
        <v>The Ringses</v>
      </c>
    </row>
    <row r="197">
      <c r="A197" s="3">
        <v>27.0</v>
      </c>
      <c r="B197" s="3">
        <v>57.0</v>
      </c>
      <c r="C197" s="3">
        <v>2.0</v>
      </c>
      <c r="D197" t="str">
        <f>VLOOKUP(B197,ERA_MOTIF_TYPES.csv!$A$1:$C$119,2,1)</f>
        <v>Cup and ring</v>
      </c>
      <c r="E197" t="str">
        <f>VLOOKUP(A197,Panels!$A$1:$E$2104,5,0)</f>
        <v>The Ringses</v>
      </c>
    </row>
    <row r="198">
      <c r="A198" s="3">
        <v>27.0</v>
      </c>
      <c r="B198" s="3">
        <v>90.0</v>
      </c>
      <c r="C198" s="3">
        <v>1.0</v>
      </c>
      <c r="D198" t="str">
        <f>VLOOKUP(B198,ERA_MOTIF_TYPES.csv!$A$1:$C$119,2,1)</f>
        <v>Serpentine groove</v>
      </c>
      <c r="E198" t="str">
        <f>VLOOKUP(A198,Panels!$A$1:$E$2104,5,0)</f>
        <v>The Ringses</v>
      </c>
    </row>
    <row r="199">
      <c r="A199" s="3">
        <v>28.0</v>
      </c>
      <c r="B199" s="3">
        <v>1.0</v>
      </c>
      <c r="C199" s="3">
        <v>1.0</v>
      </c>
      <c r="D199" t="str">
        <f>VLOOKUP(B199,ERA_MOTIF_TYPES.csv!$A$1:$C$119,2,1)</f>
        <v>Cups Single</v>
      </c>
      <c r="E199" t="str">
        <f>VLOOKUP(A199,Panels!$A$1:$E$2104,5,0)</f>
        <v>The Ringses</v>
      </c>
    </row>
    <row r="200">
      <c r="A200" s="3">
        <v>28.0</v>
      </c>
      <c r="B200" s="3">
        <v>52.0</v>
      </c>
      <c r="C200" s="3">
        <v>16.0</v>
      </c>
      <c r="D200" t="str">
        <f>VLOOKUP(B200,ERA_MOTIF_TYPES.csv!$A$1:$C$119,2,1)</f>
        <v>Single or multiple cups</v>
      </c>
      <c r="E200" t="str">
        <f>VLOOKUP(A200,Panels!$A$1:$E$2104,5,0)</f>
        <v>The Ringses</v>
      </c>
    </row>
    <row r="201">
      <c r="A201" s="3">
        <v>28.0</v>
      </c>
      <c r="B201" s="3">
        <v>73.0</v>
      </c>
      <c r="C201" s="3">
        <v>1.0</v>
      </c>
      <c r="D201" t="str">
        <f>VLOOKUP(B201,ERA_MOTIF_TYPES.csv!$A$1:$C$119,2,1)</f>
        <v>Arc</v>
      </c>
      <c r="E201" t="str">
        <f>VLOOKUP(A201,Panels!$A$1:$E$2104,5,0)</f>
        <v>The Ringses</v>
      </c>
    </row>
    <row r="202">
      <c r="A202" s="3">
        <v>28.0</v>
      </c>
      <c r="B202" s="3">
        <v>84.0</v>
      </c>
      <c r="C202" s="3">
        <v>1.0</v>
      </c>
      <c r="D202" t="str">
        <f>VLOOKUP(B202,ERA_MOTIF_TYPES.csv!$A$1:$C$119,2,1)</f>
        <v>Oval groove enclosing cups</v>
      </c>
      <c r="E202" t="str">
        <f>VLOOKUP(A202,Panels!$A$1:$E$2104,5,0)</f>
        <v>The Ringses</v>
      </c>
    </row>
    <row r="203">
      <c r="A203" s="3">
        <v>28.0</v>
      </c>
      <c r="B203" s="3">
        <v>103.0</v>
      </c>
      <c r="C203" s="3">
        <v>2.0</v>
      </c>
      <c r="D203" t="str">
        <f>VLOOKUP(B203,ERA_MOTIF_TYPES.csv!$A$1:$C$119,2,1)</f>
        <v>Cup and groove</v>
      </c>
      <c r="E203" t="str">
        <f>VLOOKUP(A203,Panels!$A$1:$E$2104,5,0)</f>
        <v>The Ringses</v>
      </c>
    </row>
    <row r="204">
      <c r="A204" s="3">
        <v>28.0</v>
      </c>
      <c r="B204" s="3">
        <v>105.0</v>
      </c>
      <c r="C204" s="3">
        <v>1.0</v>
      </c>
      <c r="D204" t="str">
        <f>VLOOKUP(B204,ERA_MOTIF_TYPES.csv!$A$1:$C$119,2,1)</f>
        <v>Two cups linked by a groove</v>
      </c>
      <c r="E204" t="str">
        <f>VLOOKUP(A204,Panels!$A$1:$E$2104,5,0)</f>
        <v>The Ringses</v>
      </c>
    </row>
    <row r="205">
      <c r="A205" s="3">
        <v>29.0</v>
      </c>
      <c r="B205" s="3">
        <v>1.0</v>
      </c>
      <c r="C205" s="3">
        <v>3.0</v>
      </c>
      <c r="D205" t="str">
        <f>VLOOKUP(B205,ERA_MOTIF_TYPES.csv!$A$1:$C$119,2,1)</f>
        <v>Cups Single</v>
      </c>
      <c r="E205" t="str">
        <f>VLOOKUP(A205,Panels!$A$1:$E$2104,5,0)</f>
        <v>The Ringses</v>
      </c>
    </row>
    <row r="206">
      <c r="A206" s="3">
        <v>29.0</v>
      </c>
      <c r="B206" s="3">
        <v>52.0</v>
      </c>
      <c r="C206" s="3">
        <v>1.0</v>
      </c>
      <c r="D206" t="str">
        <f>VLOOKUP(B206,ERA_MOTIF_TYPES.csv!$A$1:$C$119,2,1)</f>
        <v>Single or multiple cups</v>
      </c>
      <c r="E206" t="str">
        <f>VLOOKUP(A206,Panels!$A$1:$E$2104,5,0)</f>
        <v>The Ringses</v>
      </c>
    </row>
    <row r="207">
      <c r="A207" s="3">
        <v>29.0</v>
      </c>
      <c r="B207" s="3">
        <v>88.0</v>
      </c>
      <c r="C207" s="3">
        <v>1.0</v>
      </c>
      <c r="D207" t="str">
        <f>VLOOKUP(B207,ERA_MOTIF_TYPES.csv!$A$1:$C$119,2,1)</f>
        <v>Parallel grooves</v>
      </c>
      <c r="E207" t="str">
        <f>VLOOKUP(A207,Panels!$A$1:$E$2104,5,0)</f>
        <v>The Ringses</v>
      </c>
    </row>
    <row r="208">
      <c r="A208" s="3">
        <v>29.0</v>
      </c>
      <c r="B208" s="3">
        <v>100.0</v>
      </c>
      <c r="C208" s="3">
        <v>1.0</v>
      </c>
      <c r="D208" t="str">
        <f>VLOOKUP(B208,ERA_MOTIF_TYPES.csv!$A$1:$C$119,2,1)</f>
        <v>Pick marks</v>
      </c>
      <c r="E208" t="str">
        <f>VLOOKUP(A208,Panels!$A$1:$E$2104,5,0)</f>
        <v>The Ringses</v>
      </c>
    </row>
    <row r="209">
      <c r="A209" s="3">
        <v>29.0</v>
      </c>
      <c r="B209" s="3">
        <v>110.0</v>
      </c>
      <c r="C209" s="3">
        <v>1.0</v>
      </c>
      <c r="D209" t="str">
        <f>VLOOKUP(B209,ERA_MOTIF_TYPES.csv!$A$1:$C$119,2,1)</f>
        <v>Curved groove</v>
      </c>
      <c r="E209" t="str">
        <f>VLOOKUP(A209,Panels!$A$1:$E$2104,5,0)</f>
        <v>The Ringses</v>
      </c>
    </row>
    <row r="210">
      <c r="A210" s="3">
        <v>30.0</v>
      </c>
      <c r="B210" s="3">
        <v>1.0</v>
      </c>
      <c r="C210" s="3">
        <v>3.0</v>
      </c>
      <c r="D210" t="str">
        <f>VLOOKUP(B210,ERA_MOTIF_TYPES.csv!$A$1:$C$119,2,1)</f>
        <v>Cups Single</v>
      </c>
      <c r="E210" t="str">
        <f>VLOOKUP(A210,Panels!$A$1:$E$2104,5,0)</f>
        <v>The Ringses</v>
      </c>
    </row>
    <row r="211">
      <c r="A211" s="3">
        <v>30.0</v>
      </c>
      <c r="B211" s="3">
        <v>52.0</v>
      </c>
      <c r="C211" s="3">
        <v>2.0</v>
      </c>
      <c r="D211" t="str">
        <f>VLOOKUP(B211,ERA_MOTIF_TYPES.csv!$A$1:$C$119,2,1)</f>
        <v>Single or multiple cups</v>
      </c>
      <c r="E211" t="str">
        <f>VLOOKUP(A211,Panels!$A$1:$E$2104,5,0)</f>
        <v>The Ringses</v>
      </c>
    </row>
    <row r="212">
      <c r="A212" s="3">
        <v>30.0</v>
      </c>
      <c r="B212" s="3">
        <v>71.0</v>
      </c>
      <c r="C212" s="3">
        <v>1.0</v>
      </c>
      <c r="D212" t="str">
        <f>VLOOKUP(B212,ERA_MOTIF_TYPES.csv!$A$1:$C$119,2,1)</f>
        <v>Penannular</v>
      </c>
      <c r="E212" t="str">
        <f>VLOOKUP(A212,Panels!$A$1:$E$2104,5,0)</f>
        <v>The Ringses</v>
      </c>
    </row>
    <row r="213">
      <c r="A213" s="3">
        <v>30.0</v>
      </c>
      <c r="B213" s="3">
        <v>84.0</v>
      </c>
      <c r="C213" s="3">
        <v>1.0</v>
      </c>
      <c r="D213" t="str">
        <f>VLOOKUP(B213,ERA_MOTIF_TYPES.csv!$A$1:$C$119,2,1)</f>
        <v>Oval groove enclosing cups</v>
      </c>
      <c r="E213" t="str">
        <f>VLOOKUP(A213,Panels!$A$1:$E$2104,5,0)</f>
        <v>The Ringses</v>
      </c>
    </row>
    <row r="214">
      <c r="A214" s="3">
        <v>30.0</v>
      </c>
      <c r="B214" s="3">
        <v>87.0</v>
      </c>
      <c r="C214" s="3">
        <v>1.0</v>
      </c>
      <c r="D214" t="str">
        <f>VLOOKUP(B214,ERA_MOTIF_TYPES.csv!$A$1:$C$119,2,1)</f>
        <v>Linear and angular groove</v>
      </c>
      <c r="E214" t="str">
        <f>VLOOKUP(A214,Panels!$A$1:$E$2104,5,0)</f>
        <v>The Ringses</v>
      </c>
    </row>
    <row r="215">
      <c r="A215" s="3">
        <v>30.0</v>
      </c>
      <c r="B215" s="3">
        <v>110.0</v>
      </c>
      <c r="C215" s="3">
        <v>3.0</v>
      </c>
      <c r="D215" t="str">
        <f>VLOOKUP(B215,ERA_MOTIF_TYPES.csv!$A$1:$C$119,2,1)</f>
        <v>Curved groove</v>
      </c>
      <c r="E215" t="str">
        <f>VLOOKUP(A215,Panels!$A$1:$E$2104,5,0)</f>
        <v>The Ringses</v>
      </c>
    </row>
    <row r="216">
      <c r="A216" s="3">
        <v>31.0</v>
      </c>
      <c r="B216" s="3">
        <v>1.0</v>
      </c>
      <c r="C216" s="3">
        <v>2.0</v>
      </c>
      <c r="D216" t="str">
        <f>VLOOKUP(B216,ERA_MOTIF_TYPES.csv!$A$1:$C$119,2,1)</f>
        <v>Cups Single</v>
      </c>
      <c r="E216" t="str">
        <f>VLOOKUP(A216,Panels!$A$1:$E$2104,5,0)</f>
        <v>The Ringses</v>
      </c>
    </row>
    <row r="217">
      <c r="A217" s="3">
        <v>31.0</v>
      </c>
      <c r="B217" s="3">
        <v>52.0</v>
      </c>
      <c r="C217" s="3">
        <v>3.0</v>
      </c>
      <c r="D217" t="str">
        <f>VLOOKUP(B217,ERA_MOTIF_TYPES.csv!$A$1:$C$119,2,1)</f>
        <v>Single or multiple cups</v>
      </c>
      <c r="E217" t="str">
        <f>VLOOKUP(A217,Panels!$A$1:$E$2104,5,0)</f>
        <v>The Ringses</v>
      </c>
    </row>
    <row r="218">
      <c r="A218" s="3">
        <v>32.0</v>
      </c>
      <c r="B218" s="3">
        <v>52.0</v>
      </c>
      <c r="C218" s="3">
        <v>20.0</v>
      </c>
      <c r="D218" t="str">
        <f>VLOOKUP(B218,ERA_MOTIF_TYPES.csv!$A$1:$C$119,2,1)</f>
        <v>Single or multiple cups</v>
      </c>
      <c r="E218" t="str">
        <f>VLOOKUP(A218,Panels!$A$1:$E$2104,5,0)</f>
        <v>The Ringses</v>
      </c>
    </row>
    <row r="219">
      <c r="A219" s="3">
        <v>32.0</v>
      </c>
      <c r="B219" s="3">
        <v>57.0</v>
      </c>
      <c r="C219" s="3">
        <v>1.0</v>
      </c>
      <c r="D219" t="str">
        <f>VLOOKUP(B219,ERA_MOTIF_TYPES.csv!$A$1:$C$119,2,1)</f>
        <v>Cup and ring</v>
      </c>
      <c r="E219" t="str">
        <f>VLOOKUP(A219,Panels!$A$1:$E$2104,5,0)</f>
        <v>The Ringses</v>
      </c>
    </row>
    <row r="220">
      <c r="A220" s="3">
        <v>32.0</v>
      </c>
      <c r="B220" s="3">
        <v>59.0</v>
      </c>
      <c r="C220" s="3">
        <v>1.0</v>
      </c>
      <c r="D220" t="str">
        <f>VLOOKUP(B220,ERA_MOTIF_TYPES.csv!$A$1:$C$119,2,1)</f>
        <v>Cup and penannular</v>
      </c>
      <c r="E220" t="str">
        <f>VLOOKUP(A220,Panels!$A$1:$E$2104,5,0)</f>
        <v>The Ringses</v>
      </c>
    </row>
    <row r="221">
      <c r="A221" s="3">
        <v>32.0</v>
      </c>
      <c r="B221" s="3">
        <v>65.0</v>
      </c>
      <c r="C221" s="3">
        <v>1.0</v>
      </c>
      <c r="D221" t="str">
        <f>VLOOKUP(B221,ERA_MOTIF_TYPES.csv!$A$1:$C$119,2,1)</f>
        <v>Cup and groove with penannular</v>
      </c>
      <c r="E221" t="str">
        <f>VLOOKUP(A221,Panels!$A$1:$E$2104,5,0)</f>
        <v>The Ringses</v>
      </c>
    </row>
    <row r="222">
      <c r="A222" s="3">
        <v>32.0</v>
      </c>
      <c r="B222" s="3">
        <v>84.0</v>
      </c>
      <c r="C222" s="3">
        <v>1.0</v>
      </c>
      <c r="D222" t="str">
        <f>VLOOKUP(B222,ERA_MOTIF_TYPES.csv!$A$1:$C$119,2,1)</f>
        <v>Oval groove enclosing cups</v>
      </c>
      <c r="E222" t="str">
        <f>VLOOKUP(A222,Panels!$A$1:$E$2104,5,0)</f>
        <v>The Ringses</v>
      </c>
    </row>
    <row r="223">
      <c r="A223" s="3">
        <v>32.0</v>
      </c>
      <c r="B223" s="3">
        <v>101.0</v>
      </c>
      <c r="C223" s="3">
        <v>1.0</v>
      </c>
      <c r="D223" t="str">
        <f>VLOOKUP(B223,ERA_MOTIF_TYPES.csv!$A$1:$C$119,2,1)</f>
        <v>Occulus</v>
      </c>
      <c r="E223" t="str">
        <f>VLOOKUP(A223,Panels!$A$1:$E$2104,5,0)</f>
        <v>The Ringses</v>
      </c>
    </row>
    <row r="224">
      <c r="A224" s="3">
        <v>32.0</v>
      </c>
      <c r="B224" s="3">
        <v>105.0</v>
      </c>
      <c r="C224" s="3">
        <v>2.0</v>
      </c>
      <c r="D224" t="str">
        <f>VLOOKUP(B224,ERA_MOTIF_TYPES.csv!$A$1:$C$119,2,1)</f>
        <v>Two cups linked by a groove</v>
      </c>
      <c r="E224" t="str">
        <f>VLOOKUP(A224,Panels!$A$1:$E$2104,5,0)</f>
        <v>The Ringses</v>
      </c>
    </row>
    <row r="225">
      <c r="A225" s="3">
        <v>33.0</v>
      </c>
      <c r="B225" s="3">
        <v>1.0</v>
      </c>
      <c r="C225" s="3">
        <v>1.0</v>
      </c>
      <c r="D225" t="str">
        <f>VLOOKUP(B225,ERA_MOTIF_TYPES.csv!$A$1:$C$119,2,1)</f>
        <v>Cups Single</v>
      </c>
      <c r="E225" t="str">
        <f>VLOOKUP(A225,Panels!$A$1:$E$2104,5,0)</f>
        <v>The Ringses</v>
      </c>
    </row>
    <row r="226">
      <c r="A226" s="3">
        <v>33.0</v>
      </c>
      <c r="B226" s="3">
        <v>14.0</v>
      </c>
      <c r="C226" s="3">
        <v>1.0</v>
      </c>
      <c r="D226" t="str">
        <f>VLOOKUP(B226,ERA_MOTIF_TYPES.csv!$A$1:$C$119,2,1)</f>
        <v>Multi Ring + cup</v>
      </c>
      <c r="E226" t="str">
        <f>VLOOKUP(A226,Panels!$A$1:$E$2104,5,0)</f>
        <v>The Ringses</v>
      </c>
    </row>
    <row r="227">
      <c r="A227" s="3">
        <v>33.0</v>
      </c>
      <c r="B227" s="3">
        <v>31.0</v>
      </c>
      <c r="C227" s="3">
        <v>1.0</v>
      </c>
      <c r="D227" t="str">
        <f>VLOOKUP(B227,ERA_MOTIF_TYPES.csv!$A$1:$C$119,2,1)</f>
        <v>Cup and Groove</v>
      </c>
      <c r="E227" t="str">
        <f>VLOOKUP(A227,Panels!$A$1:$E$2104,5,0)</f>
        <v>The Ringses</v>
      </c>
    </row>
    <row r="228">
      <c r="A228" s="3">
        <v>33.0</v>
      </c>
      <c r="B228" s="3">
        <v>57.0</v>
      </c>
      <c r="C228" s="3">
        <v>2.0</v>
      </c>
      <c r="D228" t="str">
        <f>VLOOKUP(B228,ERA_MOTIF_TYPES.csv!$A$1:$C$119,2,1)</f>
        <v>Cup and ring</v>
      </c>
      <c r="E228" t="str">
        <f>VLOOKUP(A228,Panels!$A$1:$E$2104,5,0)</f>
        <v>The Ringses</v>
      </c>
    </row>
    <row r="229">
      <c r="A229" s="3">
        <v>33.0</v>
      </c>
      <c r="B229" s="3">
        <v>61.0</v>
      </c>
      <c r="C229" s="3">
        <v>1.0</v>
      </c>
      <c r="D229" t="str">
        <f>VLOOKUP(B229,ERA_MOTIF_TYPES.csv!$A$1:$C$119,2,1)</f>
        <v>Cup and arc (or semi-ovoid)</v>
      </c>
      <c r="E229" t="str">
        <f>VLOOKUP(A229,Panels!$A$1:$E$2104,5,0)</f>
        <v>The Ringses</v>
      </c>
    </row>
    <row r="230">
      <c r="A230" s="3">
        <v>33.0</v>
      </c>
      <c r="B230" s="3">
        <v>65.0</v>
      </c>
      <c r="C230" s="3">
        <v>1.0</v>
      </c>
      <c r="D230" t="str">
        <f>VLOOKUP(B230,ERA_MOTIF_TYPES.csv!$A$1:$C$119,2,1)</f>
        <v>Cup and groove with penannular</v>
      </c>
      <c r="E230" t="str">
        <f>VLOOKUP(A230,Panels!$A$1:$E$2104,5,0)</f>
        <v>The Ringses</v>
      </c>
    </row>
    <row r="231">
      <c r="A231" s="3">
        <v>33.0</v>
      </c>
      <c r="B231" s="3">
        <v>73.0</v>
      </c>
      <c r="C231" s="3">
        <v>1.0</v>
      </c>
      <c r="D231" t="str">
        <f>VLOOKUP(B231,ERA_MOTIF_TYPES.csv!$A$1:$C$119,2,1)</f>
        <v>Arc</v>
      </c>
      <c r="E231" t="str">
        <f>VLOOKUP(A231,Panels!$A$1:$E$2104,5,0)</f>
        <v>The Ringses</v>
      </c>
    </row>
    <row r="232">
      <c r="A232" s="3">
        <v>33.0</v>
      </c>
      <c r="B232" s="3">
        <v>90.0</v>
      </c>
      <c r="C232" s="3">
        <v>1.0</v>
      </c>
      <c r="D232" t="str">
        <f>VLOOKUP(B232,ERA_MOTIF_TYPES.csv!$A$1:$C$119,2,1)</f>
        <v>Serpentine groove</v>
      </c>
      <c r="E232" t="str">
        <f>VLOOKUP(A232,Panels!$A$1:$E$2104,5,0)</f>
        <v>The Ringses</v>
      </c>
    </row>
    <row r="233">
      <c r="A233" s="3">
        <v>34.0</v>
      </c>
      <c r="B233" s="3">
        <v>1.0</v>
      </c>
      <c r="C233" s="3">
        <v>15.0</v>
      </c>
      <c r="D233" t="str">
        <f>VLOOKUP(B233,ERA_MOTIF_TYPES.csv!$A$1:$C$119,2,1)</f>
        <v>Cups Single</v>
      </c>
      <c r="E233" t="str">
        <f>VLOOKUP(A233,Panels!$A$1:$E$2104,5,0)</f>
        <v>The Ringses</v>
      </c>
    </row>
    <row r="234">
      <c r="A234" s="3">
        <v>34.0</v>
      </c>
      <c r="B234" s="3">
        <v>52.0</v>
      </c>
      <c r="C234" s="3">
        <v>32.0</v>
      </c>
      <c r="D234" t="str">
        <f>VLOOKUP(B234,ERA_MOTIF_TYPES.csv!$A$1:$C$119,2,1)</f>
        <v>Single or multiple cups</v>
      </c>
      <c r="E234" t="str">
        <f>VLOOKUP(A234,Panels!$A$1:$E$2104,5,0)</f>
        <v>The Ringses</v>
      </c>
    </row>
    <row r="235">
      <c r="A235" s="3">
        <v>34.0</v>
      </c>
      <c r="B235" s="3">
        <v>53.0</v>
      </c>
      <c r="C235" s="3">
        <v>1.0</v>
      </c>
      <c r="D235" t="str">
        <f>VLOOKUP(B235,ERA_MOTIF_TYPES.csv!$A$1:$C$119,2,1)</f>
        <v>Domino patterns and parallel lines</v>
      </c>
      <c r="E235" t="str">
        <f>VLOOKUP(A235,Panels!$A$1:$E$2104,5,0)</f>
        <v>The Ringses</v>
      </c>
    </row>
    <row r="236">
      <c r="A236" s="3">
        <v>34.0</v>
      </c>
      <c r="B236" s="3">
        <v>55.0</v>
      </c>
      <c r="C236" s="3">
        <v>1.0</v>
      </c>
      <c r="D236" t="str">
        <f>VLOOKUP(B236,ERA_MOTIF_TYPES.csv!$A$1:$C$119,2,1)</f>
        <v>Cups in a straight or curved line</v>
      </c>
      <c r="E236" t="str">
        <f>VLOOKUP(A236,Panels!$A$1:$E$2104,5,0)</f>
        <v>The Ringses</v>
      </c>
    </row>
    <row r="237">
      <c r="A237" s="3">
        <v>34.0</v>
      </c>
      <c r="B237" s="3">
        <v>73.0</v>
      </c>
      <c r="C237" s="3">
        <v>2.0</v>
      </c>
      <c r="D237" t="str">
        <f>VLOOKUP(B237,ERA_MOTIF_TYPES.csv!$A$1:$C$119,2,1)</f>
        <v>Arc</v>
      </c>
      <c r="E237" t="str">
        <f>VLOOKUP(A237,Panels!$A$1:$E$2104,5,0)</f>
        <v>The Ringses</v>
      </c>
    </row>
    <row r="238">
      <c r="A238" s="3">
        <v>34.0</v>
      </c>
      <c r="B238" s="3">
        <v>93.0</v>
      </c>
      <c r="C238" s="3">
        <v>2.0</v>
      </c>
      <c r="D238" t="str">
        <f>VLOOKUP(B238,ERA_MOTIF_TYPES.csv!$A$1:$C$119,2,1)</f>
        <v>Midget cup</v>
      </c>
      <c r="E238" t="str">
        <f>VLOOKUP(A238,Panels!$A$1:$E$2104,5,0)</f>
        <v>The Ringses</v>
      </c>
    </row>
    <row r="239">
      <c r="A239" s="3">
        <v>34.0</v>
      </c>
      <c r="B239" s="3">
        <v>103.0</v>
      </c>
      <c r="C239" s="3">
        <v>2.0</v>
      </c>
      <c r="D239" t="str">
        <f>VLOOKUP(B239,ERA_MOTIF_TYPES.csv!$A$1:$C$119,2,1)</f>
        <v>Cup and groove</v>
      </c>
      <c r="E239" t="str">
        <f>VLOOKUP(A239,Panels!$A$1:$E$2104,5,0)</f>
        <v>The Ringses</v>
      </c>
    </row>
    <row r="240">
      <c r="A240" s="3">
        <v>34.0</v>
      </c>
      <c r="B240" s="3">
        <v>105.0</v>
      </c>
      <c r="C240" s="3">
        <v>1.0</v>
      </c>
      <c r="D240" t="str">
        <f>VLOOKUP(B240,ERA_MOTIF_TYPES.csv!$A$1:$C$119,2,1)</f>
        <v>Two cups linked by a groove</v>
      </c>
      <c r="E240" t="str">
        <f>VLOOKUP(A240,Panels!$A$1:$E$2104,5,0)</f>
        <v>The Ringses</v>
      </c>
    </row>
    <row r="241">
      <c r="A241" s="3">
        <v>35.0</v>
      </c>
      <c r="B241" s="3">
        <v>1.0</v>
      </c>
      <c r="C241" s="3">
        <v>1.0</v>
      </c>
      <c r="D241" t="str">
        <f>VLOOKUP(B241,ERA_MOTIF_TYPES.csv!$A$1:$C$119,2,1)</f>
        <v>Cups Single</v>
      </c>
      <c r="E241" t="str">
        <f>VLOOKUP(A241,Panels!$A$1:$E$2104,5,0)</f>
        <v>The Ringses</v>
      </c>
    </row>
    <row r="242">
      <c r="A242" s="3">
        <v>35.0</v>
      </c>
      <c r="B242" s="3">
        <v>52.0</v>
      </c>
      <c r="C242" s="3">
        <v>1.0</v>
      </c>
      <c r="D242" t="str">
        <f>VLOOKUP(B242,ERA_MOTIF_TYPES.csv!$A$1:$C$119,2,1)</f>
        <v>Single or multiple cups</v>
      </c>
      <c r="E242" t="str">
        <f>VLOOKUP(A242,Panels!$A$1:$E$2104,5,0)</f>
        <v>The Ringses</v>
      </c>
    </row>
    <row r="243">
      <c r="A243" s="3">
        <v>36.0</v>
      </c>
      <c r="B243" s="3">
        <v>1.0</v>
      </c>
      <c r="C243" s="3">
        <v>2.0</v>
      </c>
      <c r="D243" t="str">
        <f>VLOOKUP(B243,ERA_MOTIF_TYPES.csv!$A$1:$C$119,2,1)</f>
        <v>Cups Single</v>
      </c>
      <c r="E243" t="str">
        <f>VLOOKUP(A243,Panels!$A$1:$E$2104,5,0)</f>
        <v>The Ringses</v>
      </c>
    </row>
    <row r="244">
      <c r="A244" s="3">
        <v>36.0</v>
      </c>
      <c r="B244" s="3">
        <v>52.0</v>
      </c>
      <c r="C244" s="3">
        <v>2.0</v>
      </c>
      <c r="D244" t="str">
        <f>VLOOKUP(B244,ERA_MOTIF_TYPES.csv!$A$1:$C$119,2,1)</f>
        <v>Single or multiple cups</v>
      </c>
      <c r="E244" t="str">
        <f>VLOOKUP(A244,Panels!$A$1:$E$2104,5,0)</f>
        <v>The Ringses</v>
      </c>
    </row>
    <row r="245">
      <c r="A245" s="3">
        <v>36.0</v>
      </c>
      <c r="B245" s="3">
        <v>94.0</v>
      </c>
      <c r="C245" s="3">
        <v>1.0</v>
      </c>
      <c r="D245" t="str">
        <f>VLOOKUP(B245,ERA_MOTIF_TYPES.csv!$A$1:$C$119,2,1)</f>
        <v>Basin</v>
      </c>
      <c r="E245" t="str">
        <f>VLOOKUP(A245,Panels!$A$1:$E$2104,5,0)</f>
        <v>The Ringses</v>
      </c>
    </row>
    <row r="246">
      <c r="A246" s="3">
        <v>37.0</v>
      </c>
      <c r="B246" s="3">
        <v>1.0</v>
      </c>
      <c r="C246" s="3">
        <v>18.0</v>
      </c>
      <c r="D246" t="str">
        <f>VLOOKUP(B246,ERA_MOTIF_TYPES.csv!$A$1:$C$119,2,1)</f>
        <v>Cups Single</v>
      </c>
      <c r="E246" t="str">
        <f>VLOOKUP(A246,Panels!$A$1:$E$2104,5,0)</f>
        <v>The Ringses</v>
      </c>
    </row>
    <row r="247">
      <c r="A247" s="3">
        <v>37.0</v>
      </c>
      <c r="B247" s="3">
        <v>11.0</v>
      </c>
      <c r="C247" s="3">
        <v>1.0</v>
      </c>
      <c r="D247" t="str">
        <f>VLOOKUP(B247,ERA_MOTIF_TYPES.csv!$A$1:$C$119,2,1)</f>
        <v>Single Penannular</v>
      </c>
      <c r="E247" t="str">
        <f>VLOOKUP(A247,Panels!$A$1:$E$2104,5,0)</f>
        <v>The Ringses</v>
      </c>
    </row>
    <row r="248">
      <c r="A248" s="3">
        <v>37.0</v>
      </c>
      <c r="B248" s="3">
        <v>52.0</v>
      </c>
      <c r="C248" s="3">
        <v>24.0</v>
      </c>
      <c r="D248" t="str">
        <f>VLOOKUP(B248,ERA_MOTIF_TYPES.csv!$A$1:$C$119,2,1)</f>
        <v>Single or multiple cups</v>
      </c>
      <c r="E248" t="str">
        <f>VLOOKUP(A248,Panels!$A$1:$E$2104,5,0)</f>
        <v>The Ringses</v>
      </c>
    </row>
    <row r="249">
      <c r="A249" s="3">
        <v>37.0</v>
      </c>
      <c r="B249" s="3">
        <v>71.0</v>
      </c>
      <c r="C249" s="3">
        <v>1.0</v>
      </c>
      <c r="D249" t="str">
        <f>VLOOKUP(B249,ERA_MOTIF_TYPES.csv!$A$1:$C$119,2,1)</f>
        <v>Penannular</v>
      </c>
      <c r="E249" t="str">
        <f>VLOOKUP(A249,Panels!$A$1:$E$2104,5,0)</f>
        <v>The Ringses</v>
      </c>
    </row>
    <row r="250">
      <c r="A250" s="3">
        <v>37.0</v>
      </c>
      <c r="B250" s="3">
        <v>105.0</v>
      </c>
      <c r="C250" s="3">
        <v>2.0</v>
      </c>
      <c r="D250" t="str">
        <f>VLOOKUP(B250,ERA_MOTIF_TYPES.csv!$A$1:$C$119,2,1)</f>
        <v>Two cups linked by a groove</v>
      </c>
      <c r="E250" t="str">
        <f>VLOOKUP(A250,Panels!$A$1:$E$2104,5,0)</f>
        <v>The Ringses</v>
      </c>
    </row>
    <row r="251">
      <c r="A251" s="3">
        <v>38.0</v>
      </c>
      <c r="B251" s="3">
        <v>1.0</v>
      </c>
      <c r="C251" s="3">
        <v>14.0</v>
      </c>
      <c r="D251" t="str">
        <f>VLOOKUP(B251,ERA_MOTIF_TYPES.csv!$A$1:$C$119,2,1)</f>
        <v>Cups Single</v>
      </c>
      <c r="E251" t="str">
        <f>VLOOKUP(A251,Panels!$A$1:$E$2104,5,0)</f>
        <v>The Ringses</v>
      </c>
    </row>
    <row r="252">
      <c r="A252" s="3">
        <v>38.0</v>
      </c>
      <c r="B252" s="3">
        <v>6.0</v>
      </c>
      <c r="C252" s="3">
        <v>2.0</v>
      </c>
      <c r="D252" t="str">
        <f>VLOOKUP(B252,ERA_MOTIF_TYPES.csv!$A$1:$C$119,2,1)</f>
        <v>curved or straight line</v>
      </c>
      <c r="E252" t="str">
        <f>VLOOKUP(A252,Panels!$A$1:$E$2104,5,0)</f>
        <v>The Ringses</v>
      </c>
    </row>
    <row r="253">
      <c r="A253" s="3">
        <v>38.0</v>
      </c>
      <c r="B253" s="3">
        <v>15.0</v>
      </c>
      <c r="C253" s="3">
        <v>1.0</v>
      </c>
      <c r="D253" t="str">
        <f>VLOOKUP(B253,ERA_MOTIF_TYPES.csv!$A$1:$C$119,2,1)</f>
        <v>Multi Penanular + cup</v>
      </c>
      <c r="E253" t="str">
        <f>VLOOKUP(A253,Panels!$A$1:$E$2104,5,0)</f>
        <v>The Ringses</v>
      </c>
    </row>
    <row r="254">
      <c r="A254" s="3">
        <v>38.0</v>
      </c>
      <c r="B254" s="3">
        <v>27.0</v>
      </c>
      <c r="C254" s="3">
        <v>2.0</v>
      </c>
      <c r="D254" t="str">
        <f>VLOOKUP(B254,ERA_MOTIF_TYPES.csv!$A$1:$C$119,2,1)</f>
        <v>Serpentine</v>
      </c>
      <c r="E254" t="str">
        <f>VLOOKUP(A254,Panels!$A$1:$E$2104,5,0)</f>
        <v>The Ringses</v>
      </c>
    </row>
    <row r="255">
      <c r="A255" s="3">
        <v>38.0</v>
      </c>
      <c r="B255" s="3">
        <v>50.0</v>
      </c>
      <c r="C255" s="3">
        <v>16.0</v>
      </c>
      <c r="D255" t="str">
        <f>VLOOKUP(B255,ERA_MOTIF_TYPES.csv!$A$1:$C$119,2,1)</f>
        <v>Channels</v>
      </c>
      <c r="E255" t="str">
        <f>VLOOKUP(A255,Panels!$A$1:$E$2104,5,0)</f>
        <v>The Ringses</v>
      </c>
    </row>
    <row r="256">
      <c r="A256" s="3">
        <v>38.0</v>
      </c>
      <c r="B256" s="3">
        <v>52.0</v>
      </c>
      <c r="C256" s="3">
        <v>18.0</v>
      </c>
      <c r="D256" t="str">
        <f>VLOOKUP(B256,ERA_MOTIF_TYPES.csv!$A$1:$C$119,2,1)</f>
        <v>Single or multiple cups</v>
      </c>
      <c r="E256" t="str">
        <f>VLOOKUP(A256,Panels!$A$1:$E$2104,5,0)</f>
        <v>The Ringses</v>
      </c>
    </row>
    <row r="257">
      <c r="A257" s="3">
        <v>38.0</v>
      </c>
      <c r="B257" s="3">
        <v>55.0</v>
      </c>
      <c r="C257" s="3">
        <v>2.0</v>
      </c>
      <c r="D257" t="str">
        <f>VLOOKUP(B257,ERA_MOTIF_TYPES.csv!$A$1:$C$119,2,1)</f>
        <v>Cups in a straight or curved line</v>
      </c>
      <c r="E257" t="str">
        <f>VLOOKUP(A257,Panels!$A$1:$E$2104,5,0)</f>
        <v>The Ringses</v>
      </c>
    </row>
    <row r="258">
      <c r="A258" s="3">
        <v>38.0</v>
      </c>
      <c r="B258" s="3">
        <v>60.0</v>
      </c>
      <c r="C258" s="3">
        <v>1.0</v>
      </c>
      <c r="D258" t="str">
        <f>VLOOKUP(B258,ERA_MOTIF_TYPES.csv!$A$1:$C$119,2,1)</f>
        <v>Cup and multiple penannulars</v>
      </c>
      <c r="E258" t="str">
        <f>VLOOKUP(A258,Panels!$A$1:$E$2104,5,0)</f>
        <v>The Ringses</v>
      </c>
    </row>
    <row r="259">
      <c r="A259" s="3">
        <v>38.0</v>
      </c>
      <c r="B259" s="3">
        <v>61.0</v>
      </c>
      <c r="C259" s="3">
        <v>1.0</v>
      </c>
      <c r="D259" t="str">
        <f>VLOOKUP(B259,ERA_MOTIF_TYPES.csv!$A$1:$C$119,2,1)</f>
        <v>Cup and arc (or semi-ovoid)</v>
      </c>
      <c r="E259" t="str">
        <f>VLOOKUP(A259,Panels!$A$1:$E$2104,5,0)</f>
        <v>The Ringses</v>
      </c>
    </row>
    <row r="260">
      <c r="A260" s="3">
        <v>38.0</v>
      </c>
      <c r="B260" s="3">
        <v>68.0</v>
      </c>
      <c r="C260" s="3">
        <v>2.0</v>
      </c>
      <c r="D260" t="str">
        <f>VLOOKUP(B260,ERA_MOTIF_TYPES.csv!$A$1:$C$119,2,1)</f>
        <v>Cup and groove with multiple arcs</v>
      </c>
      <c r="E260" t="str">
        <f>VLOOKUP(A260,Panels!$A$1:$E$2104,5,0)</f>
        <v>The Ringses</v>
      </c>
    </row>
    <row r="261">
      <c r="A261" s="3">
        <v>38.0</v>
      </c>
      <c r="B261" s="3">
        <v>90.0</v>
      </c>
      <c r="C261" s="3">
        <v>1.0</v>
      </c>
      <c r="D261" t="str">
        <f>VLOOKUP(B261,ERA_MOTIF_TYPES.csv!$A$1:$C$119,2,1)</f>
        <v>Serpentine groove</v>
      </c>
      <c r="E261" t="str">
        <f>VLOOKUP(A261,Panels!$A$1:$E$2104,5,0)</f>
        <v>The Ringses</v>
      </c>
    </row>
    <row r="262">
      <c r="A262" s="3">
        <v>38.0</v>
      </c>
      <c r="B262" s="3">
        <v>100.0</v>
      </c>
      <c r="C262" s="3">
        <v>1.0</v>
      </c>
      <c r="D262" t="str">
        <f>VLOOKUP(B262,ERA_MOTIF_TYPES.csv!$A$1:$C$119,2,1)</f>
        <v>Pick marks</v>
      </c>
      <c r="E262" t="str">
        <f>VLOOKUP(A262,Panels!$A$1:$E$2104,5,0)</f>
        <v>The Ringses</v>
      </c>
    </row>
    <row r="263">
      <c r="A263" s="3">
        <v>38.0</v>
      </c>
      <c r="B263" s="3">
        <v>105.0</v>
      </c>
      <c r="C263" s="3">
        <v>2.0</v>
      </c>
      <c r="D263" t="str">
        <f>VLOOKUP(B263,ERA_MOTIF_TYPES.csv!$A$1:$C$119,2,1)</f>
        <v>Two cups linked by a groove</v>
      </c>
      <c r="E263" t="str">
        <f>VLOOKUP(A263,Panels!$A$1:$E$2104,5,0)</f>
        <v>The Ringses</v>
      </c>
    </row>
    <row r="264">
      <c r="A264" s="3">
        <v>38.0</v>
      </c>
      <c r="B264" s="3">
        <v>110.0</v>
      </c>
      <c r="C264" s="3">
        <v>3.0</v>
      </c>
      <c r="D264" t="str">
        <f>VLOOKUP(B264,ERA_MOTIF_TYPES.csv!$A$1:$C$119,2,1)</f>
        <v>Curved groove</v>
      </c>
      <c r="E264" t="str">
        <f>VLOOKUP(A264,Panels!$A$1:$E$2104,5,0)</f>
        <v>The Ringses</v>
      </c>
    </row>
    <row r="265">
      <c r="A265" s="3">
        <v>39.0</v>
      </c>
      <c r="B265" s="3">
        <v>1.0</v>
      </c>
      <c r="C265" s="3">
        <v>2.0</v>
      </c>
      <c r="D265" t="str">
        <f>VLOOKUP(B265,ERA_MOTIF_TYPES.csv!$A$1:$C$119,2,1)</f>
        <v>Cups Single</v>
      </c>
      <c r="E265" t="str">
        <f>VLOOKUP(A265,Panels!$A$1:$E$2104,5,0)</f>
        <v>The Ringses</v>
      </c>
    </row>
    <row r="266">
      <c r="A266" s="3">
        <v>39.0</v>
      </c>
      <c r="B266" s="3">
        <v>4.0</v>
      </c>
      <c r="C266" s="3">
        <v>1.0</v>
      </c>
      <c r="D266" t="str">
        <f>VLOOKUP(B266,ERA_MOTIF_TYPES.csv!$A$1:$C$119,2,1)</f>
        <v>Counter-sunk</v>
      </c>
      <c r="E266" t="str">
        <f>VLOOKUP(A266,Panels!$A$1:$E$2104,5,0)</f>
        <v>The Ringses</v>
      </c>
    </row>
    <row r="267">
      <c r="A267" s="3">
        <v>39.0</v>
      </c>
      <c r="B267" s="3">
        <v>52.0</v>
      </c>
      <c r="C267" s="3">
        <v>5.0</v>
      </c>
      <c r="D267" t="str">
        <f>VLOOKUP(B267,ERA_MOTIF_TYPES.csv!$A$1:$C$119,2,1)</f>
        <v>Single or multiple cups</v>
      </c>
      <c r="E267" t="str">
        <f>VLOOKUP(A267,Panels!$A$1:$E$2104,5,0)</f>
        <v>The Ringses</v>
      </c>
    </row>
    <row r="268">
      <c r="A268" s="3">
        <v>39.0</v>
      </c>
      <c r="B268" s="3">
        <v>94.0</v>
      </c>
      <c r="C268" s="3">
        <v>2.0</v>
      </c>
      <c r="D268" t="str">
        <f>VLOOKUP(B268,ERA_MOTIF_TYPES.csv!$A$1:$C$119,2,1)</f>
        <v>Basin</v>
      </c>
      <c r="E268" t="str">
        <f>VLOOKUP(A268,Panels!$A$1:$E$2104,5,0)</f>
        <v>The Ringses</v>
      </c>
    </row>
    <row r="269">
      <c r="A269" s="3">
        <v>40.0</v>
      </c>
      <c r="B269" s="3">
        <v>1.0</v>
      </c>
      <c r="C269" s="3">
        <v>4.0</v>
      </c>
      <c r="D269" t="str">
        <f>VLOOKUP(B269,ERA_MOTIF_TYPES.csv!$A$1:$C$119,2,1)</f>
        <v>Cups Single</v>
      </c>
      <c r="E269" t="str">
        <f>VLOOKUP(A269,Panels!$A$1:$E$2104,5,0)</f>
        <v>The Ringses</v>
      </c>
    </row>
    <row r="270">
      <c r="A270" s="3">
        <v>40.0</v>
      </c>
      <c r="B270" s="3">
        <v>34.0</v>
      </c>
      <c r="C270" s="3">
        <v>2.0</v>
      </c>
      <c r="D270" t="str">
        <f>VLOOKUP(B270,ERA_MOTIF_TYPES.csv!$A$1:$C$119,2,1)</f>
        <v>Cup Groove and penannular</v>
      </c>
      <c r="E270" t="str">
        <f>VLOOKUP(A270,Panels!$A$1:$E$2104,5,0)</f>
        <v>The Ringses</v>
      </c>
    </row>
    <row r="271">
      <c r="A271" s="3">
        <v>40.0</v>
      </c>
      <c r="B271" s="3">
        <v>52.0</v>
      </c>
      <c r="C271" s="3">
        <v>7.0</v>
      </c>
      <c r="D271" t="str">
        <f>VLOOKUP(B271,ERA_MOTIF_TYPES.csv!$A$1:$C$119,2,1)</f>
        <v>Single or multiple cups</v>
      </c>
      <c r="E271" t="str">
        <f>VLOOKUP(A271,Panels!$A$1:$E$2104,5,0)</f>
        <v>The Ringses</v>
      </c>
    </row>
    <row r="272">
      <c r="A272" s="3">
        <v>40.0</v>
      </c>
      <c r="B272" s="3">
        <v>57.0</v>
      </c>
      <c r="C272" s="3">
        <v>1.0</v>
      </c>
      <c r="D272" t="str">
        <f>VLOOKUP(B272,ERA_MOTIF_TYPES.csv!$A$1:$C$119,2,1)</f>
        <v>Cup and ring</v>
      </c>
      <c r="E272" t="str">
        <f>VLOOKUP(A272,Panels!$A$1:$E$2104,5,0)</f>
        <v>The Ringses</v>
      </c>
    </row>
    <row r="273">
      <c r="A273" s="3">
        <v>40.0</v>
      </c>
      <c r="B273" s="3">
        <v>65.0</v>
      </c>
      <c r="C273" s="3">
        <v>2.0</v>
      </c>
      <c r="D273" t="str">
        <f>VLOOKUP(B273,ERA_MOTIF_TYPES.csv!$A$1:$C$119,2,1)</f>
        <v>Cup and groove with penannular</v>
      </c>
      <c r="E273" t="str">
        <f>VLOOKUP(A273,Panels!$A$1:$E$2104,5,0)</f>
        <v>The Ringses</v>
      </c>
    </row>
    <row r="274">
      <c r="A274" s="3">
        <v>40.0</v>
      </c>
      <c r="B274" s="3">
        <v>100.0</v>
      </c>
      <c r="C274" s="3">
        <v>1.0</v>
      </c>
      <c r="D274" t="str">
        <f>VLOOKUP(B274,ERA_MOTIF_TYPES.csv!$A$1:$C$119,2,1)</f>
        <v>Pick marks</v>
      </c>
      <c r="E274" t="str">
        <f>VLOOKUP(A274,Panels!$A$1:$E$2104,5,0)</f>
        <v>The Ringses</v>
      </c>
    </row>
    <row r="275">
      <c r="A275" s="3">
        <v>40.0</v>
      </c>
      <c r="B275" s="3">
        <v>103.0</v>
      </c>
      <c r="C275" s="3">
        <v>1.0</v>
      </c>
      <c r="D275" t="str">
        <f>VLOOKUP(B275,ERA_MOTIF_TYPES.csv!$A$1:$C$119,2,1)</f>
        <v>Cup and groove</v>
      </c>
      <c r="E275" t="str">
        <f>VLOOKUP(A275,Panels!$A$1:$E$2104,5,0)</f>
        <v>The Ringses</v>
      </c>
    </row>
    <row r="276">
      <c r="A276" s="3">
        <v>40.0</v>
      </c>
      <c r="B276" s="3">
        <v>110.0</v>
      </c>
      <c r="C276" s="3">
        <v>2.0</v>
      </c>
      <c r="D276" t="str">
        <f>VLOOKUP(B276,ERA_MOTIF_TYPES.csv!$A$1:$C$119,2,1)</f>
        <v>Curved groove</v>
      </c>
      <c r="E276" t="str">
        <f>VLOOKUP(A276,Panels!$A$1:$E$2104,5,0)</f>
        <v>The Ringses</v>
      </c>
    </row>
    <row r="277">
      <c r="A277" s="3">
        <v>41.0</v>
      </c>
      <c r="B277" s="3">
        <v>52.0</v>
      </c>
      <c r="C277" s="3">
        <v>9.0</v>
      </c>
      <c r="D277" t="str">
        <f>VLOOKUP(B277,ERA_MOTIF_TYPES.csv!$A$1:$C$119,2,1)</f>
        <v>Single or multiple cups</v>
      </c>
      <c r="E277" t="str">
        <f>VLOOKUP(A277,Panels!$A$1:$E$2104,5,0)</f>
        <v>Hazelrigg</v>
      </c>
    </row>
    <row r="278">
      <c r="A278" s="3">
        <v>41.0</v>
      </c>
      <c r="B278" s="3">
        <v>55.0</v>
      </c>
      <c r="C278" s="3">
        <v>3.0</v>
      </c>
      <c r="D278" t="str">
        <f>VLOOKUP(B278,ERA_MOTIF_TYPES.csv!$A$1:$C$119,2,1)</f>
        <v>Cups in a straight or curved line</v>
      </c>
      <c r="E278" t="str">
        <f>VLOOKUP(A278,Panels!$A$1:$E$2104,5,0)</f>
        <v>Hazelrigg</v>
      </c>
    </row>
    <row r="279">
      <c r="A279" s="3">
        <v>41.0</v>
      </c>
      <c r="B279" s="3">
        <v>87.0</v>
      </c>
      <c r="C279" s="3">
        <v>1.0</v>
      </c>
      <c r="D279" t="str">
        <f>VLOOKUP(B279,ERA_MOTIF_TYPES.csv!$A$1:$C$119,2,1)</f>
        <v>Linear and angular groove</v>
      </c>
      <c r="E279" t="str">
        <f>VLOOKUP(A279,Panels!$A$1:$E$2104,5,0)</f>
        <v>Hazelrigg</v>
      </c>
    </row>
    <row r="280">
      <c r="A280" s="3">
        <v>41.0</v>
      </c>
      <c r="B280" s="3">
        <v>90.0</v>
      </c>
      <c r="C280" s="3">
        <v>1.0</v>
      </c>
      <c r="D280" t="str">
        <f>VLOOKUP(B280,ERA_MOTIF_TYPES.csv!$A$1:$C$119,2,1)</f>
        <v>Serpentine groove</v>
      </c>
      <c r="E280" t="str">
        <f>VLOOKUP(A280,Panels!$A$1:$E$2104,5,0)</f>
        <v>Hazelrigg</v>
      </c>
    </row>
    <row r="281">
      <c r="A281" s="3">
        <v>41.0</v>
      </c>
      <c r="B281" s="3">
        <v>102.0</v>
      </c>
      <c r="C281" s="3">
        <v>2.0</v>
      </c>
      <c r="D281" t="str">
        <f>VLOOKUP(B281,ERA_MOTIF_TYPES.csv!$A$1:$C$119,2,1)</f>
        <v>Crossed groove</v>
      </c>
      <c r="E281" t="str">
        <f>VLOOKUP(A281,Panels!$A$1:$E$2104,5,0)</f>
        <v>Hazelrigg</v>
      </c>
    </row>
    <row r="282">
      <c r="A282" s="3">
        <v>41.0</v>
      </c>
      <c r="B282" s="3">
        <v>103.0</v>
      </c>
      <c r="C282" s="3">
        <v>3.0</v>
      </c>
      <c r="D282" t="str">
        <f>VLOOKUP(B282,ERA_MOTIF_TYPES.csv!$A$1:$C$119,2,1)</f>
        <v>Cup and groove</v>
      </c>
      <c r="E282" t="str">
        <f>VLOOKUP(A282,Panels!$A$1:$E$2104,5,0)</f>
        <v>Hazelrigg</v>
      </c>
    </row>
    <row r="283">
      <c r="A283" s="3">
        <v>41.0</v>
      </c>
      <c r="B283" s="3">
        <v>105.0</v>
      </c>
      <c r="C283" s="3">
        <v>1.0</v>
      </c>
      <c r="D283" t="str">
        <f>VLOOKUP(B283,ERA_MOTIF_TYPES.csv!$A$1:$C$119,2,1)</f>
        <v>Two cups linked by a groove</v>
      </c>
      <c r="E283" t="str">
        <f>VLOOKUP(A283,Panels!$A$1:$E$2104,5,0)</f>
        <v>Hazelrigg</v>
      </c>
    </row>
    <row r="284">
      <c r="A284" s="3">
        <v>42.0</v>
      </c>
      <c r="B284" s="3">
        <v>15.0</v>
      </c>
      <c r="C284" s="3">
        <v>2.0</v>
      </c>
      <c r="D284" t="str">
        <f>VLOOKUP(B284,ERA_MOTIF_TYPES.csv!$A$1:$C$119,2,1)</f>
        <v>Multi Penanular + cup</v>
      </c>
      <c r="E284" t="str">
        <f>VLOOKUP(A284,Panels!$A$1:$E$2104,5,0)</f>
        <v>Doddington North</v>
      </c>
    </row>
    <row r="285">
      <c r="A285" s="3">
        <v>42.0</v>
      </c>
      <c r="B285" s="3">
        <v>60.0</v>
      </c>
      <c r="C285" s="3">
        <v>2.0</v>
      </c>
      <c r="D285" t="str">
        <f>VLOOKUP(B285,ERA_MOTIF_TYPES.csv!$A$1:$C$119,2,1)</f>
        <v>Cup and multiple penannulars</v>
      </c>
      <c r="E285" t="str">
        <f>VLOOKUP(A285,Panels!$A$1:$E$2104,5,0)</f>
        <v>Doddington North</v>
      </c>
    </row>
    <row r="286">
      <c r="A286" s="3">
        <v>42.0</v>
      </c>
      <c r="B286" s="3">
        <v>87.0</v>
      </c>
      <c r="C286" s="3">
        <v>1.0</v>
      </c>
      <c r="D286" t="str">
        <f>VLOOKUP(B286,ERA_MOTIF_TYPES.csv!$A$1:$C$119,2,1)</f>
        <v>Linear and angular groove</v>
      </c>
      <c r="E286" t="str">
        <f>VLOOKUP(A286,Panels!$A$1:$E$2104,5,0)</f>
        <v>Doddington North</v>
      </c>
    </row>
    <row r="287">
      <c r="A287" s="3">
        <v>42.0</v>
      </c>
      <c r="B287" s="3">
        <v>103.0</v>
      </c>
      <c r="C287" s="3">
        <v>1.0</v>
      </c>
      <c r="D287" t="str">
        <f>VLOOKUP(B287,ERA_MOTIF_TYPES.csv!$A$1:$C$119,2,1)</f>
        <v>Cup and groove</v>
      </c>
      <c r="E287" t="str">
        <f>VLOOKUP(A287,Panels!$A$1:$E$2104,5,0)</f>
        <v>Doddington North</v>
      </c>
    </row>
    <row r="288">
      <c r="A288" s="3">
        <v>43.0</v>
      </c>
      <c r="B288" s="3">
        <v>52.0</v>
      </c>
      <c r="C288" s="3">
        <v>10.0</v>
      </c>
      <c r="D288" t="str">
        <f>VLOOKUP(B288,ERA_MOTIF_TYPES.csv!$A$1:$C$119,2,1)</f>
        <v>Single or multiple cups</v>
      </c>
      <c r="E288" t="str">
        <f>VLOOKUP(A288,Panels!$A$1:$E$2104,5,0)</f>
        <v>Hazelrigg</v>
      </c>
    </row>
    <row r="289">
      <c r="A289" s="3">
        <v>44.0</v>
      </c>
      <c r="B289" s="3">
        <v>52.0</v>
      </c>
      <c r="C289" s="3">
        <v>1.0</v>
      </c>
      <c r="D289" t="str">
        <f>VLOOKUP(B289,ERA_MOTIF_TYPES.csv!$A$1:$C$119,2,1)</f>
        <v>Single or multiple cups</v>
      </c>
      <c r="E289" t="str">
        <f>VLOOKUP(A289,Panels!$A$1:$E$2104,5,0)</f>
        <v>Hazelrigg</v>
      </c>
    </row>
    <row r="290">
      <c r="A290" s="3">
        <v>44.0</v>
      </c>
      <c r="B290" s="3">
        <v>73.0</v>
      </c>
      <c r="C290" s="3">
        <v>1.0</v>
      </c>
      <c r="D290" t="str">
        <f>VLOOKUP(B290,ERA_MOTIF_TYPES.csv!$A$1:$C$119,2,1)</f>
        <v>Arc</v>
      </c>
      <c r="E290" t="str">
        <f>VLOOKUP(A290,Panels!$A$1:$E$2104,5,0)</f>
        <v>Hazelrigg</v>
      </c>
    </row>
    <row r="291">
      <c r="A291" s="3">
        <v>44.0</v>
      </c>
      <c r="B291" s="3">
        <v>107.0</v>
      </c>
      <c r="C291" s="3">
        <v>1.0</v>
      </c>
      <c r="D291" t="str">
        <f>VLOOKUP(B291,ERA_MOTIF_TYPES.csv!$A$1:$C$119,2,1)</f>
        <v>Cup and ring with exterior groove</v>
      </c>
      <c r="E291" t="str">
        <f>VLOOKUP(A291,Panels!$A$1:$E$2104,5,0)</f>
        <v>Hazelrigg</v>
      </c>
    </row>
    <row r="292">
      <c r="A292" s="3">
        <v>45.0</v>
      </c>
      <c r="B292" s="3">
        <v>1.0</v>
      </c>
      <c r="C292" s="3">
        <v>1.0</v>
      </c>
      <c r="D292" t="str">
        <f>VLOOKUP(B292,ERA_MOTIF_TYPES.csv!$A$1:$C$119,2,1)</f>
        <v>Cups Single</v>
      </c>
      <c r="E292" t="str">
        <f>VLOOKUP(A292,Panels!$A$1:$E$2104,5,0)</f>
        <v>Dod Law Quarry Site</v>
      </c>
    </row>
    <row r="293">
      <c r="A293" s="3">
        <v>45.0</v>
      </c>
      <c r="B293" s="3">
        <v>52.0</v>
      </c>
      <c r="C293" s="3">
        <v>1.0</v>
      </c>
      <c r="D293" t="str">
        <f>VLOOKUP(B293,ERA_MOTIF_TYPES.csv!$A$1:$C$119,2,1)</f>
        <v>Single or multiple cups</v>
      </c>
      <c r="E293" t="str">
        <f>VLOOKUP(A293,Panels!$A$1:$E$2104,5,0)</f>
        <v>Dod Law Quarry Site</v>
      </c>
    </row>
    <row r="294">
      <c r="A294" s="3">
        <v>46.0</v>
      </c>
      <c r="B294" s="3">
        <v>14.0</v>
      </c>
      <c r="C294" s="3">
        <v>1.0</v>
      </c>
      <c r="D294" t="str">
        <f>VLOOKUP(B294,ERA_MOTIF_TYPES.csv!$A$1:$C$119,2,1)</f>
        <v>Multi Ring + cup</v>
      </c>
      <c r="E294" t="str">
        <f>VLOOKUP(A294,Panels!$A$1:$E$2104,5,0)</f>
        <v>Dod Law Quarry Site</v>
      </c>
    </row>
    <row r="295">
      <c r="A295" s="3">
        <v>46.0</v>
      </c>
      <c r="B295" s="3">
        <v>33.0</v>
      </c>
      <c r="C295" s="3">
        <v>1.0</v>
      </c>
      <c r="D295" t="str">
        <f>VLOOKUP(B295,ERA_MOTIF_TYPES.csv!$A$1:$C$119,2,1)</f>
        <v>Cup Groove and multi ring</v>
      </c>
      <c r="E295" t="str">
        <f>VLOOKUP(A295,Panels!$A$1:$E$2104,5,0)</f>
        <v>Dod Law Quarry Site</v>
      </c>
    </row>
    <row r="296">
      <c r="A296" s="3">
        <v>46.0</v>
      </c>
      <c r="B296" s="3">
        <v>52.0</v>
      </c>
      <c r="C296" s="3">
        <v>3.0</v>
      </c>
      <c r="D296" t="str">
        <f>VLOOKUP(B296,ERA_MOTIF_TYPES.csv!$A$1:$C$119,2,1)</f>
        <v>Single or multiple cups</v>
      </c>
      <c r="E296" t="str">
        <f>VLOOKUP(A296,Panels!$A$1:$E$2104,5,0)</f>
        <v>Dod Law Quarry Site</v>
      </c>
    </row>
    <row r="297">
      <c r="A297" s="3">
        <v>46.0</v>
      </c>
      <c r="B297" s="3">
        <v>57.0</v>
      </c>
      <c r="C297" s="3">
        <v>1.0</v>
      </c>
      <c r="D297" t="str">
        <f>VLOOKUP(B297,ERA_MOTIF_TYPES.csv!$A$1:$C$119,2,1)</f>
        <v>Cup and ring</v>
      </c>
      <c r="E297" t="str">
        <f>VLOOKUP(A297,Panels!$A$1:$E$2104,5,0)</f>
        <v>Dod Law Quarry Site</v>
      </c>
    </row>
    <row r="298">
      <c r="A298" s="3">
        <v>46.0</v>
      </c>
      <c r="B298" s="3">
        <v>64.0</v>
      </c>
      <c r="C298" s="3">
        <v>2.0</v>
      </c>
      <c r="D298" t="str">
        <f>VLOOKUP(B298,ERA_MOTIF_TYPES.csv!$A$1:$C$119,2,1)</f>
        <v>Cup with groove cutting through multiple rings</v>
      </c>
      <c r="E298" t="str">
        <f>VLOOKUP(A298,Panels!$A$1:$E$2104,5,0)</f>
        <v>Dod Law Quarry Site</v>
      </c>
    </row>
    <row r="299">
      <c r="A299" s="3">
        <v>47.0</v>
      </c>
      <c r="B299" s="3">
        <v>15.0</v>
      </c>
      <c r="C299" s="3">
        <v>1.0</v>
      </c>
      <c r="D299" t="str">
        <f>VLOOKUP(B299,ERA_MOTIF_TYPES.csv!$A$1:$C$119,2,1)</f>
        <v>Multi Penanular + cup</v>
      </c>
      <c r="E299" t="str">
        <f>VLOOKUP(A299,Panels!$A$1:$E$2104,5,0)</f>
        <v>Dod Law Excavation Site</v>
      </c>
    </row>
    <row r="300">
      <c r="A300" s="3">
        <v>47.0</v>
      </c>
      <c r="B300" s="3">
        <v>59.0</v>
      </c>
      <c r="C300" s="3">
        <v>1.0</v>
      </c>
      <c r="D300" t="str">
        <f>VLOOKUP(B300,ERA_MOTIF_TYPES.csv!$A$1:$C$119,2,1)</f>
        <v>Cup and penannular</v>
      </c>
      <c r="E300" t="str">
        <f>VLOOKUP(A300,Panels!$A$1:$E$2104,5,0)</f>
        <v>Dod Law Excavation Site</v>
      </c>
    </row>
    <row r="301">
      <c r="A301" s="3">
        <v>47.0</v>
      </c>
      <c r="B301" s="3">
        <v>69.0</v>
      </c>
      <c r="C301" s="3">
        <v>1.0</v>
      </c>
      <c r="D301" t="str">
        <f>VLOOKUP(B301,ERA_MOTIF_TYPES.csv!$A$1:$C$119,2,1)</f>
        <v>Ring</v>
      </c>
      <c r="E301" t="str">
        <f>VLOOKUP(A301,Panels!$A$1:$E$2104,5,0)</f>
        <v>Dod Law Excavation Site</v>
      </c>
    </row>
    <row r="302">
      <c r="A302" s="3">
        <v>47.0</v>
      </c>
      <c r="B302" s="3">
        <v>73.0</v>
      </c>
      <c r="C302" s="3">
        <v>1.0</v>
      </c>
      <c r="D302" t="str">
        <f>VLOOKUP(B302,ERA_MOTIF_TYPES.csv!$A$1:$C$119,2,1)</f>
        <v>Arc</v>
      </c>
      <c r="E302" t="str">
        <f>VLOOKUP(A302,Panels!$A$1:$E$2104,5,0)</f>
        <v>Dod Law Excavation Site</v>
      </c>
    </row>
    <row r="303">
      <c r="A303" s="3">
        <v>48.0</v>
      </c>
      <c r="B303" s="3">
        <v>15.0</v>
      </c>
      <c r="C303" s="3">
        <v>1.0</v>
      </c>
      <c r="D303" t="str">
        <f>VLOOKUP(B303,ERA_MOTIF_TYPES.csv!$A$1:$C$119,2,1)</f>
        <v>Multi Penanular + cup</v>
      </c>
      <c r="E303" t="str">
        <f>VLOOKUP(A303,Panels!$A$1:$E$2104,5,0)</f>
        <v>Dod Law Excavation Site</v>
      </c>
    </row>
    <row r="304">
      <c r="A304" s="3">
        <v>48.0</v>
      </c>
      <c r="B304" s="3">
        <v>16.0</v>
      </c>
      <c r="C304" s="3">
        <v>2.0</v>
      </c>
      <c r="D304" t="str">
        <f>VLOOKUP(B304,ERA_MOTIF_TYPES.csv!$A$1:$C$119,2,1)</f>
        <v>Single Arc + cup</v>
      </c>
      <c r="E304" t="str">
        <f>VLOOKUP(A304,Panels!$A$1:$E$2104,5,0)</f>
        <v>Dod Law Excavation Site</v>
      </c>
    </row>
    <row r="305">
      <c r="A305" s="3">
        <v>48.0</v>
      </c>
      <c r="B305" s="3">
        <v>17.0</v>
      </c>
      <c r="C305" s="3">
        <v>1.0</v>
      </c>
      <c r="D305" t="str">
        <f>VLOOKUP(B305,ERA_MOTIF_TYPES.csv!$A$1:$C$119,2,1)</f>
        <v>Single Penannular + cup</v>
      </c>
      <c r="E305" t="str">
        <f>VLOOKUP(A305,Panels!$A$1:$E$2104,5,0)</f>
        <v>Dod Law Excavation Site</v>
      </c>
    </row>
    <row r="306">
      <c r="A306" s="3">
        <v>48.0</v>
      </c>
      <c r="B306" s="3">
        <v>33.0</v>
      </c>
      <c r="C306" s="3">
        <v>3.0</v>
      </c>
      <c r="D306" t="str">
        <f>VLOOKUP(B306,ERA_MOTIF_TYPES.csv!$A$1:$C$119,2,1)</f>
        <v>Cup Groove and multi ring</v>
      </c>
      <c r="E306" t="str">
        <f>VLOOKUP(A306,Panels!$A$1:$E$2104,5,0)</f>
        <v>Dod Law Excavation Site</v>
      </c>
    </row>
    <row r="307">
      <c r="A307" s="3">
        <v>48.0</v>
      </c>
      <c r="B307" s="3">
        <v>46.0</v>
      </c>
      <c r="C307" s="3">
        <v>1.0</v>
      </c>
      <c r="D307" t="str">
        <f>VLOOKUP(B307,ERA_MOTIF_TYPES.csv!$A$1:$C$119,2,1)</f>
        <v>Groove and cups</v>
      </c>
      <c r="E307" t="str">
        <f>VLOOKUP(A307,Panels!$A$1:$E$2104,5,0)</f>
        <v>Dod Law Excavation Site</v>
      </c>
    </row>
    <row r="308">
      <c r="A308" s="3">
        <v>48.0</v>
      </c>
      <c r="B308" s="3">
        <v>57.0</v>
      </c>
      <c r="C308" s="3">
        <v>1.0</v>
      </c>
      <c r="D308" t="str">
        <f>VLOOKUP(B308,ERA_MOTIF_TYPES.csv!$A$1:$C$119,2,1)</f>
        <v>Cup and ring</v>
      </c>
      <c r="E308" t="str">
        <f>VLOOKUP(A308,Panels!$A$1:$E$2104,5,0)</f>
        <v>Dod Law Excavation Site</v>
      </c>
    </row>
    <row r="309">
      <c r="A309" s="3">
        <v>48.0</v>
      </c>
      <c r="B309" s="3">
        <v>58.0</v>
      </c>
      <c r="C309" s="3">
        <v>2.0</v>
      </c>
      <c r="D309" t="str">
        <f>VLOOKUP(B309,ERA_MOTIF_TYPES.csv!$A$1:$C$119,2,1)</f>
        <v>Cup and multiple rings</v>
      </c>
      <c r="E309" t="str">
        <f>VLOOKUP(A309,Panels!$A$1:$E$2104,5,0)</f>
        <v>Dod Law Excavation Site</v>
      </c>
    </row>
    <row r="310">
      <c r="A310" s="3">
        <v>48.0</v>
      </c>
      <c r="B310" s="3">
        <v>59.0</v>
      </c>
      <c r="C310" s="3">
        <v>2.0</v>
      </c>
      <c r="D310" t="str">
        <f>VLOOKUP(B310,ERA_MOTIF_TYPES.csv!$A$1:$C$119,2,1)</f>
        <v>Cup and penannular</v>
      </c>
      <c r="E310" t="str">
        <f>VLOOKUP(A310,Panels!$A$1:$E$2104,5,0)</f>
        <v>Dod Law Excavation Site</v>
      </c>
    </row>
    <row r="311">
      <c r="A311" s="3">
        <v>48.0</v>
      </c>
      <c r="B311" s="3">
        <v>61.0</v>
      </c>
      <c r="C311" s="3">
        <v>1.0</v>
      </c>
      <c r="D311" t="str">
        <f>VLOOKUP(B311,ERA_MOTIF_TYPES.csv!$A$1:$C$119,2,1)</f>
        <v>Cup and arc (or semi-ovoid)</v>
      </c>
      <c r="E311" t="str">
        <f>VLOOKUP(A311,Panels!$A$1:$E$2104,5,0)</f>
        <v>Dod Law Excavation Site</v>
      </c>
    </row>
    <row r="312">
      <c r="A312" s="3">
        <v>48.0</v>
      </c>
      <c r="B312" s="3">
        <v>64.0</v>
      </c>
      <c r="C312" s="3">
        <v>1.0</v>
      </c>
      <c r="D312" t="str">
        <f>VLOOKUP(B312,ERA_MOTIF_TYPES.csv!$A$1:$C$119,2,1)</f>
        <v>Cup with groove cutting through multiple rings</v>
      </c>
      <c r="E312" t="str">
        <f>VLOOKUP(A312,Panels!$A$1:$E$2104,5,0)</f>
        <v>Dod Law Excavation Site</v>
      </c>
    </row>
    <row r="313">
      <c r="A313" s="3">
        <v>48.0</v>
      </c>
      <c r="B313" s="3">
        <v>65.0</v>
      </c>
      <c r="C313" s="3">
        <v>1.0</v>
      </c>
      <c r="D313" t="str">
        <f>VLOOKUP(B313,ERA_MOTIF_TYPES.csv!$A$1:$C$119,2,1)</f>
        <v>Cup and groove with penannular</v>
      </c>
      <c r="E313" t="str">
        <f>VLOOKUP(A313,Panels!$A$1:$E$2104,5,0)</f>
        <v>Dod Law Excavation Site</v>
      </c>
    </row>
    <row r="314">
      <c r="A314" s="3">
        <v>48.0</v>
      </c>
      <c r="B314" s="3">
        <v>66.0</v>
      </c>
      <c r="C314" s="3">
        <v>1.0</v>
      </c>
      <c r="D314" t="str">
        <f>VLOOKUP(B314,ERA_MOTIF_TYPES.csv!$A$1:$C$119,2,1)</f>
        <v>Cup and groove with multiple penannulars</v>
      </c>
      <c r="E314" t="str">
        <f>VLOOKUP(A314,Panels!$A$1:$E$2104,5,0)</f>
        <v>Dod Law Excavation Site</v>
      </c>
    </row>
    <row r="315">
      <c r="A315" s="3">
        <v>48.0</v>
      </c>
      <c r="B315" s="3">
        <v>72.0</v>
      </c>
      <c r="C315" s="3">
        <v>1.0</v>
      </c>
      <c r="D315" t="str">
        <f>VLOOKUP(B315,ERA_MOTIF_TYPES.csv!$A$1:$C$119,2,1)</f>
        <v>Multiple penannulars</v>
      </c>
      <c r="E315" t="str">
        <f>VLOOKUP(A315,Panels!$A$1:$E$2104,5,0)</f>
        <v>Dod Law Excavation Site</v>
      </c>
    </row>
    <row r="316">
      <c r="A316" s="3">
        <v>48.0</v>
      </c>
      <c r="B316" s="3">
        <v>87.0</v>
      </c>
      <c r="C316" s="3">
        <v>2.0</v>
      </c>
      <c r="D316" t="str">
        <f>VLOOKUP(B316,ERA_MOTIF_TYPES.csv!$A$1:$C$119,2,1)</f>
        <v>Linear and angular groove</v>
      </c>
      <c r="E316" t="str">
        <f>VLOOKUP(A316,Panels!$A$1:$E$2104,5,0)</f>
        <v>Dod Law Excavation Site</v>
      </c>
    </row>
    <row r="317">
      <c r="A317" s="3">
        <v>48.0</v>
      </c>
      <c r="B317" s="3">
        <v>88.0</v>
      </c>
      <c r="C317" s="3">
        <v>1.0</v>
      </c>
      <c r="D317" t="str">
        <f>VLOOKUP(B317,ERA_MOTIF_TYPES.csv!$A$1:$C$119,2,1)</f>
        <v>Parallel grooves</v>
      </c>
      <c r="E317" t="str">
        <f>VLOOKUP(A317,Panels!$A$1:$E$2104,5,0)</f>
        <v>Dod Law Excavation Site</v>
      </c>
    </row>
    <row r="318">
      <c r="A318" s="3">
        <v>48.0</v>
      </c>
      <c r="B318" s="3">
        <v>90.0</v>
      </c>
      <c r="C318" s="3">
        <v>1.0</v>
      </c>
      <c r="D318" t="str">
        <f>VLOOKUP(B318,ERA_MOTIF_TYPES.csv!$A$1:$C$119,2,1)</f>
        <v>Serpentine groove</v>
      </c>
      <c r="E318" t="str">
        <f>VLOOKUP(A318,Panels!$A$1:$E$2104,5,0)</f>
        <v>Dod Law Excavation Site</v>
      </c>
    </row>
    <row r="319">
      <c r="A319" s="3">
        <v>48.0</v>
      </c>
      <c r="B319" s="3">
        <v>101.0</v>
      </c>
      <c r="C319" s="3">
        <v>1.0</v>
      </c>
      <c r="D319" t="str">
        <f>VLOOKUP(B319,ERA_MOTIF_TYPES.csv!$A$1:$C$119,2,1)</f>
        <v>Occulus</v>
      </c>
      <c r="E319" t="str">
        <f>VLOOKUP(A319,Panels!$A$1:$E$2104,5,0)</f>
        <v>Dod Law Excavation Site</v>
      </c>
    </row>
    <row r="320">
      <c r="A320" s="3">
        <v>48.0</v>
      </c>
      <c r="B320" s="3">
        <v>104.0</v>
      </c>
      <c r="C320" s="3">
        <v>1.0</v>
      </c>
      <c r="D320" t="str">
        <f>VLOOKUP(B320,ERA_MOTIF_TYPES.csv!$A$1:$C$119,2,1)</f>
        <v>Angular groove around a cup</v>
      </c>
      <c r="E320" t="str">
        <f>VLOOKUP(A320,Panels!$A$1:$E$2104,5,0)</f>
        <v>Dod Law Excavation Site</v>
      </c>
    </row>
    <row r="321">
      <c r="A321" s="3">
        <v>48.0</v>
      </c>
      <c r="B321" s="3">
        <v>110.0</v>
      </c>
      <c r="C321" s="3">
        <v>1.0</v>
      </c>
      <c r="D321" t="str">
        <f>VLOOKUP(B321,ERA_MOTIF_TYPES.csv!$A$1:$C$119,2,1)</f>
        <v>Curved groove</v>
      </c>
      <c r="E321" t="str">
        <f>VLOOKUP(A321,Panels!$A$1:$E$2104,5,0)</f>
        <v>Dod Law Excavation Site</v>
      </c>
    </row>
    <row r="322">
      <c r="A322" s="3">
        <v>49.0</v>
      </c>
      <c r="B322" s="3">
        <v>1.0</v>
      </c>
      <c r="C322" s="3">
        <v>3.0</v>
      </c>
      <c r="D322" t="str">
        <f>VLOOKUP(B322,ERA_MOTIF_TYPES.csv!$A$1:$C$119,2,1)</f>
        <v>Cups Single</v>
      </c>
      <c r="E322" t="str">
        <f>VLOOKUP(A322,Panels!$A$1:$E$2104,5,0)</f>
        <v>Dod Law Excavation Site</v>
      </c>
    </row>
    <row r="323">
      <c r="A323" s="3">
        <v>49.0</v>
      </c>
      <c r="B323" s="3">
        <v>13.0</v>
      </c>
      <c r="C323" s="3">
        <v>1.0</v>
      </c>
      <c r="D323" t="str">
        <f>VLOOKUP(B323,ERA_MOTIF_TYPES.csv!$A$1:$C$119,2,1)</f>
        <v>Single Ring + cup</v>
      </c>
      <c r="E323" t="str">
        <f>VLOOKUP(A323,Panels!$A$1:$E$2104,5,0)</f>
        <v>Dod Law Excavation Site</v>
      </c>
    </row>
    <row r="324">
      <c r="A324" s="3">
        <v>49.0</v>
      </c>
      <c r="B324" s="3">
        <v>17.0</v>
      </c>
      <c r="C324" s="3">
        <v>1.0</v>
      </c>
      <c r="D324" t="str">
        <f>VLOOKUP(B324,ERA_MOTIF_TYPES.csv!$A$1:$C$119,2,1)</f>
        <v>Single Penannular + cup</v>
      </c>
      <c r="E324" t="str">
        <f>VLOOKUP(A324,Panels!$A$1:$E$2104,5,0)</f>
        <v>Dod Law Excavation Site</v>
      </c>
    </row>
    <row r="325">
      <c r="A325" s="3">
        <v>49.0</v>
      </c>
      <c r="B325" s="3">
        <v>52.0</v>
      </c>
      <c r="C325" s="3">
        <v>7.0</v>
      </c>
      <c r="D325" t="str">
        <f>VLOOKUP(B325,ERA_MOTIF_TYPES.csv!$A$1:$C$119,2,1)</f>
        <v>Single or multiple cups</v>
      </c>
      <c r="E325" t="str">
        <f>VLOOKUP(A325,Panels!$A$1:$E$2104,5,0)</f>
        <v>Dod Law Excavation Site</v>
      </c>
    </row>
    <row r="326">
      <c r="A326" s="3">
        <v>49.0</v>
      </c>
      <c r="B326" s="3">
        <v>57.0</v>
      </c>
      <c r="C326" s="3">
        <v>3.0</v>
      </c>
      <c r="D326" t="str">
        <f>VLOOKUP(B326,ERA_MOTIF_TYPES.csv!$A$1:$C$119,2,1)</f>
        <v>Cup and ring</v>
      </c>
      <c r="E326" t="str">
        <f>VLOOKUP(A326,Panels!$A$1:$E$2104,5,0)</f>
        <v>Dod Law Excavation Site</v>
      </c>
    </row>
    <row r="327">
      <c r="A327" s="3">
        <v>49.0</v>
      </c>
      <c r="B327" s="3">
        <v>59.0</v>
      </c>
      <c r="C327" s="3">
        <v>2.0</v>
      </c>
      <c r="D327" t="str">
        <f>VLOOKUP(B327,ERA_MOTIF_TYPES.csv!$A$1:$C$119,2,1)</f>
        <v>Cup and penannular</v>
      </c>
      <c r="E327" t="str">
        <f>VLOOKUP(A327,Panels!$A$1:$E$2104,5,0)</f>
        <v>Dod Law Excavation Site</v>
      </c>
    </row>
    <row r="328">
      <c r="A328" s="3">
        <v>49.0</v>
      </c>
      <c r="B328" s="3">
        <v>61.0</v>
      </c>
      <c r="C328" s="3">
        <v>1.0</v>
      </c>
      <c r="D328" t="str">
        <f>VLOOKUP(B328,ERA_MOTIF_TYPES.csv!$A$1:$C$119,2,1)</f>
        <v>Cup and arc (or semi-ovoid)</v>
      </c>
      <c r="E328" t="str">
        <f>VLOOKUP(A328,Panels!$A$1:$E$2104,5,0)</f>
        <v>Dod Law Excavation Site</v>
      </c>
    </row>
    <row r="329">
      <c r="A329" s="3">
        <v>49.0</v>
      </c>
      <c r="B329" s="3">
        <v>87.0</v>
      </c>
      <c r="C329" s="3">
        <v>1.0</v>
      </c>
      <c r="D329" t="str">
        <f>VLOOKUP(B329,ERA_MOTIF_TYPES.csv!$A$1:$C$119,2,1)</f>
        <v>Linear and angular groove</v>
      </c>
      <c r="E329" t="str">
        <f>VLOOKUP(A329,Panels!$A$1:$E$2104,5,0)</f>
        <v>Dod Law Excavation Site</v>
      </c>
    </row>
    <row r="330">
      <c r="A330" s="3">
        <v>49.0</v>
      </c>
      <c r="B330" s="3">
        <v>107.0</v>
      </c>
      <c r="C330" s="3">
        <v>1.0</v>
      </c>
      <c r="D330" t="str">
        <f>VLOOKUP(B330,ERA_MOTIF_TYPES.csv!$A$1:$C$119,2,1)</f>
        <v>Cup and ring with exterior groove</v>
      </c>
      <c r="E330" t="str">
        <f>VLOOKUP(A330,Panels!$A$1:$E$2104,5,0)</f>
        <v>Dod Law Excavation Site</v>
      </c>
    </row>
    <row r="331">
      <c r="A331" s="3">
        <v>50.0</v>
      </c>
      <c r="B331" s="3">
        <v>1.0</v>
      </c>
      <c r="C331" s="3">
        <v>1.0</v>
      </c>
      <c r="D331" t="str">
        <f>VLOOKUP(B331,ERA_MOTIF_TYPES.csv!$A$1:$C$119,2,1)</f>
        <v>Cups Single</v>
      </c>
      <c r="E331" t="str">
        <f>VLOOKUP(A331,Panels!$A$1:$E$2104,5,0)</f>
        <v>Dod Law Excavation Site</v>
      </c>
    </row>
    <row r="332">
      <c r="A332" s="3">
        <v>50.0</v>
      </c>
      <c r="B332" s="3">
        <v>52.0</v>
      </c>
      <c r="C332" s="3">
        <v>4.0</v>
      </c>
      <c r="D332" t="str">
        <f>VLOOKUP(B332,ERA_MOTIF_TYPES.csv!$A$1:$C$119,2,1)</f>
        <v>Single or multiple cups</v>
      </c>
      <c r="E332" t="str">
        <f>VLOOKUP(A332,Panels!$A$1:$E$2104,5,0)</f>
        <v>Dod Law Excavation Site</v>
      </c>
    </row>
    <row r="333">
      <c r="A333" s="3">
        <v>51.0</v>
      </c>
      <c r="B333" s="3">
        <v>1.0</v>
      </c>
      <c r="C333" s="3">
        <v>1.0</v>
      </c>
      <c r="D333" t="str">
        <f>VLOOKUP(B333,ERA_MOTIF_TYPES.csv!$A$1:$C$119,2,1)</f>
        <v>Cups Single</v>
      </c>
      <c r="E333" t="str">
        <f>VLOOKUP(A333,Panels!$A$1:$E$2104,5,0)</f>
        <v>Dod Law Main Rock</v>
      </c>
    </row>
    <row r="334">
      <c r="A334" s="3">
        <v>51.0</v>
      </c>
      <c r="B334" s="3">
        <v>52.0</v>
      </c>
      <c r="C334" s="3">
        <v>7.0</v>
      </c>
      <c r="D334" t="str">
        <f>VLOOKUP(B334,ERA_MOTIF_TYPES.csv!$A$1:$C$119,2,1)</f>
        <v>Single or multiple cups</v>
      </c>
      <c r="E334" t="str">
        <f>VLOOKUP(A334,Panels!$A$1:$E$2104,5,0)</f>
        <v>Dod Law Main Rock</v>
      </c>
    </row>
    <row r="335">
      <c r="A335" s="3">
        <v>51.0</v>
      </c>
      <c r="B335" s="3">
        <v>101.0</v>
      </c>
      <c r="C335" s="3">
        <v>1.0</v>
      </c>
      <c r="D335" t="str">
        <f>VLOOKUP(B335,ERA_MOTIF_TYPES.csv!$A$1:$C$119,2,1)</f>
        <v>Occulus</v>
      </c>
      <c r="E335" t="str">
        <f>VLOOKUP(A335,Panels!$A$1:$E$2104,5,0)</f>
        <v>Dod Law Main Rock</v>
      </c>
    </row>
    <row r="336">
      <c r="A336" s="3">
        <v>52.0</v>
      </c>
      <c r="B336" s="3">
        <v>1.0</v>
      </c>
      <c r="C336" s="3">
        <v>1.0</v>
      </c>
      <c r="D336" t="str">
        <f>VLOOKUP(B336,ERA_MOTIF_TYPES.csv!$A$1:$C$119,2,1)</f>
        <v>Cups Single</v>
      </c>
      <c r="E336" t="str">
        <f>VLOOKUP(A336,Panels!$A$1:$E$2104,5,0)</f>
        <v>Dod Law Main Rock</v>
      </c>
    </row>
    <row r="337">
      <c r="A337" s="3">
        <v>52.0</v>
      </c>
      <c r="B337" s="3">
        <v>52.0</v>
      </c>
      <c r="C337" s="3">
        <v>8.0</v>
      </c>
      <c r="D337" t="str">
        <f>VLOOKUP(B337,ERA_MOTIF_TYPES.csv!$A$1:$C$119,2,1)</f>
        <v>Single or multiple cups</v>
      </c>
      <c r="E337" t="str">
        <f>VLOOKUP(A337,Panels!$A$1:$E$2104,5,0)</f>
        <v>Dod Law Main Rock</v>
      </c>
    </row>
    <row r="338">
      <c r="A338" s="3">
        <v>52.0</v>
      </c>
      <c r="B338" s="3">
        <v>80.0</v>
      </c>
      <c r="C338" s="3">
        <v>1.0</v>
      </c>
      <c r="D338" t="str">
        <f>VLOOKUP(B338,ERA_MOTIF_TYPES.csv!$A$1:$C$119,2,1)</f>
        <v>Cup and keyhole</v>
      </c>
      <c r="E338" t="str">
        <f>VLOOKUP(A338,Panels!$A$1:$E$2104,5,0)</f>
        <v>Dod Law Main Rock</v>
      </c>
    </row>
    <row r="339">
      <c r="A339" s="3">
        <v>53.0</v>
      </c>
      <c r="B339" s="3">
        <v>1.0</v>
      </c>
      <c r="C339" s="3">
        <v>13.0</v>
      </c>
      <c r="D339" t="str">
        <f>VLOOKUP(B339,ERA_MOTIF_TYPES.csv!$A$1:$C$119,2,1)</f>
        <v>Cups Single</v>
      </c>
      <c r="E339" t="str">
        <f>VLOOKUP(A339,Panels!$A$1:$E$2104,5,0)</f>
        <v>Dod Law Main Rock</v>
      </c>
    </row>
    <row r="340">
      <c r="A340" s="3">
        <v>53.0</v>
      </c>
      <c r="B340" s="3">
        <v>2.0</v>
      </c>
      <c r="C340" s="3">
        <v>3.0</v>
      </c>
      <c r="D340" t="str">
        <f>VLOOKUP(B340,ERA_MOTIF_TYPES.csv!$A$1:$C$119,2,1)</f>
        <v>Random Cluster</v>
      </c>
      <c r="E340" t="str">
        <f>VLOOKUP(A340,Panels!$A$1:$E$2104,5,0)</f>
        <v>Dod Law Main Rock</v>
      </c>
    </row>
    <row r="341">
      <c r="A341" s="3">
        <v>53.0</v>
      </c>
      <c r="B341" s="3">
        <v>33.0</v>
      </c>
      <c r="C341" s="3">
        <v>1.0</v>
      </c>
      <c r="D341" t="str">
        <f>VLOOKUP(B341,ERA_MOTIF_TYPES.csv!$A$1:$C$119,2,1)</f>
        <v>Cup Groove and multi ring</v>
      </c>
      <c r="E341" t="str">
        <f>VLOOKUP(A341,Panels!$A$1:$E$2104,5,0)</f>
        <v>Dod Law Main Rock</v>
      </c>
    </row>
    <row r="342">
      <c r="A342" s="3">
        <v>53.0</v>
      </c>
      <c r="B342" s="3">
        <v>46.0</v>
      </c>
      <c r="C342" s="3">
        <v>1.0</v>
      </c>
      <c r="D342" t="str">
        <f>VLOOKUP(B342,ERA_MOTIF_TYPES.csv!$A$1:$C$119,2,1)</f>
        <v>Groove and cups</v>
      </c>
      <c r="E342" t="str">
        <f>VLOOKUP(A342,Panels!$A$1:$E$2104,5,0)</f>
        <v>Dod Law Main Rock</v>
      </c>
    </row>
    <row r="343">
      <c r="A343" s="3">
        <v>53.0</v>
      </c>
      <c r="B343" s="3">
        <v>47.0</v>
      </c>
      <c r="C343" s="3">
        <v>1.0</v>
      </c>
      <c r="D343" t="str">
        <f>VLOOKUP(B343,ERA_MOTIF_TYPES.csv!$A$1:$C$119,2,1)</f>
        <v>Heart, Cups and Groove</v>
      </c>
      <c r="E343" t="str">
        <f>VLOOKUP(A343,Panels!$A$1:$E$2104,5,0)</f>
        <v>Dod Law Main Rock</v>
      </c>
    </row>
    <row r="344">
      <c r="A344" s="3">
        <v>53.0</v>
      </c>
      <c r="B344" s="3">
        <v>48.0</v>
      </c>
      <c r="C344" s="3">
        <v>2.0</v>
      </c>
      <c r="D344" t="str">
        <f>VLOOKUP(B344,ERA_MOTIF_TYPES.csv!$A$1:$C$119,2,1)</f>
        <v>Square Groove and cups</v>
      </c>
      <c r="E344" t="str">
        <f>VLOOKUP(A344,Panels!$A$1:$E$2104,5,0)</f>
        <v>Dod Law Main Rock</v>
      </c>
    </row>
    <row r="345">
      <c r="A345" s="3">
        <v>53.0</v>
      </c>
      <c r="B345" s="3">
        <v>49.0</v>
      </c>
      <c r="C345" s="3">
        <v>1.0</v>
      </c>
      <c r="D345" t="str">
        <f>VLOOKUP(B345,ERA_MOTIF_TYPES.csv!$A$1:$C$119,2,1)</f>
        <v>Multi Square Groove and cups</v>
      </c>
      <c r="E345" t="str">
        <f>VLOOKUP(A345,Panels!$A$1:$E$2104,5,0)</f>
        <v>Dod Law Main Rock</v>
      </c>
    </row>
    <row r="346">
      <c r="A346" s="3">
        <v>53.0</v>
      </c>
      <c r="B346" s="3">
        <v>52.0</v>
      </c>
      <c r="C346" s="3">
        <v>49.0</v>
      </c>
      <c r="D346" t="str">
        <f>VLOOKUP(B346,ERA_MOTIF_TYPES.csv!$A$1:$C$119,2,1)</f>
        <v>Single or multiple cups</v>
      </c>
      <c r="E346" t="str">
        <f>VLOOKUP(A346,Panels!$A$1:$E$2104,5,0)</f>
        <v>Dod Law Main Rock</v>
      </c>
    </row>
    <row r="347">
      <c r="A347" s="3">
        <v>53.0</v>
      </c>
      <c r="B347" s="3">
        <v>59.0</v>
      </c>
      <c r="C347" s="3">
        <v>1.0</v>
      </c>
      <c r="D347" t="str">
        <f>VLOOKUP(B347,ERA_MOTIF_TYPES.csv!$A$1:$C$119,2,1)</f>
        <v>Cup and penannular</v>
      </c>
      <c r="E347" t="str">
        <f>VLOOKUP(A347,Panels!$A$1:$E$2104,5,0)</f>
        <v>Dod Law Main Rock</v>
      </c>
    </row>
    <row r="348">
      <c r="A348" s="3">
        <v>53.0</v>
      </c>
      <c r="B348" s="3">
        <v>61.0</v>
      </c>
      <c r="C348" s="3">
        <v>3.0</v>
      </c>
      <c r="D348" t="str">
        <f>VLOOKUP(B348,ERA_MOTIF_TYPES.csv!$A$1:$C$119,2,1)</f>
        <v>Cup and arc (or semi-ovoid)</v>
      </c>
      <c r="E348" t="str">
        <f>VLOOKUP(A348,Panels!$A$1:$E$2104,5,0)</f>
        <v>Dod Law Main Rock</v>
      </c>
    </row>
    <row r="349">
      <c r="A349" s="3">
        <v>53.0</v>
      </c>
      <c r="B349" s="3">
        <v>63.0</v>
      </c>
      <c r="C349" s="3">
        <v>1.0</v>
      </c>
      <c r="D349" t="str">
        <f>VLOOKUP(B349,ERA_MOTIF_TYPES.csv!$A$1:$C$119,2,1)</f>
        <v>Cup with groove cutting through ring</v>
      </c>
      <c r="E349" t="str">
        <f>VLOOKUP(A349,Panels!$A$1:$E$2104,5,0)</f>
        <v>Dod Law Main Rock</v>
      </c>
    </row>
    <row r="350">
      <c r="A350" s="3">
        <v>53.0</v>
      </c>
      <c r="B350" s="3">
        <v>71.0</v>
      </c>
      <c r="C350" s="3">
        <v>1.0</v>
      </c>
      <c r="D350" t="str">
        <f>VLOOKUP(B350,ERA_MOTIF_TYPES.csv!$A$1:$C$119,2,1)</f>
        <v>Penannular</v>
      </c>
      <c r="E350" t="str">
        <f>VLOOKUP(A350,Panels!$A$1:$E$2104,5,0)</f>
        <v>Dod Law Main Rock</v>
      </c>
    </row>
    <row r="351">
      <c r="A351" s="3">
        <v>53.0</v>
      </c>
      <c r="B351" s="3">
        <v>73.0</v>
      </c>
      <c r="C351" s="3">
        <v>1.0</v>
      </c>
      <c r="D351" t="str">
        <f>VLOOKUP(B351,ERA_MOTIF_TYPES.csv!$A$1:$C$119,2,1)</f>
        <v>Arc</v>
      </c>
      <c r="E351" t="str">
        <f>VLOOKUP(A351,Panels!$A$1:$E$2104,5,0)</f>
        <v>Dod Law Main Rock</v>
      </c>
    </row>
    <row r="352">
      <c r="A352" s="3">
        <v>53.0</v>
      </c>
      <c r="B352" s="3">
        <v>84.0</v>
      </c>
      <c r="C352" s="3">
        <v>1.0</v>
      </c>
      <c r="D352" t="str">
        <f>VLOOKUP(B352,ERA_MOTIF_TYPES.csv!$A$1:$C$119,2,1)</f>
        <v>Oval groove enclosing cups</v>
      </c>
      <c r="E352" t="str">
        <f>VLOOKUP(A352,Panels!$A$1:$E$2104,5,0)</f>
        <v>Dod Law Main Rock</v>
      </c>
    </row>
    <row r="353">
      <c r="A353" s="3">
        <v>53.0</v>
      </c>
      <c r="B353" s="3">
        <v>85.0</v>
      </c>
      <c r="C353" s="3">
        <v>1.0</v>
      </c>
      <c r="D353" t="str">
        <f>VLOOKUP(B353,ERA_MOTIF_TYPES.csv!$A$1:$C$119,2,1)</f>
        <v>Heart shaped groove containing cups, some connected, and one with a groove leading out</v>
      </c>
      <c r="E353" t="str">
        <f>VLOOKUP(A353,Panels!$A$1:$E$2104,5,0)</f>
        <v>Dod Law Main Rock</v>
      </c>
    </row>
    <row r="354">
      <c r="A354" s="3">
        <v>53.0</v>
      </c>
      <c r="B354" s="3">
        <v>86.0</v>
      </c>
      <c r="C354" s="3">
        <v>1.0</v>
      </c>
      <c r="D354" t="str">
        <f>VLOOKUP(B354,ERA_MOTIF_TYPES.csv!$A$1:$C$119,2,1)</f>
        <v>Multiple rectangular grooves enclosing cups</v>
      </c>
      <c r="E354" t="str">
        <f>VLOOKUP(A354,Panels!$A$1:$E$2104,5,0)</f>
        <v>Dod Law Main Rock</v>
      </c>
    </row>
    <row r="355">
      <c r="A355" s="3">
        <v>53.0</v>
      </c>
      <c r="B355" s="3">
        <v>87.0</v>
      </c>
      <c r="C355" s="3">
        <v>3.0</v>
      </c>
      <c r="D355" t="str">
        <f>VLOOKUP(B355,ERA_MOTIF_TYPES.csv!$A$1:$C$119,2,1)</f>
        <v>Linear and angular groove</v>
      </c>
      <c r="E355" t="str">
        <f>VLOOKUP(A355,Panels!$A$1:$E$2104,5,0)</f>
        <v>Dod Law Main Rock</v>
      </c>
    </row>
    <row r="356">
      <c r="A356" s="3">
        <v>53.0</v>
      </c>
      <c r="B356" s="3">
        <v>103.0</v>
      </c>
      <c r="C356" s="3">
        <v>3.0</v>
      </c>
      <c r="D356" t="str">
        <f>VLOOKUP(B356,ERA_MOTIF_TYPES.csv!$A$1:$C$119,2,1)</f>
        <v>Cup and groove</v>
      </c>
      <c r="E356" t="str">
        <f>VLOOKUP(A356,Panels!$A$1:$E$2104,5,0)</f>
        <v>Dod Law Main Rock</v>
      </c>
    </row>
    <row r="357">
      <c r="A357" s="3">
        <v>53.0</v>
      </c>
      <c r="B357" s="3">
        <v>110.0</v>
      </c>
      <c r="C357" s="3">
        <v>3.0</v>
      </c>
      <c r="D357" t="str">
        <f>VLOOKUP(B357,ERA_MOTIF_TYPES.csv!$A$1:$C$119,2,1)</f>
        <v>Curved groove</v>
      </c>
      <c r="E357" t="str">
        <f>VLOOKUP(A357,Panels!$A$1:$E$2104,5,0)</f>
        <v>Dod Law Main Rock</v>
      </c>
    </row>
    <row r="358">
      <c r="A358" s="3">
        <v>54.0</v>
      </c>
      <c r="B358" s="3">
        <v>1.0</v>
      </c>
      <c r="C358" s="3">
        <v>1.0</v>
      </c>
      <c r="D358" t="str">
        <f>VLOOKUP(B358,ERA_MOTIF_TYPES.csv!$A$1:$C$119,2,1)</f>
        <v>Cups Single</v>
      </c>
      <c r="E358" t="str">
        <f>VLOOKUP(A358,Panels!$A$1:$E$2104,5,0)</f>
        <v>West Horton</v>
      </c>
    </row>
    <row r="359">
      <c r="A359" s="3">
        <v>54.0</v>
      </c>
      <c r="B359" s="3">
        <v>17.0</v>
      </c>
      <c r="C359" s="3">
        <v>1.0</v>
      </c>
      <c r="D359" t="str">
        <f>VLOOKUP(B359,ERA_MOTIF_TYPES.csv!$A$1:$C$119,2,1)</f>
        <v>Single Penannular + cup</v>
      </c>
      <c r="E359" t="str">
        <f>VLOOKUP(A359,Panels!$A$1:$E$2104,5,0)</f>
        <v>West Horton</v>
      </c>
    </row>
    <row r="360">
      <c r="A360" s="3">
        <v>54.0</v>
      </c>
      <c r="B360" s="3">
        <v>31.0</v>
      </c>
      <c r="C360" s="3">
        <v>1.0</v>
      </c>
      <c r="D360" t="str">
        <f>VLOOKUP(B360,ERA_MOTIF_TYPES.csv!$A$1:$C$119,2,1)</f>
        <v>Cup and Groove</v>
      </c>
      <c r="E360" t="str">
        <f>VLOOKUP(A360,Panels!$A$1:$E$2104,5,0)</f>
        <v>West Horton</v>
      </c>
    </row>
    <row r="361">
      <c r="A361" s="3">
        <v>54.0</v>
      </c>
      <c r="B361" s="3">
        <v>59.0</v>
      </c>
      <c r="C361" s="3">
        <v>1.0</v>
      </c>
      <c r="D361" t="str">
        <f>VLOOKUP(B361,ERA_MOTIF_TYPES.csv!$A$1:$C$119,2,1)</f>
        <v>Cup and penannular</v>
      </c>
      <c r="E361" t="str">
        <f>VLOOKUP(A361,Panels!$A$1:$E$2104,5,0)</f>
        <v>West Horton</v>
      </c>
    </row>
    <row r="362">
      <c r="A362" s="3">
        <v>54.0</v>
      </c>
      <c r="B362" s="3">
        <v>103.0</v>
      </c>
      <c r="C362" s="3">
        <v>1.0</v>
      </c>
      <c r="D362" t="str">
        <f>VLOOKUP(B362,ERA_MOTIF_TYPES.csv!$A$1:$C$119,2,1)</f>
        <v>Cup and groove</v>
      </c>
      <c r="E362" t="str">
        <f>VLOOKUP(A362,Panels!$A$1:$E$2104,5,0)</f>
        <v>West Horton</v>
      </c>
    </row>
    <row r="363">
      <c r="A363" s="3">
        <v>55.0</v>
      </c>
      <c r="B363" s="3">
        <v>52.0</v>
      </c>
      <c r="C363" s="3">
        <v>1.0</v>
      </c>
      <c r="D363" t="str">
        <f>VLOOKUP(B363,ERA_MOTIF_TYPES.csv!$A$1:$C$119,2,1)</f>
        <v>Single or multiple cups</v>
      </c>
      <c r="E363" t="str">
        <f>VLOOKUP(A363,Panels!$A$1:$E$2104,5,0)</f>
        <v>West Horton</v>
      </c>
    </row>
    <row r="364">
      <c r="A364" s="3">
        <v>55.0</v>
      </c>
      <c r="B364" s="3">
        <v>103.0</v>
      </c>
      <c r="C364" s="3">
        <v>1.0</v>
      </c>
      <c r="D364" t="str">
        <f>VLOOKUP(B364,ERA_MOTIF_TYPES.csv!$A$1:$C$119,2,1)</f>
        <v>Cup and groove</v>
      </c>
      <c r="E364" t="str">
        <f>VLOOKUP(A364,Panels!$A$1:$E$2104,5,0)</f>
        <v>West Horton</v>
      </c>
    </row>
    <row r="365">
      <c r="A365" s="3">
        <v>56.0</v>
      </c>
      <c r="B365" s="3">
        <v>52.0</v>
      </c>
      <c r="C365" s="3">
        <v>2.0</v>
      </c>
      <c r="D365" t="str">
        <f>VLOOKUP(B365,ERA_MOTIF_TYPES.csv!$A$1:$C$119,2,1)</f>
        <v>Single or multiple cups</v>
      </c>
      <c r="E365" t="str">
        <f>VLOOKUP(A365,Panels!$A$1:$E$2104,5,0)</f>
        <v>West Horton</v>
      </c>
    </row>
    <row r="366">
      <c r="A366" s="3">
        <v>56.0</v>
      </c>
      <c r="B366" s="3">
        <v>65.0</v>
      </c>
      <c r="C366" s="3">
        <v>1.0</v>
      </c>
      <c r="D366" t="str">
        <f>VLOOKUP(B366,ERA_MOTIF_TYPES.csv!$A$1:$C$119,2,1)</f>
        <v>Cup and groove with penannular</v>
      </c>
      <c r="E366" t="str">
        <f>VLOOKUP(A366,Panels!$A$1:$E$2104,5,0)</f>
        <v>West Horton</v>
      </c>
    </row>
    <row r="367">
      <c r="A367" s="3">
        <v>58.0</v>
      </c>
      <c r="B367" s="3">
        <v>1.0</v>
      </c>
      <c r="C367" s="3">
        <v>18.0</v>
      </c>
      <c r="D367" t="str">
        <f>VLOOKUP(B367,ERA_MOTIF_TYPES.csv!$A$1:$C$119,2,1)</f>
        <v>Cups Single</v>
      </c>
      <c r="E367" t="str">
        <f>VLOOKUP(A367,Panels!$A$1:$E$2104,5,0)</f>
        <v>Dod Law Enclosure Site</v>
      </c>
    </row>
    <row r="368">
      <c r="A368" s="3">
        <v>58.0</v>
      </c>
      <c r="B368" s="3">
        <v>32.0</v>
      </c>
      <c r="C368" s="3">
        <v>1.0</v>
      </c>
      <c r="D368" t="str">
        <f>VLOOKUP(B368,ERA_MOTIF_TYPES.csv!$A$1:$C$119,2,1)</f>
        <v>Cup Groove and single ring</v>
      </c>
      <c r="E368" t="str">
        <f>VLOOKUP(A368,Panels!$A$1:$E$2104,5,0)</f>
        <v>Dod Law Enclosure Site</v>
      </c>
    </row>
    <row r="369">
      <c r="A369" s="3">
        <v>58.0</v>
      </c>
      <c r="B369" s="3">
        <v>52.0</v>
      </c>
      <c r="C369" s="3">
        <v>24.0</v>
      </c>
      <c r="D369" t="str">
        <f>VLOOKUP(B369,ERA_MOTIF_TYPES.csv!$A$1:$C$119,2,1)</f>
        <v>Single or multiple cups</v>
      </c>
      <c r="E369" t="str">
        <f>VLOOKUP(A369,Panels!$A$1:$E$2104,5,0)</f>
        <v>Dod Law Enclosure Site</v>
      </c>
    </row>
    <row r="370">
      <c r="A370" s="3">
        <v>58.0</v>
      </c>
      <c r="B370" s="3">
        <v>87.0</v>
      </c>
      <c r="C370" s="3">
        <v>1.0</v>
      </c>
      <c r="D370" t="str">
        <f>VLOOKUP(B370,ERA_MOTIF_TYPES.csv!$A$1:$C$119,2,1)</f>
        <v>Linear and angular groove</v>
      </c>
      <c r="E370" t="str">
        <f>VLOOKUP(A370,Panels!$A$1:$E$2104,5,0)</f>
        <v>Dod Law Enclosure Site</v>
      </c>
    </row>
    <row r="371">
      <c r="A371" s="3">
        <v>58.0</v>
      </c>
      <c r="B371" s="3">
        <v>102.0</v>
      </c>
      <c r="C371" s="3">
        <v>1.0</v>
      </c>
      <c r="D371" t="str">
        <f>VLOOKUP(B371,ERA_MOTIF_TYPES.csv!$A$1:$C$119,2,1)</f>
        <v>Crossed groove</v>
      </c>
      <c r="E371" t="str">
        <f>VLOOKUP(A371,Panels!$A$1:$E$2104,5,0)</f>
        <v>Dod Law Enclosure Site</v>
      </c>
    </row>
    <row r="372">
      <c r="A372" s="3">
        <v>58.0</v>
      </c>
      <c r="B372" s="3">
        <v>107.0</v>
      </c>
      <c r="C372" s="3">
        <v>1.0</v>
      </c>
      <c r="D372" t="str">
        <f>VLOOKUP(B372,ERA_MOTIF_TYPES.csv!$A$1:$C$119,2,1)</f>
        <v>Cup and ring with exterior groove</v>
      </c>
      <c r="E372" t="str">
        <f>VLOOKUP(A372,Panels!$A$1:$E$2104,5,0)</f>
        <v>Dod Law Enclosure Site</v>
      </c>
    </row>
    <row r="373">
      <c r="A373" s="3">
        <v>59.0</v>
      </c>
      <c r="B373" s="3">
        <v>52.0</v>
      </c>
      <c r="C373" s="3">
        <v>1.0</v>
      </c>
      <c r="D373" t="str">
        <f>VLOOKUP(B373,ERA_MOTIF_TYPES.csv!$A$1:$C$119,2,1)</f>
        <v>Single or multiple cups</v>
      </c>
      <c r="E373" t="str">
        <f>VLOOKUP(A373,Panels!$A$1:$E$2104,5,0)</f>
        <v>West Horton Pillbox</v>
      </c>
    </row>
    <row r="374">
      <c r="A374" s="3">
        <v>60.0</v>
      </c>
      <c r="B374" s="3">
        <v>52.0</v>
      </c>
      <c r="C374" s="3">
        <v>13.0</v>
      </c>
      <c r="D374" t="str">
        <f>VLOOKUP(B374,ERA_MOTIF_TYPES.csv!$A$1:$C$119,2,1)</f>
        <v>Single or multiple cups</v>
      </c>
      <c r="E374" t="str">
        <f>VLOOKUP(A374,Panels!$A$1:$E$2104,5,0)</f>
        <v>West Horton</v>
      </c>
    </row>
    <row r="375">
      <c r="A375" s="3">
        <v>60.0</v>
      </c>
      <c r="B375" s="3">
        <v>58.0</v>
      </c>
      <c r="C375" s="3">
        <v>1.0</v>
      </c>
      <c r="D375" t="str">
        <f>VLOOKUP(B375,ERA_MOTIF_TYPES.csv!$A$1:$C$119,2,1)</f>
        <v>Cup and multiple rings</v>
      </c>
      <c r="E375" t="str">
        <f>VLOOKUP(A375,Panels!$A$1:$E$2104,5,0)</f>
        <v>West Horton</v>
      </c>
    </row>
    <row r="376">
      <c r="A376" s="3">
        <v>60.0</v>
      </c>
      <c r="B376" s="3">
        <v>59.0</v>
      </c>
      <c r="C376" s="3">
        <v>1.0</v>
      </c>
      <c r="D376" t="str">
        <f>VLOOKUP(B376,ERA_MOTIF_TYPES.csv!$A$1:$C$119,2,1)</f>
        <v>Cup and penannular</v>
      </c>
      <c r="E376" t="str">
        <f>VLOOKUP(A376,Panels!$A$1:$E$2104,5,0)</f>
        <v>West Horton</v>
      </c>
    </row>
    <row r="377">
      <c r="A377" s="3">
        <v>60.0</v>
      </c>
      <c r="B377" s="3">
        <v>61.0</v>
      </c>
      <c r="C377" s="3">
        <v>1.0</v>
      </c>
      <c r="D377" t="str">
        <f>VLOOKUP(B377,ERA_MOTIF_TYPES.csv!$A$1:$C$119,2,1)</f>
        <v>Cup and arc (or semi-ovoid)</v>
      </c>
      <c r="E377" t="str">
        <f>VLOOKUP(A377,Panels!$A$1:$E$2104,5,0)</f>
        <v>West Horton</v>
      </c>
    </row>
    <row r="378">
      <c r="A378" s="3">
        <v>60.0</v>
      </c>
      <c r="B378" s="3">
        <v>66.0</v>
      </c>
      <c r="C378" s="3">
        <v>1.0</v>
      </c>
      <c r="D378" t="str">
        <f>VLOOKUP(B378,ERA_MOTIF_TYPES.csv!$A$1:$C$119,2,1)</f>
        <v>Cup and groove with multiple penannulars</v>
      </c>
      <c r="E378" t="str">
        <f>VLOOKUP(A378,Panels!$A$1:$E$2104,5,0)</f>
        <v>West Horton</v>
      </c>
    </row>
    <row r="379">
      <c r="A379" s="3">
        <v>60.0</v>
      </c>
      <c r="B379" s="3">
        <v>73.0</v>
      </c>
      <c r="C379" s="3">
        <v>1.0</v>
      </c>
      <c r="D379" t="str">
        <f>VLOOKUP(B379,ERA_MOTIF_TYPES.csv!$A$1:$C$119,2,1)</f>
        <v>Arc</v>
      </c>
      <c r="E379" t="str">
        <f>VLOOKUP(A379,Panels!$A$1:$E$2104,5,0)</f>
        <v>West Horton</v>
      </c>
    </row>
    <row r="380">
      <c r="A380" s="3">
        <v>60.0</v>
      </c>
      <c r="B380" s="3">
        <v>87.0</v>
      </c>
      <c r="C380" s="3">
        <v>3.0</v>
      </c>
      <c r="D380" t="str">
        <f>VLOOKUP(B380,ERA_MOTIF_TYPES.csv!$A$1:$C$119,2,1)</f>
        <v>Linear and angular groove</v>
      </c>
      <c r="E380" t="str">
        <f>VLOOKUP(A380,Panels!$A$1:$E$2104,5,0)</f>
        <v>West Horton</v>
      </c>
    </row>
    <row r="381">
      <c r="A381" s="3">
        <v>60.0</v>
      </c>
      <c r="B381" s="3">
        <v>100.0</v>
      </c>
      <c r="C381" s="3">
        <v>1.0</v>
      </c>
      <c r="D381" t="str">
        <f>VLOOKUP(B381,ERA_MOTIF_TYPES.csv!$A$1:$C$119,2,1)</f>
        <v>Pick marks</v>
      </c>
      <c r="E381" t="str">
        <f>VLOOKUP(A381,Panels!$A$1:$E$2104,5,0)</f>
        <v>West Horton</v>
      </c>
    </row>
    <row r="382">
      <c r="A382" s="3">
        <v>61.0</v>
      </c>
      <c r="B382" s="3">
        <v>1.0</v>
      </c>
      <c r="C382" s="3">
        <v>2.0</v>
      </c>
      <c r="D382" t="str">
        <f>VLOOKUP(B382,ERA_MOTIF_TYPES.csv!$A$1:$C$119,2,1)</f>
        <v>Cups Single</v>
      </c>
      <c r="E382" t="str">
        <f>VLOOKUP(A382,Panels!$A$1:$E$2104,5,0)</f>
        <v>West Horton</v>
      </c>
    </row>
    <row r="383">
      <c r="A383" s="3">
        <v>61.0</v>
      </c>
      <c r="B383" s="3">
        <v>34.0</v>
      </c>
      <c r="C383" s="3">
        <v>1.0</v>
      </c>
      <c r="D383" t="str">
        <f>VLOOKUP(B383,ERA_MOTIF_TYPES.csv!$A$1:$C$119,2,1)</f>
        <v>Cup Groove and penannular</v>
      </c>
      <c r="E383" t="str">
        <f>VLOOKUP(A383,Panels!$A$1:$E$2104,5,0)</f>
        <v>West Horton</v>
      </c>
    </row>
    <row r="384">
      <c r="A384" s="3">
        <v>61.0</v>
      </c>
      <c r="B384" s="3">
        <v>52.0</v>
      </c>
      <c r="C384" s="3">
        <v>2.0</v>
      </c>
      <c r="D384" t="str">
        <f>VLOOKUP(B384,ERA_MOTIF_TYPES.csv!$A$1:$C$119,2,1)</f>
        <v>Single or multiple cups</v>
      </c>
      <c r="E384" t="str">
        <f>VLOOKUP(A384,Panels!$A$1:$E$2104,5,0)</f>
        <v>West Horton</v>
      </c>
    </row>
    <row r="385">
      <c r="A385" s="3">
        <v>61.0</v>
      </c>
      <c r="B385" s="3">
        <v>61.0</v>
      </c>
      <c r="C385" s="3">
        <v>1.0</v>
      </c>
      <c r="D385" t="str">
        <f>VLOOKUP(B385,ERA_MOTIF_TYPES.csv!$A$1:$C$119,2,1)</f>
        <v>Cup and arc (or semi-ovoid)</v>
      </c>
      <c r="E385" t="str">
        <f>VLOOKUP(A385,Panels!$A$1:$E$2104,5,0)</f>
        <v>West Horton</v>
      </c>
    </row>
    <row r="386">
      <c r="A386" s="3">
        <v>62.0</v>
      </c>
      <c r="B386" s="3">
        <v>13.0</v>
      </c>
      <c r="C386" s="3">
        <v>1.0</v>
      </c>
      <c r="D386" t="str">
        <f>VLOOKUP(B386,ERA_MOTIF_TYPES.csv!$A$1:$C$119,2,1)</f>
        <v>Single Ring + cup</v>
      </c>
      <c r="E386" t="str">
        <f>VLOOKUP(A386,Panels!$A$1:$E$2104,5,0)</f>
        <v>West Horton</v>
      </c>
    </row>
    <row r="387">
      <c r="A387" s="3">
        <v>62.0</v>
      </c>
      <c r="B387" s="3">
        <v>15.0</v>
      </c>
      <c r="C387" s="3">
        <v>1.0</v>
      </c>
      <c r="D387" t="str">
        <f>VLOOKUP(B387,ERA_MOTIF_TYPES.csv!$A$1:$C$119,2,1)</f>
        <v>Multi Penanular + cup</v>
      </c>
      <c r="E387" t="str">
        <f>VLOOKUP(A387,Panels!$A$1:$E$2104,5,0)</f>
        <v>West Horton</v>
      </c>
    </row>
    <row r="388">
      <c r="A388" s="3">
        <v>62.0</v>
      </c>
      <c r="B388" s="3">
        <v>1.0</v>
      </c>
      <c r="C388" s="3">
        <v>4.0</v>
      </c>
      <c r="D388" t="str">
        <f>VLOOKUP(B388,ERA_MOTIF_TYPES.csv!$A$1:$C$119,2,1)</f>
        <v>Cups Single</v>
      </c>
      <c r="E388" t="str">
        <f>VLOOKUP(A388,Panels!$A$1:$E$2104,5,0)</f>
        <v>West Horton</v>
      </c>
    </row>
    <row r="389">
      <c r="A389" s="3">
        <v>62.0</v>
      </c>
      <c r="B389" s="3">
        <v>16.0</v>
      </c>
      <c r="C389" s="3">
        <v>2.0</v>
      </c>
      <c r="D389" t="str">
        <f>VLOOKUP(B389,ERA_MOTIF_TYPES.csv!$A$1:$C$119,2,1)</f>
        <v>Single Arc + cup</v>
      </c>
      <c r="E389" t="str">
        <f>VLOOKUP(A389,Panels!$A$1:$E$2104,5,0)</f>
        <v>West Horton</v>
      </c>
    </row>
    <row r="390">
      <c r="A390" s="3">
        <v>62.0</v>
      </c>
      <c r="B390" s="3">
        <v>52.0</v>
      </c>
      <c r="C390" s="3">
        <v>3.0</v>
      </c>
      <c r="D390" t="str">
        <f>VLOOKUP(B390,ERA_MOTIF_TYPES.csv!$A$1:$C$119,2,1)</f>
        <v>Single or multiple cups</v>
      </c>
      <c r="E390" t="str">
        <f>VLOOKUP(A390,Panels!$A$1:$E$2104,5,0)</f>
        <v>West Horton</v>
      </c>
    </row>
    <row r="391">
      <c r="A391" s="3">
        <v>62.0</v>
      </c>
      <c r="B391" s="3">
        <v>60.0</v>
      </c>
      <c r="C391" s="3">
        <v>1.0</v>
      </c>
      <c r="D391" t="str">
        <f>VLOOKUP(B391,ERA_MOTIF_TYPES.csv!$A$1:$C$119,2,1)</f>
        <v>Cup and multiple penannulars</v>
      </c>
      <c r="E391" t="str">
        <f>VLOOKUP(A391,Panels!$A$1:$E$2104,5,0)</f>
        <v>West Horton</v>
      </c>
    </row>
    <row r="392">
      <c r="A392" s="3">
        <v>62.0</v>
      </c>
      <c r="B392" s="3">
        <v>61.0</v>
      </c>
      <c r="C392" s="3">
        <v>2.0</v>
      </c>
      <c r="D392" t="str">
        <f>VLOOKUP(B392,ERA_MOTIF_TYPES.csv!$A$1:$C$119,2,1)</f>
        <v>Cup and arc (or semi-ovoid)</v>
      </c>
      <c r="E392" t="str">
        <f>VLOOKUP(A392,Panels!$A$1:$E$2104,5,0)</f>
        <v>West Horton</v>
      </c>
    </row>
    <row r="393">
      <c r="A393" s="3">
        <v>62.0</v>
      </c>
      <c r="B393" s="3">
        <v>65.0</v>
      </c>
      <c r="C393" s="3">
        <v>1.0</v>
      </c>
      <c r="D393" t="str">
        <f>VLOOKUP(B393,ERA_MOTIF_TYPES.csv!$A$1:$C$119,2,1)</f>
        <v>Cup and groove with penannular</v>
      </c>
      <c r="E393" t="str">
        <f>VLOOKUP(A393,Panels!$A$1:$E$2104,5,0)</f>
        <v>West Horton</v>
      </c>
    </row>
    <row r="394">
      <c r="A394" s="3">
        <v>62.0</v>
      </c>
      <c r="B394" s="3">
        <v>87.0</v>
      </c>
      <c r="C394" s="3">
        <v>1.0</v>
      </c>
      <c r="D394" t="str">
        <f>VLOOKUP(B394,ERA_MOTIF_TYPES.csv!$A$1:$C$119,2,1)</f>
        <v>Linear and angular groove</v>
      </c>
      <c r="E394" t="str">
        <f>VLOOKUP(A394,Panels!$A$1:$E$2104,5,0)</f>
        <v>West Horton</v>
      </c>
    </row>
    <row r="395">
      <c r="A395" s="3">
        <v>62.0</v>
      </c>
      <c r="B395" s="3">
        <v>108.0</v>
      </c>
      <c r="C395" s="3">
        <v>1.0</v>
      </c>
      <c r="D395" t="str">
        <f>VLOOKUP(B395,ERA_MOTIF_TYPES.csv!$A$1:$C$119,2,1)</f>
        <v>Cup and ring with interior groove</v>
      </c>
      <c r="E395" t="str">
        <f>VLOOKUP(A395,Panels!$A$1:$E$2104,5,0)</f>
        <v>West Horton</v>
      </c>
    </row>
    <row r="396">
      <c r="A396" s="3">
        <v>63.0</v>
      </c>
      <c r="B396" s="3">
        <v>1.0</v>
      </c>
      <c r="C396" s="3">
        <v>8.0</v>
      </c>
      <c r="D396" t="str">
        <f>VLOOKUP(B396,ERA_MOTIF_TYPES.csv!$A$1:$C$119,2,1)</f>
        <v>Cups Single</v>
      </c>
      <c r="E396" t="str">
        <f>VLOOKUP(A396,Panels!$A$1:$E$2104,5,0)</f>
        <v>West Horton</v>
      </c>
    </row>
    <row r="397">
      <c r="A397" s="3">
        <v>63.0</v>
      </c>
      <c r="B397" s="3">
        <v>13.0</v>
      </c>
      <c r="C397" s="3">
        <v>1.0</v>
      </c>
      <c r="D397" t="str">
        <f>VLOOKUP(B397,ERA_MOTIF_TYPES.csv!$A$1:$C$119,2,1)</f>
        <v>Single Ring + cup</v>
      </c>
      <c r="E397" t="str">
        <f>VLOOKUP(A397,Panels!$A$1:$E$2104,5,0)</f>
        <v>West Horton</v>
      </c>
    </row>
    <row r="398">
      <c r="A398" s="3">
        <v>63.0</v>
      </c>
      <c r="B398" s="3">
        <v>31.0</v>
      </c>
      <c r="C398" s="3">
        <v>1.0</v>
      </c>
      <c r="D398" t="str">
        <f>VLOOKUP(B398,ERA_MOTIF_TYPES.csv!$A$1:$C$119,2,1)</f>
        <v>Cup and Groove</v>
      </c>
      <c r="E398" t="str">
        <f>VLOOKUP(A398,Panels!$A$1:$E$2104,5,0)</f>
        <v>West Horton</v>
      </c>
    </row>
    <row r="399">
      <c r="A399" s="3">
        <v>63.0</v>
      </c>
      <c r="B399" s="3">
        <v>35.0</v>
      </c>
      <c r="C399" s="3">
        <v>7.0</v>
      </c>
      <c r="D399" t="str">
        <f>VLOOKUP(B399,ERA_MOTIF_TYPES.csv!$A$1:$C$119,2,1)</f>
        <v>Cup Groove and multi penannular</v>
      </c>
      <c r="E399" t="str">
        <f>VLOOKUP(A399,Panels!$A$1:$E$2104,5,0)</f>
        <v>West Horton</v>
      </c>
    </row>
    <row r="400">
      <c r="A400" s="3">
        <v>63.0</v>
      </c>
      <c r="B400" s="3">
        <v>52.0</v>
      </c>
      <c r="C400" s="3">
        <v>14.0</v>
      </c>
      <c r="D400" t="str">
        <f>VLOOKUP(B400,ERA_MOTIF_TYPES.csv!$A$1:$C$119,2,1)</f>
        <v>Single or multiple cups</v>
      </c>
      <c r="E400" t="str">
        <f>VLOOKUP(A400,Panels!$A$1:$E$2104,5,0)</f>
        <v>West Horton</v>
      </c>
    </row>
    <row r="401">
      <c r="A401" s="3">
        <v>63.0</v>
      </c>
      <c r="B401" s="3">
        <v>57.0</v>
      </c>
      <c r="C401" s="3">
        <v>1.0</v>
      </c>
      <c r="D401" t="str">
        <f>VLOOKUP(B401,ERA_MOTIF_TYPES.csv!$A$1:$C$119,2,1)</f>
        <v>Cup and ring</v>
      </c>
      <c r="E401" t="str">
        <f>VLOOKUP(A401,Panels!$A$1:$E$2104,5,0)</f>
        <v>West Horton</v>
      </c>
    </row>
    <row r="402">
      <c r="A402" s="3">
        <v>63.0</v>
      </c>
      <c r="B402" s="3">
        <v>58.0</v>
      </c>
      <c r="C402" s="3">
        <v>1.0</v>
      </c>
      <c r="D402" t="str">
        <f>VLOOKUP(B402,ERA_MOTIF_TYPES.csv!$A$1:$C$119,2,1)</f>
        <v>Cup and multiple rings</v>
      </c>
      <c r="E402" t="str">
        <f>VLOOKUP(A402,Panels!$A$1:$E$2104,5,0)</f>
        <v>West Horton</v>
      </c>
    </row>
    <row r="403">
      <c r="A403" s="3">
        <v>63.0</v>
      </c>
      <c r="B403" s="3">
        <v>59.0</v>
      </c>
      <c r="C403" s="3">
        <v>1.0</v>
      </c>
      <c r="D403" t="str">
        <f>VLOOKUP(B403,ERA_MOTIF_TYPES.csv!$A$1:$C$119,2,1)</f>
        <v>Cup and penannular</v>
      </c>
      <c r="E403" t="str">
        <f>VLOOKUP(A403,Panels!$A$1:$E$2104,5,0)</f>
        <v>West Horton</v>
      </c>
    </row>
    <row r="404">
      <c r="A404" s="3">
        <v>63.0</v>
      </c>
      <c r="B404" s="3">
        <v>60.0</v>
      </c>
      <c r="C404" s="3">
        <v>1.0</v>
      </c>
      <c r="D404" t="str">
        <f>VLOOKUP(B404,ERA_MOTIF_TYPES.csv!$A$1:$C$119,2,1)</f>
        <v>Cup and multiple penannulars</v>
      </c>
      <c r="E404" t="str">
        <f>VLOOKUP(A404,Panels!$A$1:$E$2104,5,0)</f>
        <v>West Horton</v>
      </c>
    </row>
    <row r="405">
      <c r="A405" s="3">
        <v>63.0</v>
      </c>
      <c r="B405" s="3">
        <v>61.0</v>
      </c>
      <c r="C405" s="3">
        <v>1.0</v>
      </c>
      <c r="D405" t="str">
        <f>VLOOKUP(B405,ERA_MOTIF_TYPES.csv!$A$1:$C$119,2,1)</f>
        <v>Cup and arc (or semi-ovoid)</v>
      </c>
      <c r="E405" t="str">
        <f>VLOOKUP(A405,Panels!$A$1:$E$2104,5,0)</f>
        <v>West Horton</v>
      </c>
    </row>
    <row r="406">
      <c r="A406" s="3">
        <v>63.0</v>
      </c>
      <c r="B406" s="3">
        <v>62.0</v>
      </c>
      <c r="C406" s="3">
        <v>1.0</v>
      </c>
      <c r="D406" t="str">
        <f>VLOOKUP(B406,ERA_MOTIF_TYPES.csv!$A$1:$C$119,2,1)</f>
        <v>Cup and multiple arcs</v>
      </c>
      <c r="E406" t="str">
        <f>VLOOKUP(A406,Panels!$A$1:$E$2104,5,0)</f>
        <v>West Horton</v>
      </c>
    </row>
    <row r="407">
      <c r="A407" s="3">
        <v>63.0</v>
      </c>
      <c r="B407" s="3">
        <v>65.0</v>
      </c>
      <c r="C407" s="3">
        <v>1.0</v>
      </c>
      <c r="D407" t="str">
        <f>VLOOKUP(B407,ERA_MOTIF_TYPES.csv!$A$1:$C$119,2,1)</f>
        <v>Cup and groove with penannular</v>
      </c>
      <c r="E407" t="str">
        <f>VLOOKUP(A407,Panels!$A$1:$E$2104,5,0)</f>
        <v>West Horton</v>
      </c>
    </row>
    <row r="408">
      <c r="A408" s="3">
        <v>63.0</v>
      </c>
      <c r="B408" s="3">
        <v>66.0</v>
      </c>
      <c r="C408" s="3">
        <v>2.0</v>
      </c>
      <c r="D408" t="str">
        <f>VLOOKUP(B408,ERA_MOTIF_TYPES.csv!$A$1:$C$119,2,1)</f>
        <v>Cup and groove with multiple penannulars</v>
      </c>
      <c r="E408" t="str">
        <f>VLOOKUP(A408,Panels!$A$1:$E$2104,5,0)</f>
        <v>West Horton</v>
      </c>
    </row>
    <row r="409">
      <c r="A409" s="3">
        <v>63.0</v>
      </c>
      <c r="B409" s="3">
        <v>73.0</v>
      </c>
      <c r="C409" s="3">
        <v>1.0</v>
      </c>
      <c r="D409" t="str">
        <f>VLOOKUP(B409,ERA_MOTIF_TYPES.csv!$A$1:$C$119,2,1)</f>
        <v>Arc</v>
      </c>
      <c r="E409" t="str">
        <f>VLOOKUP(A409,Panels!$A$1:$E$2104,5,0)</f>
        <v>West Horton</v>
      </c>
    </row>
    <row r="410">
      <c r="A410" s="3">
        <v>63.0</v>
      </c>
      <c r="B410" s="3">
        <v>87.0</v>
      </c>
      <c r="C410" s="3">
        <v>1.0</v>
      </c>
      <c r="D410" t="str">
        <f>VLOOKUP(B410,ERA_MOTIF_TYPES.csv!$A$1:$C$119,2,1)</f>
        <v>Linear and angular groove</v>
      </c>
      <c r="E410" t="str">
        <f>VLOOKUP(A410,Panels!$A$1:$E$2104,5,0)</f>
        <v>West Horton</v>
      </c>
    </row>
    <row r="411">
      <c r="A411" s="3">
        <v>63.0</v>
      </c>
      <c r="B411" s="3">
        <v>101.0</v>
      </c>
      <c r="C411" s="3">
        <v>1.0</v>
      </c>
      <c r="D411" t="str">
        <f>VLOOKUP(B411,ERA_MOTIF_TYPES.csv!$A$1:$C$119,2,1)</f>
        <v>Occulus</v>
      </c>
      <c r="E411" t="str">
        <f>VLOOKUP(A411,Panels!$A$1:$E$2104,5,0)</f>
        <v>West Horton</v>
      </c>
    </row>
    <row r="412">
      <c r="A412" s="3">
        <v>63.0</v>
      </c>
      <c r="B412" s="3">
        <v>110.0</v>
      </c>
      <c r="C412" s="3">
        <v>4.0</v>
      </c>
      <c r="D412" t="str">
        <f>VLOOKUP(B412,ERA_MOTIF_TYPES.csv!$A$1:$C$119,2,1)</f>
        <v>Curved groove</v>
      </c>
      <c r="E412" t="str">
        <f>VLOOKUP(A412,Panels!$A$1:$E$2104,5,0)</f>
        <v>West Horton</v>
      </c>
    </row>
    <row r="413">
      <c r="A413" s="3">
        <v>64.0</v>
      </c>
      <c r="B413" s="3">
        <v>17.0</v>
      </c>
      <c r="C413" s="3">
        <v>1.0</v>
      </c>
      <c r="D413" t="str">
        <f>VLOOKUP(B413,ERA_MOTIF_TYPES.csv!$A$1:$C$119,2,1)</f>
        <v>Single Penannular + cup</v>
      </c>
      <c r="E413" t="str">
        <f>VLOOKUP(A413,Panels!$A$1:$E$2104,5,0)</f>
        <v>West Horton</v>
      </c>
    </row>
    <row r="414">
      <c r="A414" s="3">
        <v>64.0</v>
      </c>
      <c r="B414" s="3">
        <v>59.0</v>
      </c>
      <c r="C414" s="3">
        <v>1.0</v>
      </c>
      <c r="D414" t="str">
        <f>VLOOKUP(B414,ERA_MOTIF_TYPES.csv!$A$1:$C$119,2,1)</f>
        <v>Cup and penannular</v>
      </c>
      <c r="E414" t="str">
        <f>VLOOKUP(A414,Panels!$A$1:$E$2104,5,0)</f>
        <v>West Horton</v>
      </c>
    </row>
    <row r="415">
      <c r="A415" s="3">
        <v>64.0</v>
      </c>
      <c r="B415" s="3">
        <v>103.0</v>
      </c>
      <c r="C415" s="3">
        <v>1.0</v>
      </c>
      <c r="D415" t="str">
        <f>VLOOKUP(B415,ERA_MOTIF_TYPES.csv!$A$1:$C$119,2,1)</f>
        <v>Cup and groove</v>
      </c>
      <c r="E415" t="str">
        <f>VLOOKUP(A415,Panels!$A$1:$E$2104,5,0)</f>
        <v>West Horton</v>
      </c>
    </row>
    <row r="416">
      <c r="A416" s="3">
        <v>65.0</v>
      </c>
      <c r="B416" s="3">
        <v>1.0</v>
      </c>
      <c r="C416" s="3">
        <v>6.0</v>
      </c>
      <c r="D416" t="str">
        <f>VLOOKUP(B416,ERA_MOTIF_TYPES.csv!$A$1:$C$119,2,1)</f>
        <v>Cups Single</v>
      </c>
      <c r="E416" t="str">
        <f>VLOOKUP(A416,Panels!$A$1:$E$2104,5,0)</f>
        <v>West Horton</v>
      </c>
    </row>
    <row r="417">
      <c r="A417" s="3">
        <v>65.0</v>
      </c>
      <c r="B417" s="3">
        <v>13.0</v>
      </c>
      <c r="C417" s="3">
        <v>1.0</v>
      </c>
      <c r="D417" t="str">
        <f>VLOOKUP(B417,ERA_MOTIF_TYPES.csv!$A$1:$C$119,2,1)</f>
        <v>Single Ring + cup</v>
      </c>
      <c r="E417" t="str">
        <f>VLOOKUP(A417,Panels!$A$1:$E$2104,5,0)</f>
        <v>West Horton</v>
      </c>
    </row>
    <row r="418">
      <c r="A418" s="3">
        <v>65.0</v>
      </c>
      <c r="B418" s="3">
        <v>16.0</v>
      </c>
      <c r="C418" s="3">
        <v>6.0</v>
      </c>
      <c r="D418" t="str">
        <f>VLOOKUP(B418,ERA_MOTIF_TYPES.csv!$A$1:$C$119,2,1)</f>
        <v>Single Arc + cup</v>
      </c>
      <c r="E418" t="str">
        <f>VLOOKUP(A418,Panels!$A$1:$E$2104,5,0)</f>
        <v>West Horton</v>
      </c>
    </row>
    <row r="419">
      <c r="A419" s="3">
        <v>65.0</v>
      </c>
      <c r="B419" s="3">
        <v>18.0</v>
      </c>
      <c r="C419" s="3">
        <v>2.0</v>
      </c>
      <c r="D419" t="str">
        <f>VLOOKUP(B419,ERA_MOTIF_TYPES.csv!$A$1:$C$119,2,1)</f>
        <v>Multi Arc + cup</v>
      </c>
      <c r="E419" t="str">
        <f>VLOOKUP(A419,Panels!$A$1:$E$2104,5,0)</f>
        <v>West Horton</v>
      </c>
    </row>
    <row r="420">
      <c r="A420" s="3">
        <v>65.0</v>
      </c>
      <c r="B420" s="3">
        <v>32.0</v>
      </c>
      <c r="C420" s="3">
        <v>1.0</v>
      </c>
      <c r="D420" t="str">
        <f>VLOOKUP(B420,ERA_MOTIF_TYPES.csv!$A$1:$C$119,2,1)</f>
        <v>Cup Groove and single ring</v>
      </c>
      <c r="E420" t="str">
        <f>VLOOKUP(A420,Panels!$A$1:$E$2104,5,0)</f>
        <v>West Horton</v>
      </c>
    </row>
    <row r="421">
      <c r="A421" s="3">
        <v>65.0</v>
      </c>
      <c r="B421" s="3">
        <v>33.0</v>
      </c>
      <c r="C421" s="3">
        <v>1.0</v>
      </c>
      <c r="D421" t="str">
        <f>VLOOKUP(B421,ERA_MOTIF_TYPES.csv!$A$1:$C$119,2,1)</f>
        <v>Cup Groove and multi ring</v>
      </c>
      <c r="E421" t="str">
        <f>VLOOKUP(A421,Panels!$A$1:$E$2104,5,0)</f>
        <v>West Horton</v>
      </c>
    </row>
    <row r="422">
      <c r="A422" s="3">
        <v>65.0</v>
      </c>
      <c r="B422" s="3">
        <v>35.0</v>
      </c>
      <c r="C422" s="3">
        <v>3.0</v>
      </c>
      <c r="D422" t="str">
        <f>VLOOKUP(B422,ERA_MOTIF_TYPES.csv!$A$1:$C$119,2,1)</f>
        <v>Cup Groove and multi penannular</v>
      </c>
      <c r="E422" t="str">
        <f>VLOOKUP(A422,Panels!$A$1:$E$2104,5,0)</f>
        <v>West Horton</v>
      </c>
    </row>
    <row r="423">
      <c r="A423" s="3">
        <v>65.0</v>
      </c>
      <c r="B423" s="3">
        <v>52.0</v>
      </c>
      <c r="C423" s="3">
        <v>7.0</v>
      </c>
      <c r="D423" t="str">
        <f>VLOOKUP(B423,ERA_MOTIF_TYPES.csv!$A$1:$C$119,2,1)</f>
        <v>Single or multiple cups</v>
      </c>
      <c r="E423" t="str">
        <f>VLOOKUP(A423,Panels!$A$1:$E$2104,5,0)</f>
        <v>West Horton</v>
      </c>
    </row>
    <row r="424">
      <c r="A424" s="3">
        <v>65.0</v>
      </c>
      <c r="B424" s="3">
        <v>57.0</v>
      </c>
      <c r="C424" s="3">
        <v>1.0</v>
      </c>
      <c r="D424" t="str">
        <f>VLOOKUP(B424,ERA_MOTIF_TYPES.csv!$A$1:$C$119,2,1)</f>
        <v>Cup and ring</v>
      </c>
      <c r="E424" t="str">
        <f>VLOOKUP(A424,Panels!$A$1:$E$2104,5,0)</f>
        <v>West Horton</v>
      </c>
    </row>
    <row r="425">
      <c r="A425" s="3">
        <v>65.0</v>
      </c>
      <c r="B425" s="3">
        <v>59.0</v>
      </c>
      <c r="C425" s="3">
        <v>2.0</v>
      </c>
      <c r="D425" t="str">
        <f>VLOOKUP(B425,ERA_MOTIF_TYPES.csv!$A$1:$C$119,2,1)</f>
        <v>Cup and penannular</v>
      </c>
      <c r="E425" t="str">
        <f>VLOOKUP(A425,Panels!$A$1:$E$2104,5,0)</f>
        <v>West Horton</v>
      </c>
    </row>
    <row r="426">
      <c r="A426" s="3">
        <v>65.0</v>
      </c>
      <c r="B426" s="3">
        <v>60.0</v>
      </c>
      <c r="C426" s="3">
        <v>1.0</v>
      </c>
      <c r="D426" t="str">
        <f>VLOOKUP(B426,ERA_MOTIF_TYPES.csv!$A$1:$C$119,2,1)</f>
        <v>Cup and multiple penannulars</v>
      </c>
      <c r="E426" t="str">
        <f>VLOOKUP(A426,Panels!$A$1:$E$2104,5,0)</f>
        <v>West Horton</v>
      </c>
    </row>
    <row r="427">
      <c r="A427" s="3">
        <v>65.0</v>
      </c>
      <c r="B427" s="3">
        <v>61.0</v>
      </c>
      <c r="C427" s="3">
        <v>3.0</v>
      </c>
      <c r="D427" t="str">
        <f>VLOOKUP(B427,ERA_MOTIF_TYPES.csv!$A$1:$C$119,2,1)</f>
        <v>Cup and arc (or semi-ovoid)</v>
      </c>
      <c r="E427" t="str">
        <f>VLOOKUP(A427,Panels!$A$1:$E$2104,5,0)</f>
        <v>West Horton</v>
      </c>
    </row>
    <row r="428">
      <c r="A428" s="3">
        <v>65.0</v>
      </c>
      <c r="B428" s="3">
        <v>62.0</v>
      </c>
      <c r="C428" s="3">
        <v>1.0</v>
      </c>
      <c r="D428" t="str">
        <f>VLOOKUP(B428,ERA_MOTIF_TYPES.csv!$A$1:$C$119,2,1)</f>
        <v>Cup and multiple arcs</v>
      </c>
      <c r="E428" t="str">
        <f>VLOOKUP(A428,Panels!$A$1:$E$2104,5,0)</f>
        <v>West Horton</v>
      </c>
    </row>
    <row r="429">
      <c r="A429" s="3">
        <v>65.0</v>
      </c>
      <c r="B429" s="3">
        <v>63.0</v>
      </c>
      <c r="C429" s="3">
        <v>3.0</v>
      </c>
      <c r="D429" t="str">
        <f>VLOOKUP(B429,ERA_MOTIF_TYPES.csv!$A$1:$C$119,2,1)</f>
        <v>Cup with groove cutting through ring</v>
      </c>
      <c r="E429" t="str">
        <f>VLOOKUP(A429,Panels!$A$1:$E$2104,5,0)</f>
        <v>West Horton</v>
      </c>
    </row>
    <row r="430">
      <c r="A430" s="3">
        <v>65.0</v>
      </c>
      <c r="B430" s="3">
        <v>65.0</v>
      </c>
      <c r="C430" s="3">
        <v>3.0</v>
      </c>
      <c r="D430" t="str">
        <f>VLOOKUP(B430,ERA_MOTIF_TYPES.csv!$A$1:$C$119,2,1)</f>
        <v>Cup and groove with penannular</v>
      </c>
      <c r="E430" t="str">
        <f>VLOOKUP(A430,Panels!$A$1:$E$2104,5,0)</f>
        <v>West Horton</v>
      </c>
    </row>
    <row r="431">
      <c r="A431" s="3">
        <v>65.0</v>
      </c>
      <c r="B431" s="3">
        <v>66.0</v>
      </c>
      <c r="C431" s="3">
        <v>2.0</v>
      </c>
      <c r="D431" t="str">
        <f>VLOOKUP(B431,ERA_MOTIF_TYPES.csv!$A$1:$C$119,2,1)</f>
        <v>Cup and groove with multiple penannulars</v>
      </c>
      <c r="E431" t="str">
        <f>VLOOKUP(A431,Panels!$A$1:$E$2104,5,0)</f>
        <v>West Horton</v>
      </c>
    </row>
    <row r="432">
      <c r="A432" s="3">
        <v>65.0</v>
      </c>
      <c r="B432" s="3">
        <v>67.0</v>
      </c>
      <c r="C432" s="3">
        <v>1.0</v>
      </c>
      <c r="D432" t="str">
        <f>VLOOKUP(B432,ERA_MOTIF_TYPES.csv!$A$1:$C$119,2,1)</f>
        <v>Cup and groove with arc</v>
      </c>
      <c r="E432" t="str">
        <f>VLOOKUP(A432,Panels!$A$1:$E$2104,5,0)</f>
        <v>West Horton</v>
      </c>
    </row>
    <row r="433">
      <c r="A433" s="3">
        <v>65.0</v>
      </c>
      <c r="B433" s="3">
        <v>68.0</v>
      </c>
      <c r="C433" s="3">
        <v>1.0</v>
      </c>
      <c r="D433" t="str">
        <f>VLOOKUP(B433,ERA_MOTIF_TYPES.csv!$A$1:$C$119,2,1)</f>
        <v>Cup and groove with multiple arcs</v>
      </c>
      <c r="E433" t="str">
        <f>VLOOKUP(A433,Panels!$A$1:$E$2104,5,0)</f>
        <v>West Horton</v>
      </c>
    </row>
    <row r="434">
      <c r="A434" s="3">
        <v>65.0</v>
      </c>
      <c r="B434" s="3">
        <v>71.0</v>
      </c>
      <c r="C434" s="3">
        <v>1.0</v>
      </c>
      <c r="D434" t="str">
        <f>VLOOKUP(B434,ERA_MOTIF_TYPES.csv!$A$1:$C$119,2,1)</f>
        <v>Penannular</v>
      </c>
      <c r="E434" t="str">
        <f>VLOOKUP(A434,Panels!$A$1:$E$2104,5,0)</f>
        <v>West Horton</v>
      </c>
    </row>
    <row r="435">
      <c r="A435" s="3">
        <v>65.0</v>
      </c>
      <c r="B435" s="3">
        <v>73.0</v>
      </c>
      <c r="C435" s="3">
        <v>4.0</v>
      </c>
      <c r="D435" t="str">
        <f>VLOOKUP(B435,ERA_MOTIF_TYPES.csv!$A$1:$C$119,2,1)</f>
        <v>Arc</v>
      </c>
      <c r="E435" t="str">
        <f>VLOOKUP(A435,Panels!$A$1:$E$2104,5,0)</f>
        <v>West Horton</v>
      </c>
    </row>
    <row r="436">
      <c r="A436" s="3">
        <v>65.0</v>
      </c>
      <c r="B436" s="3">
        <v>77.0</v>
      </c>
      <c r="C436" s="3">
        <v>1.0</v>
      </c>
      <c r="D436" t="str">
        <f>VLOOKUP(B436,ERA_MOTIF_TYPES.csv!$A$1:$C$119,2,1)</f>
        <v>Keyhole enclosed by pennanular</v>
      </c>
      <c r="E436" t="str">
        <f>VLOOKUP(A436,Panels!$A$1:$E$2104,5,0)</f>
        <v>West Horton</v>
      </c>
    </row>
    <row r="437">
      <c r="A437" s="3">
        <v>65.0</v>
      </c>
      <c r="B437" s="3">
        <v>87.0</v>
      </c>
      <c r="C437" s="3">
        <v>2.0</v>
      </c>
      <c r="D437" t="str">
        <f>VLOOKUP(B437,ERA_MOTIF_TYPES.csv!$A$1:$C$119,2,1)</f>
        <v>Linear and angular groove</v>
      </c>
      <c r="E437" t="str">
        <f>VLOOKUP(A437,Panels!$A$1:$E$2104,5,0)</f>
        <v>West Horton</v>
      </c>
    </row>
    <row r="438">
      <c r="A438" s="3">
        <v>65.0</v>
      </c>
      <c r="B438" s="3">
        <v>90.0</v>
      </c>
      <c r="C438" s="3">
        <v>1.0</v>
      </c>
      <c r="D438" t="str">
        <f>VLOOKUP(B438,ERA_MOTIF_TYPES.csv!$A$1:$C$119,2,1)</f>
        <v>Serpentine groove</v>
      </c>
      <c r="E438" t="str">
        <f>VLOOKUP(A438,Panels!$A$1:$E$2104,5,0)</f>
        <v>West Horton</v>
      </c>
    </row>
    <row r="439">
      <c r="A439" s="3">
        <v>65.0</v>
      </c>
      <c r="B439" s="3">
        <v>100.0</v>
      </c>
      <c r="C439" s="3">
        <v>1.0</v>
      </c>
      <c r="D439" t="str">
        <f>VLOOKUP(B439,ERA_MOTIF_TYPES.csv!$A$1:$C$119,2,1)</f>
        <v>Pick marks</v>
      </c>
      <c r="E439" t="str">
        <f>VLOOKUP(A439,Panels!$A$1:$E$2104,5,0)</f>
        <v>West Horton</v>
      </c>
    </row>
    <row r="440">
      <c r="A440" s="3">
        <v>65.0</v>
      </c>
      <c r="B440" s="3">
        <v>103.0</v>
      </c>
      <c r="C440" s="3">
        <v>2.0</v>
      </c>
      <c r="D440" t="str">
        <f>VLOOKUP(B440,ERA_MOTIF_TYPES.csv!$A$1:$C$119,2,1)</f>
        <v>Cup and groove</v>
      </c>
      <c r="E440" t="str">
        <f>VLOOKUP(A440,Panels!$A$1:$E$2104,5,0)</f>
        <v>West Horton</v>
      </c>
    </row>
    <row r="441">
      <c r="A441" s="3">
        <v>65.0</v>
      </c>
      <c r="B441" s="3">
        <v>104.0</v>
      </c>
      <c r="C441" s="3">
        <v>1.0</v>
      </c>
      <c r="D441" t="str">
        <f>VLOOKUP(B441,ERA_MOTIF_TYPES.csv!$A$1:$C$119,2,1)</f>
        <v>Angular groove around a cup</v>
      </c>
      <c r="E441" t="str">
        <f>VLOOKUP(A441,Panels!$A$1:$E$2104,5,0)</f>
        <v>West Horton</v>
      </c>
    </row>
    <row r="442">
      <c r="A442" s="3">
        <v>65.0</v>
      </c>
      <c r="B442" s="3">
        <v>110.0</v>
      </c>
      <c r="C442" s="3">
        <v>5.0</v>
      </c>
      <c r="D442" t="str">
        <f>VLOOKUP(B442,ERA_MOTIF_TYPES.csv!$A$1:$C$119,2,1)</f>
        <v>Curved groove</v>
      </c>
      <c r="E442" t="str">
        <f>VLOOKUP(A442,Panels!$A$1:$E$2104,5,0)</f>
        <v>West Horton</v>
      </c>
    </row>
    <row r="443">
      <c r="A443" s="3">
        <v>66.0</v>
      </c>
      <c r="B443" s="3">
        <v>1.0</v>
      </c>
      <c r="C443" s="3">
        <v>4.0</v>
      </c>
      <c r="D443" t="str">
        <f>VLOOKUP(B443,ERA_MOTIF_TYPES.csv!$A$1:$C$119,2,1)</f>
        <v>Cups Single</v>
      </c>
      <c r="E443" t="str">
        <f>VLOOKUP(A443,Panels!$A$1:$E$2104,5,0)</f>
        <v>West Horton</v>
      </c>
    </row>
    <row r="444">
      <c r="A444" s="3">
        <v>66.0</v>
      </c>
      <c r="B444" s="3">
        <v>52.0</v>
      </c>
      <c r="C444" s="3">
        <v>4.0</v>
      </c>
      <c r="D444" t="str">
        <f>VLOOKUP(B444,ERA_MOTIF_TYPES.csv!$A$1:$C$119,2,1)</f>
        <v>Single or multiple cups</v>
      </c>
      <c r="E444" t="str">
        <f>VLOOKUP(A444,Panels!$A$1:$E$2104,5,0)</f>
        <v>West Horton</v>
      </c>
    </row>
    <row r="445">
      <c r="A445" s="3">
        <v>66.0</v>
      </c>
      <c r="B445" s="3">
        <v>61.0</v>
      </c>
      <c r="C445" s="3">
        <v>1.0</v>
      </c>
      <c r="D445" t="str">
        <f>VLOOKUP(B445,ERA_MOTIF_TYPES.csv!$A$1:$C$119,2,1)</f>
        <v>Cup and arc (or semi-ovoid)</v>
      </c>
      <c r="E445" t="str">
        <f>VLOOKUP(A445,Panels!$A$1:$E$2104,5,0)</f>
        <v>West Horton</v>
      </c>
    </row>
    <row r="446">
      <c r="A446" s="3">
        <v>66.0</v>
      </c>
      <c r="B446" s="3">
        <v>73.0</v>
      </c>
      <c r="C446" s="3">
        <v>2.0</v>
      </c>
      <c r="D446" t="str">
        <f>VLOOKUP(B446,ERA_MOTIF_TYPES.csv!$A$1:$C$119,2,1)</f>
        <v>Arc</v>
      </c>
      <c r="E446" t="str">
        <f>VLOOKUP(A446,Panels!$A$1:$E$2104,5,0)</f>
        <v>West Horton</v>
      </c>
    </row>
    <row r="447">
      <c r="A447" s="3">
        <v>67.0</v>
      </c>
      <c r="B447" s="3">
        <v>1.0</v>
      </c>
      <c r="C447" s="3">
        <v>2.0</v>
      </c>
      <c r="D447" t="str">
        <f>VLOOKUP(B447,ERA_MOTIF_TYPES.csv!$A$1:$C$119,2,1)</f>
        <v>Cups Single</v>
      </c>
      <c r="E447" t="str">
        <f>VLOOKUP(A447,Panels!$A$1:$E$2104,5,0)</f>
        <v>West Horton</v>
      </c>
    </row>
    <row r="448">
      <c r="A448" s="3">
        <v>67.0</v>
      </c>
      <c r="B448" s="3">
        <v>17.0</v>
      </c>
      <c r="C448" s="3">
        <v>1.0</v>
      </c>
      <c r="D448" t="str">
        <f>VLOOKUP(B448,ERA_MOTIF_TYPES.csv!$A$1:$C$119,2,1)</f>
        <v>Single Penannular + cup</v>
      </c>
      <c r="E448" t="str">
        <f>VLOOKUP(A448,Panels!$A$1:$E$2104,5,0)</f>
        <v>West Horton</v>
      </c>
    </row>
    <row r="449">
      <c r="A449" s="3">
        <v>67.0</v>
      </c>
      <c r="B449" s="3">
        <v>35.0</v>
      </c>
      <c r="C449" s="3">
        <v>1.0</v>
      </c>
      <c r="D449" t="str">
        <f>VLOOKUP(B449,ERA_MOTIF_TYPES.csv!$A$1:$C$119,2,1)</f>
        <v>Cup Groove and multi penannular</v>
      </c>
      <c r="E449" t="str">
        <f>VLOOKUP(A449,Panels!$A$1:$E$2104,5,0)</f>
        <v>West Horton</v>
      </c>
    </row>
    <row r="450">
      <c r="A450" s="3">
        <v>67.0</v>
      </c>
      <c r="B450" s="3">
        <v>52.0</v>
      </c>
      <c r="C450" s="3">
        <v>1.0</v>
      </c>
      <c r="D450" t="str">
        <f>VLOOKUP(B450,ERA_MOTIF_TYPES.csv!$A$1:$C$119,2,1)</f>
        <v>Single or multiple cups</v>
      </c>
      <c r="E450" t="str">
        <f>VLOOKUP(A450,Panels!$A$1:$E$2104,5,0)</f>
        <v>West Horton</v>
      </c>
    </row>
    <row r="451">
      <c r="A451" s="3">
        <v>67.0</v>
      </c>
      <c r="B451" s="3">
        <v>61.0</v>
      </c>
      <c r="C451" s="3">
        <v>2.0</v>
      </c>
      <c r="D451" t="str">
        <f>VLOOKUP(B451,ERA_MOTIF_TYPES.csv!$A$1:$C$119,2,1)</f>
        <v>Cup and arc (or semi-ovoid)</v>
      </c>
      <c r="E451" t="str">
        <f>VLOOKUP(A451,Panels!$A$1:$E$2104,5,0)</f>
        <v>West Horton</v>
      </c>
    </row>
    <row r="452">
      <c r="A452" s="3">
        <v>67.0</v>
      </c>
      <c r="B452" s="3">
        <v>71.0</v>
      </c>
      <c r="C452" s="3">
        <v>1.0</v>
      </c>
      <c r="D452" t="str">
        <f>VLOOKUP(B452,ERA_MOTIF_TYPES.csv!$A$1:$C$119,2,1)</f>
        <v>Penannular</v>
      </c>
      <c r="E452" t="str">
        <f>VLOOKUP(A452,Panels!$A$1:$E$2104,5,0)</f>
        <v>West Horton</v>
      </c>
    </row>
    <row r="453">
      <c r="A453" s="3">
        <v>67.0</v>
      </c>
      <c r="B453" s="3">
        <v>110.0</v>
      </c>
      <c r="C453" s="3">
        <v>1.0</v>
      </c>
      <c r="D453" t="str">
        <f>VLOOKUP(B453,ERA_MOTIF_TYPES.csv!$A$1:$C$119,2,1)</f>
        <v>Curved groove</v>
      </c>
      <c r="E453" t="str">
        <f>VLOOKUP(A453,Panels!$A$1:$E$2104,5,0)</f>
        <v>West Horton</v>
      </c>
    </row>
    <row r="454">
      <c r="A454" s="3">
        <v>68.0</v>
      </c>
      <c r="B454" s="3">
        <v>1.0</v>
      </c>
      <c r="C454" s="3">
        <v>17.0</v>
      </c>
      <c r="D454" t="str">
        <f>VLOOKUP(B454,ERA_MOTIF_TYPES.csv!$A$1:$C$119,2,1)</f>
        <v>Cups Single</v>
      </c>
      <c r="E454" t="str">
        <f>VLOOKUP(A454,Panels!$A$1:$E$2104,5,0)</f>
        <v>West Horton</v>
      </c>
    </row>
    <row r="455">
      <c r="A455" s="3">
        <v>68.0</v>
      </c>
      <c r="B455" s="3">
        <v>14.0</v>
      </c>
      <c r="C455" s="3">
        <v>1.0</v>
      </c>
      <c r="D455" t="str">
        <f>VLOOKUP(B455,ERA_MOTIF_TYPES.csv!$A$1:$C$119,2,1)</f>
        <v>Multi Ring + cup</v>
      </c>
      <c r="E455" t="str">
        <f>VLOOKUP(A455,Panels!$A$1:$E$2104,5,0)</f>
        <v>West Horton</v>
      </c>
    </row>
    <row r="456">
      <c r="A456" s="3">
        <v>68.0</v>
      </c>
      <c r="B456" s="3">
        <v>33.0</v>
      </c>
      <c r="C456" s="3">
        <v>1.0</v>
      </c>
      <c r="D456" t="str">
        <f>VLOOKUP(B456,ERA_MOTIF_TYPES.csv!$A$1:$C$119,2,1)</f>
        <v>Cup Groove and multi ring</v>
      </c>
      <c r="E456" t="str">
        <f>VLOOKUP(A456,Panels!$A$1:$E$2104,5,0)</f>
        <v>West Horton</v>
      </c>
    </row>
    <row r="457">
      <c r="A457" s="3">
        <v>68.0</v>
      </c>
      <c r="B457" s="3">
        <v>34.0</v>
      </c>
      <c r="C457" s="3">
        <v>1.0</v>
      </c>
      <c r="D457" t="str">
        <f>VLOOKUP(B457,ERA_MOTIF_TYPES.csv!$A$1:$C$119,2,1)</f>
        <v>Cup Groove and penannular</v>
      </c>
      <c r="E457" t="str">
        <f>VLOOKUP(A457,Panels!$A$1:$E$2104,5,0)</f>
        <v>West Horton</v>
      </c>
    </row>
    <row r="458">
      <c r="A458" s="3">
        <v>68.0</v>
      </c>
      <c r="B458" s="3">
        <v>51.0</v>
      </c>
      <c r="C458" s="3">
        <v>1.0</v>
      </c>
      <c r="D458" t="str">
        <f>VLOOKUP(B458,ERA_MOTIF_TYPES.csv!$A$1:$C$119,2,1)</f>
        <v>Bowls</v>
      </c>
      <c r="E458" t="str">
        <f>VLOOKUP(A458,Panels!$A$1:$E$2104,5,0)</f>
        <v>West Horton</v>
      </c>
    </row>
    <row r="459">
      <c r="A459" s="3">
        <v>68.0</v>
      </c>
      <c r="B459" s="3">
        <v>52.0</v>
      </c>
      <c r="C459" s="3">
        <v>16.0</v>
      </c>
      <c r="D459" t="str">
        <f>VLOOKUP(B459,ERA_MOTIF_TYPES.csv!$A$1:$C$119,2,1)</f>
        <v>Single or multiple cups</v>
      </c>
      <c r="E459" t="str">
        <f>VLOOKUP(A459,Panels!$A$1:$E$2104,5,0)</f>
        <v>West Horton</v>
      </c>
    </row>
    <row r="460">
      <c r="A460" s="3">
        <v>68.0</v>
      </c>
      <c r="B460" s="3">
        <v>59.0</v>
      </c>
      <c r="C460" s="3">
        <v>1.0</v>
      </c>
      <c r="D460" t="str">
        <f>VLOOKUP(B460,ERA_MOTIF_TYPES.csv!$A$1:$C$119,2,1)</f>
        <v>Cup and penannular</v>
      </c>
      <c r="E460" t="str">
        <f>VLOOKUP(A460,Panels!$A$1:$E$2104,5,0)</f>
        <v>West Horton</v>
      </c>
    </row>
    <row r="461">
      <c r="A461" s="3">
        <v>68.0</v>
      </c>
      <c r="B461" s="3">
        <v>61.0</v>
      </c>
      <c r="C461" s="3">
        <v>2.0</v>
      </c>
      <c r="D461" t="str">
        <f>VLOOKUP(B461,ERA_MOTIF_TYPES.csv!$A$1:$C$119,2,1)</f>
        <v>Cup and arc (or semi-ovoid)</v>
      </c>
      <c r="E461" t="str">
        <f>VLOOKUP(A461,Panels!$A$1:$E$2104,5,0)</f>
        <v>West Horton</v>
      </c>
    </row>
    <row r="462">
      <c r="A462" s="3">
        <v>68.0</v>
      </c>
      <c r="B462" s="3">
        <v>62.0</v>
      </c>
      <c r="C462" s="3">
        <v>1.0</v>
      </c>
      <c r="D462" t="str">
        <f>VLOOKUP(B462,ERA_MOTIF_TYPES.csv!$A$1:$C$119,2,1)</f>
        <v>Cup and multiple arcs</v>
      </c>
      <c r="E462" t="str">
        <f>VLOOKUP(A462,Panels!$A$1:$E$2104,5,0)</f>
        <v>West Horton</v>
      </c>
    </row>
    <row r="463">
      <c r="A463" s="3">
        <v>68.0</v>
      </c>
      <c r="B463" s="3">
        <v>64.0</v>
      </c>
      <c r="C463" s="3">
        <v>1.0</v>
      </c>
      <c r="D463" t="str">
        <f>VLOOKUP(B463,ERA_MOTIF_TYPES.csv!$A$1:$C$119,2,1)</f>
        <v>Cup with groove cutting through multiple rings</v>
      </c>
      <c r="E463" t="str">
        <f>VLOOKUP(A463,Panels!$A$1:$E$2104,5,0)</f>
        <v>West Horton</v>
      </c>
    </row>
    <row r="464">
      <c r="A464" s="3">
        <v>68.0</v>
      </c>
      <c r="B464" s="3">
        <v>65.0</v>
      </c>
      <c r="C464" s="3">
        <v>1.0</v>
      </c>
      <c r="D464" t="str">
        <f>VLOOKUP(B464,ERA_MOTIF_TYPES.csv!$A$1:$C$119,2,1)</f>
        <v>Cup and groove with penannular</v>
      </c>
      <c r="E464" t="str">
        <f>VLOOKUP(A464,Panels!$A$1:$E$2104,5,0)</f>
        <v>West Horton</v>
      </c>
    </row>
    <row r="465">
      <c r="A465" s="3">
        <v>68.0</v>
      </c>
      <c r="B465" s="3">
        <v>66.0</v>
      </c>
      <c r="C465" s="3">
        <v>1.0</v>
      </c>
      <c r="D465" t="str">
        <f>VLOOKUP(B465,ERA_MOTIF_TYPES.csv!$A$1:$C$119,2,1)</f>
        <v>Cup and groove with multiple penannulars</v>
      </c>
      <c r="E465" t="str">
        <f>VLOOKUP(A465,Panels!$A$1:$E$2104,5,0)</f>
        <v>West Horton</v>
      </c>
    </row>
    <row r="466">
      <c r="A466" s="3">
        <v>68.0</v>
      </c>
      <c r="B466" s="3">
        <v>69.0</v>
      </c>
      <c r="C466" s="3">
        <v>1.0</v>
      </c>
      <c r="D466" t="str">
        <f>VLOOKUP(B466,ERA_MOTIF_TYPES.csv!$A$1:$C$119,2,1)</f>
        <v>Ring</v>
      </c>
      <c r="E466" t="str">
        <f>VLOOKUP(A466,Panels!$A$1:$E$2104,5,0)</f>
        <v>West Horton</v>
      </c>
    </row>
    <row r="467">
      <c r="A467" s="3">
        <v>68.0</v>
      </c>
      <c r="B467" s="3">
        <v>71.0</v>
      </c>
      <c r="C467" s="3">
        <v>1.0</v>
      </c>
      <c r="D467" t="str">
        <f>VLOOKUP(B467,ERA_MOTIF_TYPES.csv!$A$1:$C$119,2,1)</f>
        <v>Penannular</v>
      </c>
      <c r="E467" t="str">
        <f>VLOOKUP(A467,Panels!$A$1:$E$2104,5,0)</f>
        <v>West Horton</v>
      </c>
    </row>
    <row r="468">
      <c r="A468" s="3">
        <v>68.0</v>
      </c>
      <c r="B468" s="3">
        <v>84.0</v>
      </c>
      <c r="C468" s="3">
        <v>1.0</v>
      </c>
      <c r="D468" t="str">
        <f>VLOOKUP(B468,ERA_MOTIF_TYPES.csv!$A$1:$C$119,2,1)</f>
        <v>Oval groove enclosing cups</v>
      </c>
      <c r="E468" t="str">
        <f>VLOOKUP(A468,Panels!$A$1:$E$2104,5,0)</f>
        <v>West Horton</v>
      </c>
    </row>
    <row r="469">
      <c r="A469" s="3">
        <v>68.0</v>
      </c>
      <c r="B469" s="3">
        <v>110.0</v>
      </c>
      <c r="C469" s="3">
        <v>1.0</v>
      </c>
      <c r="D469" t="str">
        <f>VLOOKUP(B469,ERA_MOTIF_TYPES.csv!$A$1:$C$119,2,1)</f>
        <v>Curved groove</v>
      </c>
      <c r="E469" t="str">
        <f>VLOOKUP(A469,Panels!$A$1:$E$2104,5,0)</f>
        <v>West Horton</v>
      </c>
    </row>
    <row r="470">
      <c r="A470" s="3">
        <v>69.0</v>
      </c>
      <c r="B470" s="3">
        <v>1.0</v>
      </c>
      <c r="C470" s="3">
        <v>1.0</v>
      </c>
      <c r="D470" t="str">
        <f>VLOOKUP(B470,ERA_MOTIF_TYPES.csv!$A$1:$C$119,2,1)</f>
        <v>Cups Single</v>
      </c>
      <c r="E470" t="str">
        <f>VLOOKUP(A470,Panels!$A$1:$E$2104,5,0)</f>
        <v>West Horton</v>
      </c>
    </row>
    <row r="471">
      <c r="A471" s="3">
        <v>69.0</v>
      </c>
      <c r="B471" s="3">
        <v>31.0</v>
      </c>
      <c r="C471" s="3">
        <v>1.0</v>
      </c>
      <c r="D471" t="str">
        <f>VLOOKUP(B471,ERA_MOTIF_TYPES.csv!$A$1:$C$119,2,1)</f>
        <v>Cup and Groove</v>
      </c>
      <c r="E471" t="str">
        <f>VLOOKUP(A471,Panels!$A$1:$E$2104,5,0)</f>
        <v>West Horton</v>
      </c>
    </row>
    <row r="472">
      <c r="A472" s="3">
        <v>69.0</v>
      </c>
      <c r="B472" s="3">
        <v>103.0</v>
      </c>
      <c r="C472" s="3">
        <v>1.0</v>
      </c>
      <c r="D472" t="str">
        <f>VLOOKUP(B472,ERA_MOTIF_TYPES.csv!$A$1:$C$119,2,1)</f>
        <v>Cup and groove</v>
      </c>
      <c r="E472" t="str">
        <f>VLOOKUP(A472,Panels!$A$1:$E$2104,5,0)</f>
        <v>West Horton</v>
      </c>
    </row>
    <row r="473">
      <c r="A473" s="3">
        <v>70.0</v>
      </c>
      <c r="B473" s="3">
        <v>52.0</v>
      </c>
      <c r="C473" s="3">
        <v>1.0</v>
      </c>
      <c r="D473" t="str">
        <f>VLOOKUP(B473,ERA_MOTIF_TYPES.csv!$A$1:$C$119,2,1)</f>
        <v>Single or multiple cups</v>
      </c>
      <c r="E473" t="str">
        <f>VLOOKUP(A473,Panels!$A$1:$E$2104,5,0)</f>
        <v>West Horton Pillbox</v>
      </c>
    </row>
    <row r="474">
      <c r="A474" s="3">
        <v>71.0</v>
      </c>
      <c r="B474" s="3">
        <v>52.0</v>
      </c>
      <c r="C474" s="3">
        <v>1.0</v>
      </c>
      <c r="D474" t="str">
        <f>VLOOKUP(B474,ERA_MOTIF_TYPES.csv!$A$1:$C$119,2,1)</f>
        <v>Single or multiple cups</v>
      </c>
      <c r="E474" t="str">
        <f>VLOOKUP(A474,Panels!$A$1:$E$2104,5,0)</f>
        <v>West Horton Pillbox</v>
      </c>
    </row>
    <row r="475">
      <c r="A475" s="3">
        <v>72.0</v>
      </c>
      <c r="B475" s="3">
        <v>52.0</v>
      </c>
      <c r="C475" s="3">
        <v>1.0</v>
      </c>
      <c r="D475" t="str">
        <f>VLOOKUP(B475,ERA_MOTIF_TYPES.csv!$A$1:$C$119,2,1)</f>
        <v>Single or multiple cups</v>
      </c>
      <c r="E475" t="str">
        <f>VLOOKUP(A475,Panels!$A$1:$E$2104,5,0)</f>
        <v>West Horton Diesel Tank Hill</v>
      </c>
    </row>
    <row r="476">
      <c r="A476" s="3">
        <v>73.0</v>
      </c>
      <c r="B476" s="3">
        <v>1.0</v>
      </c>
      <c r="C476" s="3">
        <v>4.0</v>
      </c>
      <c r="D476" t="str">
        <f>VLOOKUP(B476,ERA_MOTIF_TYPES.csv!$A$1:$C$119,2,1)</f>
        <v>Cups Single</v>
      </c>
      <c r="E476" t="str">
        <f>VLOOKUP(A476,Panels!$A$1:$E$2104,5,0)</f>
        <v>West Horton</v>
      </c>
    </row>
    <row r="477">
      <c r="A477" s="3">
        <v>73.0</v>
      </c>
      <c r="B477" s="3">
        <v>6.0</v>
      </c>
      <c r="C477" s="3">
        <v>1.0</v>
      </c>
      <c r="D477" t="str">
        <f>VLOOKUP(B477,ERA_MOTIF_TYPES.csv!$A$1:$C$119,2,1)</f>
        <v>curved or straight line</v>
      </c>
      <c r="E477" t="str">
        <f>VLOOKUP(A477,Panels!$A$1:$E$2104,5,0)</f>
        <v>West Horton</v>
      </c>
    </row>
    <row r="478">
      <c r="A478" s="3">
        <v>73.0</v>
      </c>
      <c r="B478" s="3">
        <v>14.0</v>
      </c>
      <c r="C478" s="3">
        <v>1.0</v>
      </c>
      <c r="D478" t="str">
        <f>VLOOKUP(B478,ERA_MOTIF_TYPES.csv!$A$1:$C$119,2,1)</f>
        <v>Multi Ring + cup</v>
      </c>
      <c r="E478" t="str">
        <f>VLOOKUP(A478,Panels!$A$1:$E$2104,5,0)</f>
        <v>West Horton</v>
      </c>
    </row>
    <row r="479">
      <c r="A479" s="3">
        <v>73.0</v>
      </c>
      <c r="B479" s="3">
        <v>52.0</v>
      </c>
      <c r="C479" s="3">
        <v>15.0</v>
      </c>
      <c r="D479" t="str">
        <f>VLOOKUP(B479,ERA_MOTIF_TYPES.csv!$A$1:$C$119,2,1)</f>
        <v>Single or multiple cups</v>
      </c>
      <c r="E479" t="str">
        <f>VLOOKUP(A479,Panels!$A$1:$E$2104,5,0)</f>
        <v>West Horton</v>
      </c>
    </row>
    <row r="480">
      <c r="A480" s="3">
        <v>73.0</v>
      </c>
      <c r="B480" s="3">
        <v>55.0</v>
      </c>
      <c r="C480" s="3">
        <v>1.0</v>
      </c>
      <c r="D480" t="str">
        <f>VLOOKUP(B480,ERA_MOTIF_TYPES.csv!$A$1:$C$119,2,1)</f>
        <v>Cups in a straight or curved line</v>
      </c>
      <c r="E480" t="str">
        <f>VLOOKUP(A480,Panels!$A$1:$E$2104,5,0)</f>
        <v>West Horton</v>
      </c>
    </row>
    <row r="481">
      <c r="A481" s="3">
        <v>73.0</v>
      </c>
      <c r="B481" s="3">
        <v>64.0</v>
      </c>
      <c r="C481" s="3">
        <v>1.0</v>
      </c>
      <c r="D481" t="str">
        <f>VLOOKUP(B481,ERA_MOTIF_TYPES.csv!$A$1:$C$119,2,1)</f>
        <v>Cup with groove cutting through multiple rings</v>
      </c>
      <c r="E481" t="str">
        <f>VLOOKUP(A481,Panels!$A$1:$E$2104,5,0)</f>
        <v>West Horton</v>
      </c>
    </row>
    <row r="482">
      <c r="A482" s="3">
        <v>74.0</v>
      </c>
      <c r="B482" s="3">
        <v>52.0</v>
      </c>
      <c r="C482" s="3">
        <v>2.0</v>
      </c>
      <c r="D482" t="str">
        <f>VLOOKUP(B482,ERA_MOTIF_TYPES.csv!$A$1:$C$119,2,1)</f>
        <v>Single or multiple cups</v>
      </c>
      <c r="E482" t="str">
        <f>VLOOKUP(A482,Panels!$A$1:$E$2104,5,0)</f>
        <v>Lyham Moor</v>
      </c>
    </row>
    <row r="483">
      <c r="A483" s="3">
        <v>74.0</v>
      </c>
      <c r="B483" s="3">
        <v>73.0</v>
      </c>
      <c r="C483" s="3">
        <v>1.0</v>
      </c>
      <c r="D483" t="str">
        <f>VLOOKUP(B483,ERA_MOTIF_TYPES.csv!$A$1:$C$119,2,1)</f>
        <v>Arc</v>
      </c>
      <c r="E483" t="str">
        <f>VLOOKUP(A483,Panels!$A$1:$E$2104,5,0)</f>
        <v>Lyham Moor</v>
      </c>
    </row>
    <row r="484">
      <c r="A484" s="3">
        <v>74.0</v>
      </c>
      <c r="B484" s="3">
        <v>107.0</v>
      </c>
      <c r="C484" s="3">
        <v>1.0</v>
      </c>
      <c r="D484" t="str">
        <f>VLOOKUP(B484,ERA_MOTIF_TYPES.csv!$A$1:$C$119,2,1)</f>
        <v>Cup and ring with exterior groove</v>
      </c>
      <c r="E484" t="str">
        <f>VLOOKUP(A484,Panels!$A$1:$E$2104,5,0)</f>
        <v>Lyham Moor</v>
      </c>
    </row>
    <row r="485">
      <c r="A485" s="3">
        <v>75.0</v>
      </c>
      <c r="B485" s="3">
        <v>52.0</v>
      </c>
      <c r="C485" s="3">
        <v>43.0</v>
      </c>
      <c r="D485" t="str">
        <f>VLOOKUP(B485,ERA_MOTIF_TYPES.csv!$A$1:$C$119,2,1)</f>
        <v>Single or multiple cups</v>
      </c>
      <c r="E485" t="str">
        <f>VLOOKUP(A485,Panels!$A$1:$E$2104,5,0)</f>
        <v>Gled Law</v>
      </c>
    </row>
    <row r="486">
      <c r="A486" s="3">
        <v>75.0</v>
      </c>
      <c r="B486" s="3">
        <v>54.0</v>
      </c>
      <c r="C486" s="3">
        <v>1.0</v>
      </c>
      <c r="D486" t="str">
        <f>VLOOKUP(B486,ERA_MOTIF_TYPES.csv!$A$1:$C$119,2,1)</f>
        <v>Rosette</v>
      </c>
      <c r="E486" t="str">
        <f>VLOOKUP(A486,Panels!$A$1:$E$2104,5,0)</f>
        <v>Gled Law</v>
      </c>
    </row>
    <row r="487">
      <c r="A487" s="3">
        <v>75.0</v>
      </c>
      <c r="B487" s="3">
        <v>57.0</v>
      </c>
      <c r="C487" s="3">
        <v>1.0</v>
      </c>
      <c r="D487" t="str">
        <f>VLOOKUP(B487,ERA_MOTIF_TYPES.csv!$A$1:$C$119,2,1)</f>
        <v>Cup and ring</v>
      </c>
      <c r="E487" t="str">
        <f>VLOOKUP(A487,Panels!$A$1:$E$2104,5,0)</f>
        <v>Gled Law</v>
      </c>
    </row>
    <row r="488">
      <c r="A488" s="3">
        <v>75.0</v>
      </c>
      <c r="B488" s="3">
        <v>59.0</v>
      </c>
      <c r="C488" s="3">
        <v>2.0</v>
      </c>
      <c r="D488" t="str">
        <f>VLOOKUP(B488,ERA_MOTIF_TYPES.csv!$A$1:$C$119,2,1)</f>
        <v>Cup and penannular</v>
      </c>
      <c r="E488" t="str">
        <f>VLOOKUP(A488,Panels!$A$1:$E$2104,5,0)</f>
        <v>Gled Law</v>
      </c>
    </row>
    <row r="489">
      <c r="A489" s="3">
        <v>76.0</v>
      </c>
      <c r="B489" s="3">
        <v>1.0</v>
      </c>
      <c r="C489" s="3">
        <v>9.0</v>
      </c>
      <c r="D489" t="str">
        <f>VLOOKUP(B489,ERA_MOTIF_TYPES.csv!$A$1:$C$119,2,1)</f>
        <v>Cups Single</v>
      </c>
      <c r="E489" t="str">
        <f>VLOOKUP(A489,Panels!$A$1:$E$2104,5,0)</f>
        <v>Gled Law</v>
      </c>
    </row>
    <row r="490">
      <c r="A490" s="3">
        <v>76.0</v>
      </c>
      <c r="B490" s="3">
        <v>16.0</v>
      </c>
      <c r="C490" s="3">
        <v>1.0</v>
      </c>
      <c r="D490" t="str">
        <f>VLOOKUP(B490,ERA_MOTIF_TYPES.csv!$A$1:$C$119,2,1)</f>
        <v>Single Arc + cup</v>
      </c>
      <c r="E490" t="str">
        <f>VLOOKUP(A490,Panels!$A$1:$E$2104,5,0)</f>
        <v>Gled Law</v>
      </c>
    </row>
    <row r="491">
      <c r="A491" s="3">
        <v>76.0</v>
      </c>
      <c r="B491" s="3">
        <v>52.0</v>
      </c>
      <c r="C491" s="3">
        <v>14.0</v>
      </c>
      <c r="D491" t="str">
        <f>VLOOKUP(B491,ERA_MOTIF_TYPES.csv!$A$1:$C$119,2,1)</f>
        <v>Single or multiple cups</v>
      </c>
      <c r="E491" t="str">
        <f>VLOOKUP(A491,Panels!$A$1:$E$2104,5,0)</f>
        <v>Gled Law</v>
      </c>
    </row>
    <row r="492">
      <c r="A492" s="3">
        <v>77.0</v>
      </c>
      <c r="B492" s="3">
        <v>1.0</v>
      </c>
      <c r="C492" s="3">
        <v>1.0</v>
      </c>
      <c r="D492" t="str">
        <f>VLOOKUP(B492,ERA_MOTIF_TYPES.csv!$A$1:$C$119,2,1)</f>
        <v>Cups Single</v>
      </c>
      <c r="E492" t="str">
        <f>VLOOKUP(A492,Panels!$A$1:$E$2104,5,0)</f>
        <v>Lyham Moor</v>
      </c>
    </row>
    <row r="493">
      <c r="A493" s="3">
        <v>77.0</v>
      </c>
      <c r="B493" s="3">
        <v>52.0</v>
      </c>
      <c r="C493" s="3">
        <v>2.0</v>
      </c>
      <c r="D493" t="str">
        <f>VLOOKUP(B493,ERA_MOTIF_TYPES.csv!$A$1:$C$119,2,1)</f>
        <v>Single or multiple cups</v>
      </c>
      <c r="E493" t="str">
        <f>VLOOKUP(A493,Panels!$A$1:$E$2104,5,0)</f>
        <v>Lyham Moor</v>
      </c>
    </row>
    <row r="494">
      <c r="A494" s="3">
        <v>77.0</v>
      </c>
      <c r="B494" s="3">
        <v>73.0</v>
      </c>
      <c r="C494" s="3">
        <v>2.0</v>
      </c>
      <c r="D494" t="str">
        <f>VLOOKUP(B494,ERA_MOTIF_TYPES.csv!$A$1:$C$119,2,1)</f>
        <v>Arc</v>
      </c>
      <c r="E494" t="str">
        <f>VLOOKUP(A494,Panels!$A$1:$E$2104,5,0)</f>
        <v>Lyham Moor</v>
      </c>
    </row>
    <row r="495">
      <c r="A495" s="3">
        <v>78.0</v>
      </c>
      <c r="B495" s="3">
        <v>1.0</v>
      </c>
      <c r="C495" s="3">
        <v>3.0</v>
      </c>
      <c r="D495" t="str">
        <f>VLOOKUP(B495,ERA_MOTIF_TYPES.csv!$A$1:$C$119,2,1)</f>
        <v>Cups Single</v>
      </c>
      <c r="E495" t="str">
        <f>VLOOKUP(A495,Panels!$A$1:$E$2104,5,0)</f>
        <v>Buttony</v>
      </c>
    </row>
    <row r="496">
      <c r="A496" s="3">
        <v>78.0</v>
      </c>
      <c r="B496" s="3">
        <v>22.0</v>
      </c>
      <c r="C496" s="3">
        <v>2.0</v>
      </c>
      <c r="D496" t="str">
        <f>VLOOKUP(B496,ERA_MOTIF_TYPES.csv!$A$1:$C$119,2,1)</f>
        <v>Keyhole and cup</v>
      </c>
      <c r="E496" t="str">
        <f>VLOOKUP(A496,Panels!$A$1:$E$2104,5,0)</f>
        <v>Buttony</v>
      </c>
    </row>
    <row r="497">
      <c r="A497" s="3">
        <v>78.0</v>
      </c>
      <c r="B497" s="3">
        <v>33.0</v>
      </c>
      <c r="C497" s="3">
        <v>1.0</v>
      </c>
      <c r="D497" t="str">
        <f>VLOOKUP(B497,ERA_MOTIF_TYPES.csv!$A$1:$C$119,2,1)</f>
        <v>Cup Groove and multi ring</v>
      </c>
      <c r="E497" t="str">
        <f>VLOOKUP(A497,Panels!$A$1:$E$2104,5,0)</f>
        <v>Buttony</v>
      </c>
    </row>
    <row r="498">
      <c r="A498" s="3">
        <v>78.0</v>
      </c>
      <c r="B498" s="3">
        <v>44.0</v>
      </c>
      <c r="C498" s="3">
        <v>1.0</v>
      </c>
      <c r="D498" t="str">
        <f>VLOOKUP(B498,ERA_MOTIF_TYPES.csv!$A$1:$C$119,2,1)</f>
        <v>Rossette</v>
      </c>
      <c r="E498" t="str">
        <f>VLOOKUP(A498,Panels!$A$1:$E$2104,5,0)</f>
        <v>Buttony</v>
      </c>
    </row>
    <row r="499">
      <c r="A499" s="3">
        <v>78.0</v>
      </c>
      <c r="B499" s="3">
        <v>52.0</v>
      </c>
      <c r="C499" s="3">
        <v>15.0</v>
      </c>
      <c r="D499" t="str">
        <f>VLOOKUP(B499,ERA_MOTIF_TYPES.csv!$A$1:$C$119,2,1)</f>
        <v>Single or multiple cups</v>
      </c>
      <c r="E499" t="str">
        <f>VLOOKUP(A499,Panels!$A$1:$E$2104,5,0)</f>
        <v>Buttony</v>
      </c>
    </row>
    <row r="500">
      <c r="A500" s="3">
        <v>78.0</v>
      </c>
      <c r="B500" s="3">
        <v>59.0</v>
      </c>
      <c r="C500" s="3">
        <v>1.0</v>
      </c>
      <c r="D500" t="str">
        <f>VLOOKUP(B500,ERA_MOTIF_TYPES.csv!$A$1:$C$119,2,1)</f>
        <v>Cup and penannular</v>
      </c>
      <c r="E500" t="str">
        <f>VLOOKUP(A500,Panels!$A$1:$E$2104,5,0)</f>
        <v>Buttony</v>
      </c>
    </row>
    <row r="501">
      <c r="A501" s="3">
        <v>78.0</v>
      </c>
      <c r="B501" s="3">
        <v>64.0</v>
      </c>
      <c r="C501" s="3">
        <v>1.0</v>
      </c>
      <c r="D501" t="str">
        <f>VLOOKUP(B501,ERA_MOTIF_TYPES.csv!$A$1:$C$119,2,1)</f>
        <v>Cup with groove cutting through multiple rings</v>
      </c>
      <c r="E501" t="str">
        <f>VLOOKUP(A501,Panels!$A$1:$E$2104,5,0)</f>
        <v>Buttony</v>
      </c>
    </row>
    <row r="502">
      <c r="A502" s="3">
        <v>78.0</v>
      </c>
      <c r="B502" s="3">
        <v>69.0</v>
      </c>
      <c r="C502" s="3">
        <v>1.0</v>
      </c>
      <c r="D502" t="str">
        <f>VLOOKUP(B502,ERA_MOTIF_TYPES.csv!$A$1:$C$119,2,1)</f>
        <v>Ring</v>
      </c>
      <c r="E502" t="str">
        <f>VLOOKUP(A502,Panels!$A$1:$E$2104,5,0)</f>
        <v>Buttony</v>
      </c>
    </row>
    <row r="503">
      <c r="A503" s="3">
        <v>78.0</v>
      </c>
      <c r="B503" s="3">
        <v>70.0</v>
      </c>
      <c r="C503" s="3">
        <v>1.0</v>
      </c>
      <c r="D503" t="str">
        <f>VLOOKUP(B503,ERA_MOTIF_TYPES.csv!$A$1:$C$119,2,1)</f>
        <v>Concentric rings</v>
      </c>
      <c r="E503" t="str">
        <f>VLOOKUP(A503,Panels!$A$1:$E$2104,5,0)</f>
        <v>Buttony</v>
      </c>
    </row>
    <row r="504">
      <c r="A504" s="3">
        <v>78.0</v>
      </c>
      <c r="B504" s="3">
        <v>71.0</v>
      </c>
      <c r="C504" s="3">
        <v>1.0</v>
      </c>
      <c r="D504" t="str">
        <f>VLOOKUP(B504,ERA_MOTIF_TYPES.csv!$A$1:$C$119,2,1)</f>
        <v>Penannular</v>
      </c>
      <c r="E504" t="str">
        <f>VLOOKUP(A504,Panels!$A$1:$E$2104,5,0)</f>
        <v>Buttony</v>
      </c>
    </row>
    <row r="505">
      <c r="A505" s="3">
        <v>78.0</v>
      </c>
      <c r="B505" s="3">
        <v>74.0</v>
      </c>
      <c r="C505" s="3">
        <v>1.0</v>
      </c>
      <c r="D505" t="str">
        <f>VLOOKUP(B505,ERA_MOTIF_TYPES.csv!$A$1:$C$119,2,1)</f>
        <v>Multiple arcs</v>
      </c>
      <c r="E505" t="str">
        <f>VLOOKUP(A505,Panels!$A$1:$E$2104,5,0)</f>
        <v>Buttony</v>
      </c>
    </row>
    <row r="506">
      <c r="A506" s="3">
        <v>78.0</v>
      </c>
      <c r="B506" s="3">
        <v>82.0</v>
      </c>
      <c r="C506" s="3">
        <v>1.0</v>
      </c>
      <c r="D506" t="str">
        <f>VLOOKUP(B506,ERA_MOTIF_TYPES.csv!$A$1:$C$119,2,1)</f>
        <v>Rosette enclosed by a ring</v>
      </c>
      <c r="E506" t="str">
        <f>VLOOKUP(A506,Panels!$A$1:$E$2104,5,0)</f>
        <v>Buttony</v>
      </c>
    </row>
    <row r="507">
      <c r="A507" s="3">
        <v>78.0</v>
      </c>
      <c r="B507" s="3">
        <v>84.0</v>
      </c>
      <c r="C507" s="3">
        <v>1.0</v>
      </c>
      <c r="D507" t="str">
        <f>VLOOKUP(B507,ERA_MOTIF_TYPES.csv!$A$1:$C$119,2,1)</f>
        <v>Oval groove enclosing cups</v>
      </c>
      <c r="E507" t="str">
        <f>VLOOKUP(A507,Panels!$A$1:$E$2104,5,0)</f>
        <v>Buttony</v>
      </c>
    </row>
    <row r="508">
      <c r="A508" s="3">
        <v>78.0</v>
      </c>
      <c r="B508" s="3">
        <v>100.0</v>
      </c>
      <c r="C508" s="3">
        <v>1.0</v>
      </c>
      <c r="D508" t="str">
        <f>VLOOKUP(B508,ERA_MOTIF_TYPES.csv!$A$1:$C$119,2,1)</f>
        <v>Pick marks</v>
      </c>
      <c r="E508" t="str">
        <f>VLOOKUP(A508,Panels!$A$1:$E$2104,5,0)</f>
        <v>Buttony</v>
      </c>
    </row>
    <row r="509">
      <c r="A509" s="3">
        <v>79.0</v>
      </c>
      <c r="B509" s="3">
        <v>1.0</v>
      </c>
      <c r="C509" s="3">
        <v>9.0</v>
      </c>
      <c r="D509" t="str">
        <f>VLOOKUP(B509,ERA_MOTIF_TYPES.csv!$A$1:$C$119,2,1)</f>
        <v>Cups Single</v>
      </c>
      <c r="E509" t="str">
        <f>VLOOKUP(A509,Panels!$A$1:$E$2104,5,0)</f>
        <v>Buttony</v>
      </c>
    </row>
    <row r="510">
      <c r="A510" s="3">
        <v>79.0</v>
      </c>
      <c r="B510" s="3">
        <v>2.0</v>
      </c>
      <c r="C510" s="3">
        <v>1.0</v>
      </c>
      <c r="D510" t="str">
        <f>VLOOKUP(B510,ERA_MOTIF_TYPES.csv!$A$1:$C$119,2,1)</f>
        <v>Random Cluster</v>
      </c>
      <c r="E510" t="str">
        <f>VLOOKUP(A510,Panels!$A$1:$E$2104,5,0)</f>
        <v>Buttony</v>
      </c>
    </row>
    <row r="511">
      <c r="A511" s="3">
        <v>79.0</v>
      </c>
      <c r="B511" s="3">
        <v>13.0</v>
      </c>
      <c r="C511" s="3">
        <v>2.0</v>
      </c>
      <c r="D511" t="str">
        <f>VLOOKUP(B511,ERA_MOTIF_TYPES.csv!$A$1:$C$119,2,1)</f>
        <v>Single Ring + cup</v>
      </c>
      <c r="E511" t="str">
        <f>VLOOKUP(A511,Panels!$A$1:$E$2104,5,0)</f>
        <v>Buttony</v>
      </c>
    </row>
    <row r="512">
      <c r="A512" s="3">
        <v>79.0</v>
      </c>
      <c r="B512" s="3">
        <v>31.0</v>
      </c>
      <c r="C512" s="3">
        <v>1.0</v>
      </c>
      <c r="D512" t="str">
        <f>VLOOKUP(B512,ERA_MOTIF_TYPES.csv!$A$1:$C$119,2,1)</f>
        <v>Cup and Groove</v>
      </c>
      <c r="E512" t="str">
        <f>VLOOKUP(A512,Panels!$A$1:$E$2104,5,0)</f>
        <v>Buttony</v>
      </c>
    </row>
    <row r="513">
      <c r="A513" s="3">
        <v>79.0</v>
      </c>
      <c r="B513" s="3">
        <v>33.0</v>
      </c>
      <c r="C513" s="3">
        <v>1.0</v>
      </c>
      <c r="D513" t="str">
        <f>VLOOKUP(B513,ERA_MOTIF_TYPES.csv!$A$1:$C$119,2,1)</f>
        <v>Cup Groove and multi ring</v>
      </c>
      <c r="E513" t="str">
        <f>VLOOKUP(A513,Panels!$A$1:$E$2104,5,0)</f>
        <v>Buttony</v>
      </c>
    </row>
    <row r="514">
      <c r="A514" s="3">
        <v>79.0</v>
      </c>
      <c r="B514" s="3">
        <v>45.0</v>
      </c>
      <c r="C514" s="3">
        <v>1.0</v>
      </c>
      <c r="D514" t="str">
        <f>VLOOKUP(B514,ERA_MOTIF_TYPES.csv!$A$1:$C$119,2,1)</f>
        <v>Rossette and Groove</v>
      </c>
      <c r="E514" t="str">
        <f>VLOOKUP(A514,Panels!$A$1:$E$2104,5,0)</f>
        <v>Buttony</v>
      </c>
    </row>
    <row r="515">
      <c r="A515" s="3">
        <v>79.0</v>
      </c>
      <c r="B515" s="3">
        <v>52.0</v>
      </c>
      <c r="C515" s="3">
        <v>24.0</v>
      </c>
      <c r="D515" t="str">
        <f>VLOOKUP(B515,ERA_MOTIF_TYPES.csv!$A$1:$C$119,2,1)</f>
        <v>Single or multiple cups</v>
      </c>
      <c r="E515" t="str">
        <f>VLOOKUP(A515,Panels!$A$1:$E$2104,5,0)</f>
        <v>Buttony</v>
      </c>
    </row>
    <row r="516">
      <c r="A516" s="3">
        <v>79.0</v>
      </c>
      <c r="B516" s="3">
        <v>59.0</v>
      </c>
      <c r="C516" s="3">
        <v>2.0</v>
      </c>
      <c r="D516" t="str">
        <f>VLOOKUP(B516,ERA_MOTIF_TYPES.csv!$A$1:$C$119,2,1)</f>
        <v>Cup and penannular</v>
      </c>
      <c r="E516" t="str">
        <f>VLOOKUP(A516,Panels!$A$1:$E$2104,5,0)</f>
        <v>Buttony</v>
      </c>
    </row>
    <row r="517">
      <c r="A517" s="3">
        <v>79.0</v>
      </c>
      <c r="B517" s="3">
        <v>70.0</v>
      </c>
      <c r="C517" s="3">
        <v>1.0</v>
      </c>
      <c r="D517" t="str">
        <f>VLOOKUP(B517,ERA_MOTIF_TYPES.csv!$A$1:$C$119,2,1)</f>
        <v>Concentric rings</v>
      </c>
      <c r="E517" t="str">
        <f>VLOOKUP(A517,Panels!$A$1:$E$2104,5,0)</f>
        <v>Buttony</v>
      </c>
    </row>
    <row r="518">
      <c r="A518" s="3">
        <v>79.0</v>
      </c>
      <c r="B518" s="3">
        <v>74.0</v>
      </c>
      <c r="C518" s="3">
        <v>1.0</v>
      </c>
      <c r="D518" t="str">
        <f>VLOOKUP(B518,ERA_MOTIF_TYPES.csv!$A$1:$C$119,2,1)</f>
        <v>Multiple arcs</v>
      </c>
      <c r="E518" t="str">
        <f>VLOOKUP(A518,Panels!$A$1:$E$2104,5,0)</f>
        <v>Buttony</v>
      </c>
    </row>
    <row r="519">
      <c r="A519" s="3">
        <v>79.0</v>
      </c>
      <c r="B519" s="3">
        <v>82.0</v>
      </c>
      <c r="C519" s="3">
        <v>1.0</v>
      </c>
      <c r="D519" t="str">
        <f>VLOOKUP(B519,ERA_MOTIF_TYPES.csv!$A$1:$C$119,2,1)</f>
        <v>Rosette enclosed by a ring</v>
      </c>
      <c r="E519" t="str">
        <f>VLOOKUP(A519,Panels!$A$1:$E$2104,5,0)</f>
        <v>Buttony</v>
      </c>
    </row>
    <row r="520">
      <c r="A520" s="3">
        <v>79.0</v>
      </c>
      <c r="B520" s="3">
        <v>87.0</v>
      </c>
      <c r="C520" s="3">
        <v>1.0</v>
      </c>
      <c r="D520" t="str">
        <f>VLOOKUP(B520,ERA_MOTIF_TYPES.csv!$A$1:$C$119,2,1)</f>
        <v>Linear and angular groove</v>
      </c>
      <c r="E520" t="str">
        <f>VLOOKUP(A520,Panels!$A$1:$E$2104,5,0)</f>
        <v>Buttony</v>
      </c>
    </row>
    <row r="521">
      <c r="A521" s="3">
        <v>79.0</v>
      </c>
      <c r="B521" s="3">
        <v>95.0</v>
      </c>
      <c r="C521" s="3">
        <v>2.0</v>
      </c>
      <c r="D521" t="str">
        <f>VLOOKUP(B521,ERA_MOTIF_TYPES.csv!$A$1:$C$119,2,1)</f>
        <v>Three parallel grooves</v>
      </c>
      <c r="E521" t="str">
        <f>VLOOKUP(A521,Panels!$A$1:$E$2104,5,0)</f>
        <v>Buttony</v>
      </c>
    </row>
    <row r="522">
      <c r="A522" s="3">
        <v>79.0</v>
      </c>
      <c r="B522" s="3">
        <v>100.0</v>
      </c>
      <c r="C522" s="3">
        <v>1.0</v>
      </c>
      <c r="D522" t="str">
        <f>VLOOKUP(B522,ERA_MOTIF_TYPES.csv!$A$1:$C$119,2,1)</f>
        <v>Pick marks</v>
      </c>
      <c r="E522" t="str">
        <f>VLOOKUP(A522,Panels!$A$1:$E$2104,5,0)</f>
        <v>Buttony</v>
      </c>
    </row>
    <row r="523">
      <c r="A523" s="3">
        <v>79.0</v>
      </c>
      <c r="B523" s="3">
        <v>110.0</v>
      </c>
      <c r="C523" s="3">
        <v>1.0</v>
      </c>
      <c r="D523" t="str">
        <f>VLOOKUP(B523,ERA_MOTIF_TYPES.csv!$A$1:$C$119,2,1)</f>
        <v>Curved groove</v>
      </c>
      <c r="E523" t="str">
        <f>VLOOKUP(A523,Panels!$A$1:$E$2104,5,0)</f>
        <v>Buttony</v>
      </c>
    </row>
    <row r="524">
      <c r="A524" s="3">
        <v>79.0</v>
      </c>
      <c r="B524" s="3">
        <v>115.0</v>
      </c>
      <c r="C524" s="3">
        <v>1.0</v>
      </c>
      <c r="D524" t="str">
        <f>VLOOKUP(B524,ERA_MOTIF_TYPES.csv!$A$1:$C$119,2,1)</f>
        <v>Square groove</v>
      </c>
      <c r="E524" t="str">
        <f>VLOOKUP(A524,Panels!$A$1:$E$2104,5,0)</f>
        <v>Buttony</v>
      </c>
    </row>
    <row r="525">
      <c r="A525" s="3">
        <v>80.0</v>
      </c>
      <c r="B525" s="3">
        <v>1.0</v>
      </c>
      <c r="C525" s="3">
        <v>4.0</v>
      </c>
      <c r="D525" t="str">
        <f>VLOOKUP(B525,ERA_MOTIF_TYPES.csv!$A$1:$C$119,2,1)</f>
        <v>Cups Single</v>
      </c>
      <c r="E525" t="str">
        <f>VLOOKUP(A525,Panels!$A$1:$E$2104,5,0)</f>
        <v>Buttony</v>
      </c>
    </row>
    <row r="526">
      <c r="A526" s="3">
        <v>80.0</v>
      </c>
      <c r="B526" s="3">
        <v>2.0</v>
      </c>
      <c r="C526" s="3">
        <v>1.0</v>
      </c>
      <c r="D526" t="str">
        <f>VLOOKUP(B526,ERA_MOTIF_TYPES.csv!$A$1:$C$119,2,1)</f>
        <v>Random Cluster</v>
      </c>
      <c r="E526" t="str">
        <f>VLOOKUP(A526,Panels!$A$1:$E$2104,5,0)</f>
        <v>Buttony</v>
      </c>
    </row>
    <row r="527">
      <c r="A527" s="3">
        <v>80.0</v>
      </c>
      <c r="B527" s="3">
        <v>3.0</v>
      </c>
      <c r="C527" s="3">
        <v>1.0</v>
      </c>
      <c r="D527" t="str">
        <f>VLOOKUP(B527,ERA_MOTIF_TYPES.csv!$A$1:$C$119,2,1)</f>
        <v>Parallel Domino</v>
      </c>
      <c r="E527" t="str">
        <f>VLOOKUP(A527,Panels!$A$1:$E$2104,5,0)</f>
        <v>Buttony</v>
      </c>
    </row>
    <row r="528">
      <c r="A528" s="3">
        <v>80.0</v>
      </c>
      <c r="B528" s="3">
        <v>33.0</v>
      </c>
      <c r="C528" s="3">
        <v>2.0</v>
      </c>
      <c r="D528" t="str">
        <f>VLOOKUP(B528,ERA_MOTIF_TYPES.csv!$A$1:$C$119,2,1)</f>
        <v>Cup Groove and multi ring</v>
      </c>
      <c r="E528" t="str">
        <f>VLOOKUP(A528,Panels!$A$1:$E$2104,5,0)</f>
        <v>Buttony</v>
      </c>
    </row>
    <row r="529">
      <c r="A529" s="3">
        <v>80.0</v>
      </c>
      <c r="B529" s="3">
        <v>52.0</v>
      </c>
      <c r="C529" s="3">
        <v>4.0</v>
      </c>
      <c r="D529" t="str">
        <f>VLOOKUP(B529,ERA_MOTIF_TYPES.csv!$A$1:$C$119,2,1)</f>
        <v>Single or multiple cups</v>
      </c>
      <c r="E529" t="str">
        <f>VLOOKUP(A529,Panels!$A$1:$E$2104,5,0)</f>
        <v>Buttony</v>
      </c>
    </row>
    <row r="530">
      <c r="A530" s="3">
        <v>80.0</v>
      </c>
      <c r="B530" s="3">
        <v>53.0</v>
      </c>
      <c r="C530" s="3">
        <v>1.0</v>
      </c>
      <c r="D530" t="str">
        <f>VLOOKUP(B530,ERA_MOTIF_TYPES.csv!$A$1:$C$119,2,1)</f>
        <v>Domino patterns and parallel lines</v>
      </c>
      <c r="E530" t="str">
        <f>VLOOKUP(A530,Panels!$A$1:$E$2104,5,0)</f>
        <v>Buttony</v>
      </c>
    </row>
    <row r="531">
      <c r="A531" s="3">
        <v>80.0</v>
      </c>
      <c r="B531" s="3">
        <v>64.0</v>
      </c>
      <c r="C531" s="3">
        <v>2.0</v>
      </c>
      <c r="D531" t="str">
        <f>VLOOKUP(B531,ERA_MOTIF_TYPES.csv!$A$1:$C$119,2,1)</f>
        <v>Cup with groove cutting through multiple rings</v>
      </c>
      <c r="E531" t="str">
        <f>VLOOKUP(A531,Panels!$A$1:$E$2104,5,0)</f>
        <v>Buttony</v>
      </c>
    </row>
    <row r="532">
      <c r="A532" s="3">
        <v>80.0</v>
      </c>
      <c r="B532" s="3">
        <v>84.0</v>
      </c>
      <c r="C532" s="3">
        <v>1.0</v>
      </c>
      <c r="D532" t="str">
        <f>VLOOKUP(B532,ERA_MOTIF_TYPES.csv!$A$1:$C$119,2,1)</f>
        <v>Oval groove enclosing cups</v>
      </c>
      <c r="E532" t="str">
        <f>VLOOKUP(A532,Panels!$A$1:$E$2104,5,0)</f>
        <v>Buttony</v>
      </c>
    </row>
    <row r="533">
      <c r="A533" s="3">
        <v>81.0</v>
      </c>
      <c r="B533" s="3">
        <v>1.0</v>
      </c>
      <c r="C533" s="3">
        <v>1.0</v>
      </c>
      <c r="D533" t="str">
        <f>VLOOKUP(B533,ERA_MOTIF_TYPES.csv!$A$1:$C$119,2,1)</f>
        <v>Cups Single</v>
      </c>
      <c r="E533" t="str">
        <f>VLOOKUP(A533,Panels!$A$1:$E$2104,5,0)</f>
        <v>Lyham Moor</v>
      </c>
    </row>
    <row r="534">
      <c r="A534" s="3">
        <v>81.0</v>
      </c>
      <c r="B534" s="3">
        <v>19.0</v>
      </c>
      <c r="C534" s="3">
        <v>1.0</v>
      </c>
      <c r="D534" t="str">
        <f>VLOOKUP(B534,ERA_MOTIF_TYPES.csv!$A$1:$C$119,2,1)</f>
        <v>Keyhole</v>
      </c>
      <c r="E534" t="str">
        <f>VLOOKUP(A534,Panels!$A$1:$E$2104,5,0)</f>
        <v>Lyham Moor</v>
      </c>
    </row>
    <row r="535">
      <c r="A535" s="3">
        <v>81.0</v>
      </c>
      <c r="B535" s="3">
        <v>21.0</v>
      </c>
      <c r="C535" s="3">
        <v>1.0</v>
      </c>
      <c r="D535" t="str">
        <f>VLOOKUP(B535,ERA_MOTIF_TYPES.csv!$A$1:$C$119,2,1)</f>
        <v>Keyhole cup and groove</v>
      </c>
      <c r="E535" t="str">
        <f>VLOOKUP(A535,Panels!$A$1:$E$2104,5,0)</f>
        <v>Lyham Moor</v>
      </c>
    </row>
    <row r="536">
      <c r="A536" s="3">
        <v>81.0</v>
      </c>
      <c r="B536" s="3">
        <v>52.0</v>
      </c>
      <c r="C536" s="3">
        <v>3.0</v>
      </c>
      <c r="D536" t="str">
        <f>VLOOKUP(B536,ERA_MOTIF_TYPES.csv!$A$1:$C$119,2,1)</f>
        <v>Single or multiple cups</v>
      </c>
      <c r="E536" t="str">
        <f>VLOOKUP(A536,Panels!$A$1:$E$2104,5,0)</f>
        <v>Lyham Moor</v>
      </c>
    </row>
    <row r="537">
      <c r="A537" s="3">
        <v>81.0</v>
      </c>
      <c r="B537" s="3">
        <v>73.0</v>
      </c>
      <c r="C537" s="3">
        <v>1.0</v>
      </c>
      <c r="D537" t="str">
        <f>VLOOKUP(B537,ERA_MOTIF_TYPES.csv!$A$1:$C$119,2,1)</f>
        <v>Arc</v>
      </c>
      <c r="E537" t="str">
        <f>VLOOKUP(A537,Panels!$A$1:$E$2104,5,0)</f>
        <v>Lyham Moor</v>
      </c>
    </row>
    <row r="538">
      <c r="A538" s="3">
        <v>81.0</v>
      </c>
      <c r="B538" s="3">
        <v>80.0</v>
      </c>
      <c r="C538" s="3">
        <v>2.0</v>
      </c>
      <c r="D538" t="str">
        <f>VLOOKUP(B538,ERA_MOTIF_TYPES.csv!$A$1:$C$119,2,1)</f>
        <v>Cup and keyhole</v>
      </c>
      <c r="E538" t="str">
        <f>VLOOKUP(A538,Panels!$A$1:$E$2104,5,0)</f>
        <v>Lyham Moor</v>
      </c>
    </row>
    <row r="539">
      <c r="A539" s="3">
        <v>81.0</v>
      </c>
      <c r="B539" s="3">
        <v>87.0</v>
      </c>
      <c r="C539" s="3">
        <v>4.0</v>
      </c>
      <c r="D539" t="str">
        <f>VLOOKUP(B539,ERA_MOTIF_TYPES.csv!$A$1:$C$119,2,1)</f>
        <v>Linear and angular groove</v>
      </c>
      <c r="E539" t="str">
        <f>VLOOKUP(A539,Panels!$A$1:$E$2104,5,0)</f>
        <v>Lyham Moor</v>
      </c>
    </row>
    <row r="540">
      <c r="A540" s="3">
        <v>81.0</v>
      </c>
      <c r="B540" s="3">
        <v>90.0</v>
      </c>
      <c r="C540" s="3">
        <v>2.0</v>
      </c>
      <c r="D540" t="str">
        <f>VLOOKUP(B540,ERA_MOTIF_TYPES.csv!$A$1:$C$119,2,1)</f>
        <v>Serpentine groove</v>
      </c>
      <c r="E540" t="str">
        <f>VLOOKUP(A540,Panels!$A$1:$E$2104,5,0)</f>
        <v>Lyham Moor</v>
      </c>
    </row>
    <row r="541">
      <c r="A541" s="3">
        <v>81.0</v>
      </c>
      <c r="B541" s="3">
        <v>100.0</v>
      </c>
      <c r="C541" s="3">
        <v>1.0</v>
      </c>
      <c r="D541" t="str">
        <f>VLOOKUP(B541,ERA_MOTIF_TYPES.csv!$A$1:$C$119,2,1)</f>
        <v>Pick marks</v>
      </c>
      <c r="E541" t="str">
        <f>VLOOKUP(A541,Panels!$A$1:$E$2104,5,0)</f>
        <v>Lyham Moor</v>
      </c>
    </row>
    <row r="542">
      <c r="A542" s="3">
        <v>81.0</v>
      </c>
      <c r="B542" s="3">
        <v>108.0</v>
      </c>
      <c r="C542" s="3">
        <v>1.0</v>
      </c>
      <c r="D542" t="str">
        <f>VLOOKUP(B542,ERA_MOTIF_TYPES.csv!$A$1:$C$119,2,1)</f>
        <v>Cup and ring with interior groove</v>
      </c>
      <c r="E542" t="str">
        <f>VLOOKUP(A542,Panels!$A$1:$E$2104,5,0)</f>
        <v>Lyham Moor</v>
      </c>
    </row>
    <row r="543">
      <c r="A543" s="3">
        <v>82.0</v>
      </c>
      <c r="B543" s="3">
        <v>1.0</v>
      </c>
      <c r="C543" s="3">
        <v>5.0</v>
      </c>
      <c r="D543" t="str">
        <f>VLOOKUP(B543,ERA_MOTIF_TYPES.csv!$A$1:$C$119,2,1)</f>
        <v>Cups Single</v>
      </c>
      <c r="E543" t="str">
        <f>VLOOKUP(A543,Panels!$A$1:$E$2104,5,0)</f>
        <v>Buttony</v>
      </c>
    </row>
    <row r="544">
      <c r="A544" s="3">
        <v>82.0</v>
      </c>
      <c r="B544" s="3">
        <v>4.0</v>
      </c>
      <c r="C544" s="3">
        <v>1.0</v>
      </c>
      <c r="D544" t="str">
        <f>VLOOKUP(B544,ERA_MOTIF_TYPES.csv!$A$1:$C$119,2,1)</f>
        <v>Counter-sunk</v>
      </c>
      <c r="E544" t="str">
        <f>VLOOKUP(A544,Panels!$A$1:$E$2104,5,0)</f>
        <v>Buttony</v>
      </c>
    </row>
    <row r="545">
      <c r="A545" s="3">
        <v>82.0</v>
      </c>
      <c r="B545" s="3">
        <v>13.0</v>
      </c>
      <c r="C545" s="3">
        <v>1.0</v>
      </c>
      <c r="D545" t="str">
        <f>VLOOKUP(B545,ERA_MOTIF_TYPES.csv!$A$1:$C$119,2,1)</f>
        <v>Single Ring + cup</v>
      </c>
      <c r="E545" t="str">
        <f>VLOOKUP(A545,Panels!$A$1:$E$2104,5,0)</f>
        <v>Buttony</v>
      </c>
    </row>
    <row r="546">
      <c r="A546" s="3">
        <v>82.0</v>
      </c>
      <c r="B546" s="3">
        <v>17.0</v>
      </c>
      <c r="C546" s="3">
        <v>2.0</v>
      </c>
      <c r="D546" t="str">
        <f>VLOOKUP(B546,ERA_MOTIF_TYPES.csv!$A$1:$C$119,2,1)</f>
        <v>Single Penannular + cup</v>
      </c>
      <c r="E546" t="str">
        <f>VLOOKUP(A546,Panels!$A$1:$E$2104,5,0)</f>
        <v>Buttony</v>
      </c>
    </row>
    <row r="547">
      <c r="A547" s="3">
        <v>82.0</v>
      </c>
      <c r="B547" s="3">
        <v>31.0</v>
      </c>
      <c r="C547" s="3">
        <v>1.0</v>
      </c>
      <c r="D547" t="str">
        <f>VLOOKUP(B547,ERA_MOTIF_TYPES.csv!$A$1:$C$119,2,1)</f>
        <v>Cup and Groove</v>
      </c>
      <c r="E547" t="str">
        <f>VLOOKUP(A547,Panels!$A$1:$E$2104,5,0)</f>
        <v>Buttony</v>
      </c>
    </row>
    <row r="548">
      <c r="A548" s="3">
        <v>82.0</v>
      </c>
      <c r="B548" s="3">
        <v>33.0</v>
      </c>
      <c r="C548" s="3">
        <v>1.0</v>
      </c>
      <c r="D548" t="str">
        <f>VLOOKUP(B548,ERA_MOTIF_TYPES.csv!$A$1:$C$119,2,1)</f>
        <v>Cup Groove and multi ring</v>
      </c>
      <c r="E548" t="str">
        <f>VLOOKUP(A548,Panels!$A$1:$E$2104,5,0)</f>
        <v>Buttony</v>
      </c>
    </row>
    <row r="549">
      <c r="A549" s="3">
        <v>82.0</v>
      </c>
      <c r="B549" s="3">
        <v>35.0</v>
      </c>
      <c r="C549" s="3">
        <v>1.0</v>
      </c>
      <c r="D549" t="str">
        <f>VLOOKUP(B549,ERA_MOTIF_TYPES.csv!$A$1:$C$119,2,1)</f>
        <v>Cup Groove and multi penannular</v>
      </c>
      <c r="E549" t="str">
        <f>VLOOKUP(A549,Panels!$A$1:$E$2104,5,0)</f>
        <v>Buttony</v>
      </c>
    </row>
    <row r="550">
      <c r="A550" s="3">
        <v>82.0</v>
      </c>
      <c r="B550" s="3">
        <v>36.0</v>
      </c>
      <c r="C550" s="3">
        <v>1.0</v>
      </c>
      <c r="D550" t="str">
        <f>VLOOKUP(B550,ERA_MOTIF_TYPES.csv!$A$1:$C$119,2,1)</f>
        <v>Cup Groove and arc</v>
      </c>
      <c r="E550" t="str">
        <f>VLOOKUP(A550,Panels!$A$1:$E$2104,5,0)</f>
        <v>Buttony</v>
      </c>
    </row>
    <row r="551">
      <c r="A551" s="3">
        <v>82.0</v>
      </c>
      <c r="B551" s="3">
        <v>52.0</v>
      </c>
      <c r="C551" s="3">
        <v>2.0</v>
      </c>
      <c r="D551" t="str">
        <f>VLOOKUP(B551,ERA_MOTIF_TYPES.csv!$A$1:$C$119,2,1)</f>
        <v>Single or multiple cups</v>
      </c>
      <c r="E551" t="str">
        <f>VLOOKUP(A551,Panels!$A$1:$E$2104,5,0)</f>
        <v>Buttony</v>
      </c>
    </row>
    <row r="552">
      <c r="A552" s="3">
        <v>82.0</v>
      </c>
      <c r="B552" s="3">
        <v>58.0</v>
      </c>
      <c r="C552" s="3">
        <v>1.0</v>
      </c>
      <c r="D552" t="str">
        <f>VLOOKUP(B552,ERA_MOTIF_TYPES.csv!$A$1:$C$119,2,1)</f>
        <v>Cup and multiple rings</v>
      </c>
      <c r="E552" t="str">
        <f>VLOOKUP(A552,Panels!$A$1:$E$2104,5,0)</f>
        <v>Buttony</v>
      </c>
    </row>
    <row r="553">
      <c r="A553" s="3">
        <v>82.0</v>
      </c>
      <c r="B553" s="3">
        <v>59.0</v>
      </c>
      <c r="C553" s="3">
        <v>2.0</v>
      </c>
      <c r="D553" t="str">
        <f>VLOOKUP(B553,ERA_MOTIF_TYPES.csv!$A$1:$C$119,2,1)</f>
        <v>Cup and penannular</v>
      </c>
      <c r="E553" t="str">
        <f>VLOOKUP(A553,Panels!$A$1:$E$2104,5,0)</f>
        <v>Buttony</v>
      </c>
    </row>
    <row r="554">
      <c r="A554" s="3">
        <v>82.0</v>
      </c>
      <c r="B554" s="3">
        <v>65.0</v>
      </c>
      <c r="C554" s="3">
        <v>1.0</v>
      </c>
      <c r="D554" t="str">
        <f>VLOOKUP(B554,ERA_MOTIF_TYPES.csv!$A$1:$C$119,2,1)</f>
        <v>Cup and groove with penannular</v>
      </c>
      <c r="E554" t="str">
        <f>VLOOKUP(A554,Panels!$A$1:$E$2104,5,0)</f>
        <v>Buttony</v>
      </c>
    </row>
    <row r="555">
      <c r="A555" s="3">
        <v>82.0</v>
      </c>
      <c r="B555" s="3">
        <v>67.0</v>
      </c>
      <c r="C555" s="3">
        <v>3.0</v>
      </c>
      <c r="D555" t="str">
        <f>VLOOKUP(B555,ERA_MOTIF_TYPES.csv!$A$1:$C$119,2,1)</f>
        <v>Cup and groove with arc</v>
      </c>
      <c r="E555" t="str">
        <f>VLOOKUP(A555,Panels!$A$1:$E$2104,5,0)</f>
        <v>Buttony</v>
      </c>
    </row>
    <row r="556">
      <c r="A556" s="3">
        <v>82.0</v>
      </c>
      <c r="B556" s="3">
        <v>71.0</v>
      </c>
      <c r="C556" s="3">
        <v>1.0</v>
      </c>
      <c r="D556" t="str">
        <f>VLOOKUP(B556,ERA_MOTIF_TYPES.csv!$A$1:$C$119,2,1)</f>
        <v>Penannular</v>
      </c>
      <c r="E556" t="str">
        <f>VLOOKUP(A556,Panels!$A$1:$E$2104,5,0)</f>
        <v>Buttony</v>
      </c>
    </row>
    <row r="557">
      <c r="A557" s="3">
        <v>82.0</v>
      </c>
      <c r="B557" s="3">
        <v>73.0</v>
      </c>
      <c r="C557" s="3">
        <v>1.0</v>
      </c>
      <c r="D557" t="str">
        <f>VLOOKUP(B557,ERA_MOTIF_TYPES.csv!$A$1:$C$119,2,1)</f>
        <v>Arc</v>
      </c>
      <c r="E557" t="str">
        <f>VLOOKUP(A557,Panels!$A$1:$E$2104,5,0)</f>
        <v>Buttony</v>
      </c>
    </row>
    <row r="558">
      <c r="A558" s="3">
        <v>82.0</v>
      </c>
      <c r="B558" s="3">
        <v>87.0</v>
      </c>
      <c r="C558" s="3">
        <v>3.0</v>
      </c>
      <c r="D558" t="str">
        <f>VLOOKUP(B558,ERA_MOTIF_TYPES.csv!$A$1:$C$119,2,1)</f>
        <v>Linear and angular groove</v>
      </c>
      <c r="E558" t="str">
        <f>VLOOKUP(A558,Panels!$A$1:$E$2104,5,0)</f>
        <v>Buttony</v>
      </c>
    </row>
    <row r="559">
      <c r="A559" s="3">
        <v>83.0</v>
      </c>
      <c r="B559" s="3">
        <v>33.0</v>
      </c>
      <c r="C559" s="3">
        <v>1.0</v>
      </c>
      <c r="D559" t="str">
        <f>VLOOKUP(B559,ERA_MOTIF_TYPES.csv!$A$1:$C$119,2,1)</f>
        <v>Cup Groove and multi ring</v>
      </c>
      <c r="E559" t="str">
        <f>VLOOKUP(A559,Panels!$A$1:$E$2104,5,0)</f>
        <v>Buttony</v>
      </c>
    </row>
    <row r="560">
      <c r="A560" s="3">
        <v>83.0</v>
      </c>
      <c r="B560" s="3">
        <v>66.0</v>
      </c>
      <c r="C560" s="3">
        <v>1.0</v>
      </c>
      <c r="D560" t="str">
        <f>VLOOKUP(B560,ERA_MOTIF_TYPES.csv!$A$1:$C$119,2,1)</f>
        <v>Cup and groove with multiple penannulars</v>
      </c>
      <c r="E560" t="str">
        <f>VLOOKUP(A560,Panels!$A$1:$E$2104,5,0)</f>
        <v>Buttony</v>
      </c>
    </row>
    <row r="561">
      <c r="A561" s="3">
        <v>84.0</v>
      </c>
      <c r="B561" s="3">
        <v>33.0</v>
      </c>
      <c r="C561" s="3">
        <v>4.0</v>
      </c>
      <c r="D561" t="str">
        <f>VLOOKUP(B561,ERA_MOTIF_TYPES.csv!$A$1:$C$119,2,1)</f>
        <v>Cup Groove and multi ring</v>
      </c>
      <c r="E561" t="str">
        <f>VLOOKUP(A561,Panels!$A$1:$E$2104,5,0)</f>
        <v>Buttony</v>
      </c>
    </row>
    <row r="562">
      <c r="A562" s="3">
        <v>84.0</v>
      </c>
      <c r="B562" s="3">
        <v>57.0</v>
      </c>
      <c r="C562" s="3">
        <v>1.0</v>
      </c>
      <c r="D562" t="str">
        <f>VLOOKUP(B562,ERA_MOTIF_TYPES.csv!$A$1:$C$119,2,1)</f>
        <v>Cup and ring</v>
      </c>
      <c r="E562" t="str">
        <f>VLOOKUP(A562,Panels!$A$1:$E$2104,5,0)</f>
        <v>Buttony</v>
      </c>
    </row>
    <row r="563">
      <c r="A563" s="3">
        <v>84.0</v>
      </c>
      <c r="B563" s="3">
        <v>66.0</v>
      </c>
      <c r="C563" s="3">
        <v>2.0</v>
      </c>
      <c r="D563" t="str">
        <f>VLOOKUP(B563,ERA_MOTIF_TYPES.csv!$A$1:$C$119,2,1)</f>
        <v>Cup and groove with multiple penannulars</v>
      </c>
      <c r="E563" t="str">
        <f>VLOOKUP(A563,Panels!$A$1:$E$2104,5,0)</f>
        <v>Buttony</v>
      </c>
    </row>
    <row r="564">
      <c r="A564" s="3">
        <v>84.0</v>
      </c>
      <c r="B564" s="3">
        <v>71.0</v>
      </c>
      <c r="C564" s="3">
        <v>2.0</v>
      </c>
      <c r="D564" t="str">
        <f>VLOOKUP(B564,ERA_MOTIF_TYPES.csv!$A$1:$C$119,2,1)</f>
        <v>Penannular</v>
      </c>
      <c r="E564" t="str">
        <f>VLOOKUP(A564,Panels!$A$1:$E$2104,5,0)</f>
        <v>Buttony</v>
      </c>
    </row>
    <row r="565">
      <c r="A565" s="3">
        <v>84.0</v>
      </c>
      <c r="B565" s="3">
        <v>73.0</v>
      </c>
      <c r="C565" s="3">
        <v>3.0</v>
      </c>
      <c r="D565" t="str">
        <f>VLOOKUP(B565,ERA_MOTIF_TYPES.csv!$A$1:$C$119,2,1)</f>
        <v>Arc</v>
      </c>
      <c r="E565" t="str">
        <f>VLOOKUP(A565,Panels!$A$1:$E$2104,5,0)</f>
        <v>Buttony</v>
      </c>
    </row>
    <row r="566">
      <c r="A566" s="3">
        <v>84.0</v>
      </c>
      <c r="B566" s="3">
        <v>110.0</v>
      </c>
      <c r="C566" s="3">
        <v>3.0</v>
      </c>
      <c r="D566" t="str">
        <f>VLOOKUP(B566,ERA_MOTIF_TYPES.csv!$A$1:$C$119,2,1)</f>
        <v>Curved groove</v>
      </c>
      <c r="E566" t="str">
        <f>VLOOKUP(A566,Panels!$A$1:$E$2104,5,0)</f>
        <v>Buttony</v>
      </c>
    </row>
    <row r="567">
      <c r="A567" s="3">
        <v>85.0</v>
      </c>
      <c r="B567" s="3">
        <v>66.0</v>
      </c>
      <c r="C567" s="3">
        <v>1.0</v>
      </c>
      <c r="D567" t="str">
        <f>VLOOKUP(B567,ERA_MOTIF_TYPES.csv!$A$1:$C$119,2,1)</f>
        <v>Cup and groove with multiple penannulars</v>
      </c>
      <c r="E567" t="str">
        <f>VLOOKUP(A567,Panels!$A$1:$E$2104,5,0)</f>
        <v>Buttony</v>
      </c>
    </row>
    <row r="568">
      <c r="A568" s="3">
        <v>86.0</v>
      </c>
      <c r="B568" s="3">
        <v>1.0</v>
      </c>
      <c r="C568" s="3">
        <v>1.0</v>
      </c>
      <c r="D568" t="str">
        <f>VLOOKUP(B568,ERA_MOTIF_TYPES.csv!$A$1:$C$119,2,1)</f>
        <v>Cups Single</v>
      </c>
      <c r="E568" t="str">
        <f>VLOOKUP(A568,Panels!$A$1:$E$2104,5,0)</f>
        <v>Lyham Moor</v>
      </c>
    </row>
    <row r="569">
      <c r="A569" s="3">
        <v>86.0</v>
      </c>
      <c r="B569" s="3">
        <v>52.0</v>
      </c>
      <c r="C569" s="3">
        <v>1.0</v>
      </c>
      <c r="D569" t="str">
        <f>VLOOKUP(B569,ERA_MOTIF_TYPES.csv!$A$1:$C$119,2,1)</f>
        <v>Single or multiple cups</v>
      </c>
      <c r="E569" t="str">
        <f>VLOOKUP(A569,Panels!$A$1:$E$2104,5,0)</f>
        <v>Lyham Moor</v>
      </c>
    </row>
    <row r="570">
      <c r="A570" s="3">
        <v>87.0</v>
      </c>
      <c r="B570" s="3">
        <v>57.0</v>
      </c>
      <c r="C570" s="3">
        <v>2.0</v>
      </c>
      <c r="D570" t="str">
        <f>VLOOKUP(B570,ERA_MOTIF_TYPES.csv!$A$1:$C$119,2,1)</f>
        <v>Cup and ring</v>
      </c>
      <c r="E570" t="str">
        <f>VLOOKUP(A570,Panels!$A$1:$E$2104,5,0)</f>
        <v>Cuddy's Cave</v>
      </c>
    </row>
    <row r="571">
      <c r="A571" s="3">
        <v>87.0</v>
      </c>
      <c r="B571" s="3">
        <v>58.0</v>
      </c>
      <c r="C571" s="3">
        <v>2.0</v>
      </c>
      <c r="D571" t="str">
        <f>VLOOKUP(B571,ERA_MOTIF_TYPES.csv!$A$1:$C$119,2,1)</f>
        <v>Cup and multiple rings</v>
      </c>
      <c r="E571" t="str">
        <f>VLOOKUP(A571,Panels!$A$1:$E$2104,5,0)</f>
        <v>Cuddy's Cave</v>
      </c>
    </row>
    <row r="572">
      <c r="A572" s="3">
        <v>87.0</v>
      </c>
      <c r="B572" s="3">
        <v>110.0</v>
      </c>
      <c r="C572" s="3">
        <v>2.0</v>
      </c>
      <c r="D572" t="str">
        <f>VLOOKUP(B572,ERA_MOTIF_TYPES.csv!$A$1:$C$119,2,1)</f>
        <v>Curved groove</v>
      </c>
      <c r="E572" t="str">
        <f>VLOOKUP(A572,Panels!$A$1:$E$2104,5,0)</f>
        <v>Cuddy's Cave</v>
      </c>
    </row>
    <row r="573">
      <c r="A573" s="3">
        <v>88.0</v>
      </c>
      <c r="B573" s="3">
        <v>35.0</v>
      </c>
      <c r="C573" s="3">
        <v>1.0</v>
      </c>
      <c r="D573" t="str">
        <f>VLOOKUP(B573,ERA_MOTIF_TYPES.csv!$A$1:$C$119,2,1)</f>
        <v>Cup Groove and multi penannular</v>
      </c>
      <c r="E573" t="str">
        <f>VLOOKUP(A573,Panels!$A$1:$E$2104,5,0)</f>
        <v>Gled Law</v>
      </c>
    </row>
    <row r="574">
      <c r="A574" s="3">
        <v>88.0</v>
      </c>
      <c r="B574" s="3">
        <v>66.0</v>
      </c>
      <c r="C574" s="3">
        <v>1.0</v>
      </c>
      <c r="D574" t="str">
        <f>VLOOKUP(B574,ERA_MOTIF_TYPES.csv!$A$1:$C$119,2,1)</f>
        <v>Cup and groove with multiple penannulars</v>
      </c>
      <c r="E574" t="str">
        <f>VLOOKUP(A574,Panels!$A$1:$E$2104,5,0)</f>
        <v>Gled Law</v>
      </c>
    </row>
    <row r="575">
      <c r="A575" s="3">
        <v>89.0</v>
      </c>
      <c r="B575" s="3">
        <v>1.0</v>
      </c>
      <c r="C575" s="3">
        <v>10.0</v>
      </c>
      <c r="D575" t="str">
        <f>VLOOKUP(B575,ERA_MOTIF_TYPES.csv!$A$1:$C$119,2,1)</f>
        <v>Cups Single</v>
      </c>
      <c r="E575" t="str">
        <f>VLOOKUP(A575,Panels!$A$1:$E$2104,5,0)</f>
        <v>Gled Law</v>
      </c>
    </row>
    <row r="576">
      <c r="A576" s="3">
        <v>89.0</v>
      </c>
      <c r="B576" s="3">
        <v>2.0</v>
      </c>
      <c r="C576" s="3">
        <v>1.0</v>
      </c>
      <c r="D576" t="str">
        <f>VLOOKUP(B576,ERA_MOTIF_TYPES.csv!$A$1:$C$119,2,1)</f>
        <v>Random Cluster</v>
      </c>
      <c r="E576" t="str">
        <f>VLOOKUP(A576,Panels!$A$1:$E$2104,5,0)</f>
        <v>Gled Law</v>
      </c>
    </row>
    <row r="577">
      <c r="A577" s="3">
        <v>89.0</v>
      </c>
      <c r="B577" s="3">
        <v>6.0</v>
      </c>
      <c r="C577" s="3">
        <v>1.0</v>
      </c>
      <c r="D577" t="str">
        <f>VLOOKUP(B577,ERA_MOTIF_TYPES.csv!$A$1:$C$119,2,1)</f>
        <v>curved or straight line</v>
      </c>
      <c r="E577" t="str">
        <f>VLOOKUP(A577,Panels!$A$1:$E$2104,5,0)</f>
        <v>Gled Law</v>
      </c>
    </row>
    <row r="578">
      <c r="A578" s="3">
        <v>89.0</v>
      </c>
      <c r="B578" s="3">
        <v>10.0</v>
      </c>
      <c r="C578" s="3">
        <v>1.0</v>
      </c>
      <c r="D578" t="str">
        <f>VLOOKUP(B578,ERA_MOTIF_TYPES.csv!$A$1:$C$119,2,1)</f>
        <v>Single Arc</v>
      </c>
      <c r="E578" t="str">
        <f>VLOOKUP(A578,Panels!$A$1:$E$2104,5,0)</f>
        <v>Gled Law</v>
      </c>
    </row>
    <row r="579">
      <c r="A579" s="3">
        <v>89.0</v>
      </c>
      <c r="B579" s="3">
        <v>13.0</v>
      </c>
      <c r="C579" s="3">
        <v>1.0</v>
      </c>
      <c r="D579" t="str">
        <f>VLOOKUP(B579,ERA_MOTIF_TYPES.csv!$A$1:$C$119,2,1)</f>
        <v>Single Ring + cup</v>
      </c>
      <c r="E579" t="str">
        <f>VLOOKUP(A579,Panels!$A$1:$E$2104,5,0)</f>
        <v>Gled Law</v>
      </c>
    </row>
    <row r="580">
      <c r="A580" s="3">
        <v>89.0</v>
      </c>
      <c r="B580" s="3">
        <v>33.0</v>
      </c>
      <c r="C580" s="3">
        <v>2.0</v>
      </c>
      <c r="D580" t="str">
        <f>VLOOKUP(B580,ERA_MOTIF_TYPES.csv!$A$1:$C$119,2,1)</f>
        <v>Cup Groove and multi ring</v>
      </c>
      <c r="E580" t="str">
        <f>VLOOKUP(A580,Panels!$A$1:$E$2104,5,0)</f>
        <v>Gled Law</v>
      </c>
    </row>
    <row r="581">
      <c r="A581" s="3">
        <v>89.0</v>
      </c>
      <c r="B581" s="3">
        <v>34.0</v>
      </c>
      <c r="C581" s="3">
        <v>1.0</v>
      </c>
      <c r="D581" t="str">
        <f>VLOOKUP(B581,ERA_MOTIF_TYPES.csv!$A$1:$C$119,2,1)</f>
        <v>Cup Groove and penannular</v>
      </c>
      <c r="E581" t="str">
        <f>VLOOKUP(A581,Panels!$A$1:$E$2104,5,0)</f>
        <v>Gled Law</v>
      </c>
    </row>
    <row r="582">
      <c r="A582" s="3">
        <v>89.0</v>
      </c>
      <c r="B582" s="3">
        <v>52.0</v>
      </c>
      <c r="C582" s="3">
        <v>27.0</v>
      </c>
      <c r="D582" t="str">
        <f>VLOOKUP(B582,ERA_MOTIF_TYPES.csv!$A$1:$C$119,2,1)</f>
        <v>Single or multiple cups</v>
      </c>
      <c r="E582" t="str">
        <f>VLOOKUP(A582,Panels!$A$1:$E$2104,5,0)</f>
        <v>Gled Law</v>
      </c>
    </row>
    <row r="583">
      <c r="A583" s="3">
        <v>89.0</v>
      </c>
      <c r="B583" s="3">
        <v>55.0</v>
      </c>
      <c r="C583" s="3">
        <v>2.0</v>
      </c>
      <c r="D583" t="str">
        <f>VLOOKUP(B583,ERA_MOTIF_TYPES.csv!$A$1:$C$119,2,1)</f>
        <v>Cups in a straight or curved line</v>
      </c>
      <c r="E583" t="str">
        <f>VLOOKUP(A583,Panels!$A$1:$E$2104,5,0)</f>
        <v>Gled Law</v>
      </c>
    </row>
    <row r="584">
      <c r="A584" s="3">
        <v>89.0</v>
      </c>
      <c r="B584" s="3">
        <v>57.0</v>
      </c>
      <c r="C584" s="3">
        <v>1.0</v>
      </c>
      <c r="D584" t="str">
        <f>VLOOKUP(B584,ERA_MOTIF_TYPES.csv!$A$1:$C$119,2,1)</f>
        <v>Cup and ring</v>
      </c>
      <c r="E584" t="str">
        <f>VLOOKUP(A584,Panels!$A$1:$E$2104,5,0)</f>
        <v>Gled Law</v>
      </c>
    </row>
    <row r="585">
      <c r="A585" s="3">
        <v>89.0</v>
      </c>
      <c r="B585" s="3">
        <v>59.0</v>
      </c>
      <c r="C585" s="3">
        <v>1.0</v>
      </c>
      <c r="D585" t="str">
        <f>VLOOKUP(B585,ERA_MOTIF_TYPES.csv!$A$1:$C$119,2,1)</f>
        <v>Cup and penannular</v>
      </c>
      <c r="E585" t="str">
        <f>VLOOKUP(A585,Panels!$A$1:$E$2104,5,0)</f>
        <v>Gled Law</v>
      </c>
    </row>
    <row r="586">
      <c r="A586" s="3">
        <v>89.0</v>
      </c>
      <c r="B586" s="3">
        <v>64.0</v>
      </c>
      <c r="C586" s="3">
        <v>1.0</v>
      </c>
      <c r="D586" t="str">
        <f>VLOOKUP(B586,ERA_MOTIF_TYPES.csv!$A$1:$C$119,2,1)</f>
        <v>Cup with groove cutting through multiple rings</v>
      </c>
      <c r="E586" t="str">
        <f>VLOOKUP(A586,Panels!$A$1:$E$2104,5,0)</f>
        <v>Gled Law</v>
      </c>
    </row>
    <row r="587">
      <c r="A587" s="3">
        <v>89.0</v>
      </c>
      <c r="B587" s="3">
        <v>65.0</v>
      </c>
      <c r="C587" s="3">
        <v>1.0</v>
      </c>
      <c r="D587" t="str">
        <f>VLOOKUP(B587,ERA_MOTIF_TYPES.csv!$A$1:$C$119,2,1)</f>
        <v>Cup and groove with penannular</v>
      </c>
      <c r="E587" t="str">
        <f>VLOOKUP(A587,Panels!$A$1:$E$2104,5,0)</f>
        <v>Gled Law</v>
      </c>
    </row>
    <row r="588">
      <c r="A588" s="3">
        <v>89.0</v>
      </c>
      <c r="B588" s="3">
        <v>66.0</v>
      </c>
      <c r="C588" s="3">
        <v>1.0</v>
      </c>
      <c r="D588" t="str">
        <f>VLOOKUP(B588,ERA_MOTIF_TYPES.csv!$A$1:$C$119,2,1)</f>
        <v>Cup and groove with multiple penannulars</v>
      </c>
      <c r="E588" t="str">
        <f>VLOOKUP(A588,Panels!$A$1:$E$2104,5,0)</f>
        <v>Gled Law</v>
      </c>
    </row>
    <row r="589">
      <c r="A589" s="3">
        <v>89.0</v>
      </c>
      <c r="B589" s="3">
        <v>72.0</v>
      </c>
      <c r="C589" s="3">
        <v>1.0</v>
      </c>
      <c r="D589" t="str">
        <f>VLOOKUP(B589,ERA_MOTIF_TYPES.csv!$A$1:$C$119,2,1)</f>
        <v>Multiple penannulars</v>
      </c>
      <c r="E589" t="str">
        <f>VLOOKUP(A589,Panels!$A$1:$E$2104,5,0)</f>
        <v>Gled Law</v>
      </c>
    </row>
    <row r="590">
      <c r="A590" s="3">
        <v>89.0</v>
      </c>
      <c r="B590" s="3">
        <v>73.0</v>
      </c>
      <c r="C590" s="3">
        <v>1.0</v>
      </c>
      <c r="D590" t="str">
        <f>VLOOKUP(B590,ERA_MOTIF_TYPES.csv!$A$1:$C$119,2,1)</f>
        <v>Arc</v>
      </c>
      <c r="E590" t="str">
        <f>VLOOKUP(A590,Panels!$A$1:$E$2104,5,0)</f>
        <v>Gled Law</v>
      </c>
    </row>
    <row r="591">
      <c r="A591" s="3">
        <v>89.0</v>
      </c>
      <c r="B591" s="3">
        <v>74.0</v>
      </c>
      <c r="C591" s="3">
        <v>1.0</v>
      </c>
      <c r="D591" t="str">
        <f>VLOOKUP(B591,ERA_MOTIF_TYPES.csv!$A$1:$C$119,2,1)</f>
        <v>Multiple arcs</v>
      </c>
      <c r="E591" t="str">
        <f>VLOOKUP(A591,Panels!$A$1:$E$2104,5,0)</f>
        <v>Gled Law</v>
      </c>
    </row>
    <row r="592">
      <c r="A592" s="3">
        <v>89.0</v>
      </c>
      <c r="B592" s="3">
        <v>103.0</v>
      </c>
      <c r="C592" s="3">
        <v>1.0</v>
      </c>
      <c r="D592" t="str">
        <f>VLOOKUP(B592,ERA_MOTIF_TYPES.csv!$A$1:$C$119,2,1)</f>
        <v>Cup and groove</v>
      </c>
      <c r="E592" t="str">
        <f>VLOOKUP(A592,Panels!$A$1:$E$2104,5,0)</f>
        <v>Gled Law</v>
      </c>
    </row>
    <row r="593">
      <c r="A593" s="3">
        <v>90.0</v>
      </c>
      <c r="B593" s="3">
        <v>1.0</v>
      </c>
      <c r="C593" s="3">
        <v>4.0</v>
      </c>
      <c r="D593" t="str">
        <f>VLOOKUP(B593,ERA_MOTIF_TYPES.csv!$A$1:$C$119,2,1)</f>
        <v>Cups Single</v>
      </c>
      <c r="E593" t="str">
        <f>VLOOKUP(A593,Panels!$A$1:$E$2104,5,0)</f>
        <v>Gled Law</v>
      </c>
    </row>
    <row r="594">
      <c r="A594" s="3">
        <v>90.0</v>
      </c>
      <c r="B594" s="3">
        <v>13.0</v>
      </c>
      <c r="C594" s="3">
        <v>3.0</v>
      </c>
      <c r="D594" t="str">
        <f>VLOOKUP(B594,ERA_MOTIF_TYPES.csv!$A$1:$C$119,2,1)</f>
        <v>Single Ring + cup</v>
      </c>
      <c r="E594" t="str">
        <f>VLOOKUP(A594,Panels!$A$1:$E$2104,5,0)</f>
        <v>Gled Law</v>
      </c>
    </row>
    <row r="595">
      <c r="A595" s="3">
        <v>90.0</v>
      </c>
      <c r="B595" s="3">
        <v>14.0</v>
      </c>
      <c r="C595" s="3">
        <v>2.0</v>
      </c>
      <c r="D595" t="str">
        <f>VLOOKUP(B595,ERA_MOTIF_TYPES.csv!$A$1:$C$119,2,1)</f>
        <v>Multi Ring + cup</v>
      </c>
      <c r="E595" t="str">
        <f>VLOOKUP(A595,Panels!$A$1:$E$2104,5,0)</f>
        <v>Gled Law</v>
      </c>
    </row>
    <row r="596">
      <c r="A596" s="3">
        <v>90.0</v>
      </c>
      <c r="B596" s="3">
        <v>52.0</v>
      </c>
      <c r="C596" s="3">
        <v>21.0</v>
      </c>
      <c r="D596" t="str">
        <f>VLOOKUP(B596,ERA_MOTIF_TYPES.csv!$A$1:$C$119,2,1)</f>
        <v>Single or multiple cups</v>
      </c>
      <c r="E596" t="str">
        <f>VLOOKUP(A596,Panels!$A$1:$E$2104,5,0)</f>
        <v>Gled Law</v>
      </c>
    </row>
    <row r="597">
      <c r="A597" s="3">
        <v>90.0</v>
      </c>
      <c r="B597" s="3">
        <v>57.0</v>
      </c>
      <c r="C597" s="3">
        <v>1.0</v>
      </c>
      <c r="D597" t="str">
        <f>VLOOKUP(B597,ERA_MOTIF_TYPES.csv!$A$1:$C$119,2,1)</f>
        <v>Cup and ring</v>
      </c>
      <c r="E597" t="str">
        <f>VLOOKUP(A597,Panels!$A$1:$E$2104,5,0)</f>
        <v>Gled Law</v>
      </c>
    </row>
    <row r="598">
      <c r="A598" s="3">
        <v>90.0</v>
      </c>
      <c r="B598" s="3">
        <v>58.0</v>
      </c>
      <c r="C598" s="3">
        <v>1.0</v>
      </c>
      <c r="D598" t="str">
        <f>VLOOKUP(B598,ERA_MOTIF_TYPES.csv!$A$1:$C$119,2,1)</f>
        <v>Cup and multiple rings</v>
      </c>
      <c r="E598" t="str">
        <f>VLOOKUP(A598,Panels!$A$1:$E$2104,5,0)</f>
        <v>Gled Law</v>
      </c>
    </row>
    <row r="599">
      <c r="A599" s="3">
        <v>90.0</v>
      </c>
      <c r="B599" s="3">
        <v>59.0</v>
      </c>
      <c r="C599" s="3">
        <v>3.0</v>
      </c>
      <c r="D599" t="str">
        <f>VLOOKUP(B599,ERA_MOTIF_TYPES.csv!$A$1:$C$119,2,1)</f>
        <v>Cup and penannular</v>
      </c>
      <c r="E599" t="str">
        <f>VLOOKUP(A599,Panels!$A$1:$E$2104,5,0)</f>
        <v>Gled Law</v>
      </c>
    </row>
    <row r="600">
      <c r="A600" s="3">
        <v>90.0</v>
      </c>
      <c r="B600" s="3">
        <v>61.0</v>
      </c>
      <c r="C600" s="3">
        <v>3.0</v>
      </c>
      <c r="D600" t="str">
        <f>VLOOKUP(B600,ERA_MOTIF_TYPES.csv!$A$1:$C$119,2,1)</f>
        <v>Cup and arc (or semi-ovoid)</v>
      </c>
      <c r="E600" t="str">
        <f>VLOOKUP(A600,Panels!$A$1:$E$2104,5,0)</f>
        <v>Gled Law</v>
      </c>
    </row>
    <row r="601">
      <c r="A601" s="3">
        <v>90.0</v>
      </c>
      <c r="B601" s="3">
        <v>62.0</v>
      </c>
      <c r="C601" s="3">
        <v>1.0</v>
      </c>
      <c r="D601" t="str">
        <f>VLOOKUP(B601,ERA_MOTIF_TYPES.csv!$A$1:$C$119,2,1)</f>
        <v>Cup and multiple arcs</v>
      </c>
      <c r="E601" t="str">
        <f>VLOOKUP(A601,Panels!$A$1:$E$2104,5,0)</f>
        <v>Gled Law</v>
      </c>
    </row>
    <row r="602">
      <c r="A602" s="3">
        <v>90.0</v>
      </c>
      <c r="B602" s="3">
        <v>64.0</v>
      </c>
      <c r="C602" s="3">
        <v>1.0</v>
      </c>
      <c r="D602" t="str">
        <f>VLOOKUP(B602,ERA_MOTIF_TYPES.csv!$A$1:$C$119,2,1)</f>
        <v>Cup with groove cutting through multiple rings</v>
      </c>
      <c r="E602" t="str">
        <f>VLOOKUP(A602,Panels!$A$1:$E$2104,5,0)</f>
        <v>Gled Law</v>
      </c>
    </row>
    <row r="603">
      <c r="A603" s="3">
        <v>90.0</v>
      </c>
      <c r="B603" s="3">
        <v>67.0</v>
      </c>
      <c r="C603" s="3">
        <v>1.0</v>
      </c>
      <c r="D603" t="str">
        <f>VLOOKUP(B603,ERA_MOTIF_TYPES.csv!$A$1:$C$119,2,1)</f>
        <v>Cup and groove with arc</v>
      </c>
      <c r="E603" t="str">
        <f>VLOOKUP(A603,Panels!$A$1:$E$2104,5,0)</f>
        <v>Gled Law</v>
      </c>
    </row>
    <row r="604">
      <c r="A604" s="3">
        <v>90.0</v>
      </c>
      <c r="B604" s="3">
        <v>69.0</v>
      </c>
      <c r="C604" s="3">
        <v>2.0</v>
      </c>
      <c r="D604" t="str">
        <f>VLOOKUP(B604,ERA_MOTIF_TYPES.csv!$A$1:$C$119,2,1)</f>
        <v>Ring</v>
      </c>
      <c r="E604" t="str">
        <f>VLOOKUP(A604,Panels!$A$1:$E$2104,5,0)</f>
        <v>Gled Law</v>
      </c>
    </row>
    <row r="605">
      <c r="A605" s="3">
        <v>90.0</v>
      </c>
      <c r="B605" s="3">
        <v>71.0</v>
      </c>
      <c r="C605" s="3">
        <v>2.0</v>
      </c>
      <c r="D605" t="str">
        <f>VLOOKUP(B605,ERA_MOTIF_TYPES.csv!$A$1:$C$119,2,1)</f>
        <v>Penannular</v>
      </c>
      <c r="E605" t="str">
        <f>VLOOKUP(A605,Panels!$A$1:$E$2104,5,0)</f>
        <v>Gled Law</v>
      </c>
    </row>
    <row r="606">
      <c r="A606" s="3">
        <v>90.0</v>
      </c>
      <c r="B606" s="3">
        <v>87.0</v>
      </c>
      <c r="C606" s="3">
        <v>1.0</v>
      </c>
      <c r="D606" t="str">
        <f>VLOOKUP(B606,ERA_MOTIF_TYPES.csv!$A$1:$C$119,2,1)</f>
        <v>Linear and angular groove</v>
      </c>
      <c r="E606" t="str">
        <f>VLOOKUP(A606,Panels!$A$1:$E$2104,5,0)</f>
        <v>Gled Law</v>
      </c>
    </row>
    <row r="607">
      <c r="A607" s="3">
        <v>90.0</v>
      </c>
      <c r="B607" s="3">
        <v>107.0</v>
      </c>
      <c r="C607" s="3">
        <v>1.0</v>
      </c>
      <c r="D607" t="str">
        <f>VLOOKUP(B607,ERA_MOTIF_TYPES.csv!$A$1:$C$119,2,1)</f>
        <v>Cup and ring with exterior groove</v>
      </c>
      <c r="E607" t="str">
        <f>VLOOKUP(A607,Panels!$A$1:$E$2104,5,0)</f>
        <v>Gled Law</v>
      </c>
    </row>
    <row r="608">
      <c r="A608" s="3">
        <v>90.0</v>
      </c>
      <c r="B608" s="3">
        <v>108.0</v>
      </c>
      <c r="C608" s="3">
        <v>1.0</v>
      </c>
      <c r="D608" t="str">
        <f>VLOOKUP(B608,ERA_MOTIF_TYPES.csv!$A$1:$C$119,2,1)</f>
        <v>Cup and ring with interior groove</v>
      </c>
      <c r="E608" t="str">
        <f>VLOOKUP(A608,Panels!$A$1:$E$2104,5,0)</f>
        <v>Gled Law</v>
      </c>
    </row>
    <row r="609">
      <c r="A609" s="3">
        <v>91.0</v>
      </c>
      <c r="B609" s="3">
        <v>13.0</v>
      </c>
      <c r="C609" s="3">
        <v>1.0</v>
      </c>
      <c r="D609" t="str">
        <f>VLOOKUP(B609,ERA_MOTIF_TYPES.csv!$A$1:$C$119,2,1)</f>
        <v>Single Ring + cup</v>
      </c>
      <c r="E609" t="str">
        <f>VLOOKUP(A609,Panels!$A$1:$E$2104,5,0)</f>
        <v>Gled Law</v>
      </c>
    </row>
    <row r="610">
      <c r="A610" s="3">
        <v>91.0</v>
      </c>
      <c r="B610" s="3">
        <v>15.0</v>
      </c>
      <c r="C610" s="3">
        <v>1.0</v>
      </c>
      <c r="D610" t="str">
        <f>VLOOKUP(B610,ERA_MOTIF_TYPES.csv!$A$1:$C$119,2,1)</f>
        <v>Multi Penanular + cup</v>
      </c>
      <c r="E610" t="str">
        <f>VLOOKUP(A610,Panels!$A$1:$E$2104,5,0)</f>
        <v>Gled Law</v>
      </c>
    </row>
    <row r="611">
      <c r="A611" s="3">
        <v>91.0</v>
      </c>
      <c r="B611" s="3">
        <v>57.0</v>
      </c>
      <c r="C611" s="3">
        <v>1.0</v>
      </c>
      <c r="D611" t="str">
        <f>VLOOKUP(B611,ERA_MOTIF_TYPES.csv!$A$1:$C$119,2,1)</f>
        <v>Cup and ring</v>
      </c>
      <c r="E611" t="str">
        <f>VLOOKUP(A611,Panels!$A$1:$E$2104,5,0)</f>
        <v>Gled Law</v>
      </c>
    </row>
    <row r="612">
      <c r="A612" s="3">
        <v>91.0</v>
      </c>
      <c r="B612" s="3">
        <v>60.0</v>
      </c>
      <c r="C612" s="3">
        <v>1.0</v>
      </c>
      <c r="D612" t="str">
        <f>VLOOKUP(B612,ERA_MOTIF_TYPES.csv!$A$1:$C$119,2,1)</f>
        <v>Cup and multiple penannulars</v>
      </c>
      <c r="E612" t="str">
        <f>VLOOKUP(A612,Panels!$A$1:$E$2104,5,0)</f>
        <v>Gled Law</v>
      </c>
    </row>
    <row r="613">
      <c r="A613" s="3">
        <v>92.0</v>
      </c>
      <c r="B613" s="3">
        <v>1.0</v>
      </c>
      <c r="C613" s="3">
        <v>1.0</v>
      </c>
      <c r="D613" t="str">
        <f>VLOOKUP(B613,ERA_MOTIF_TYPES.csv!$A$1:$C$119,2,1)</f>
        <v>Cups Single</v>
      </c>
      <c r="E613" t="str">
        <f>VLOOKUP(A613,Panels!$A$1:$E$2104,5,0)</f>
        <v>Gled Law</v>
      </c>
    </row>
    <row r="614">
      <c r="A614" s="3">
        <v>92.0</v>
      </c>
      <c r="B614" s="3">
        <v>5.0</v>
      </c>
      <c r="C614" s="3">
        <v>1.0</v>
      </c>
      <c r="D614" t="str">
        <f>VLOOKUP(B614,ERA_MOTIF_TYPES.csv!$A$1:$C$119,2,1)</f>
        <v>Rosette</v>
      </c>
      <c r="E614" t="str">
        <f>VLOOKUP(A614,Panels!$A$1:$E$2104,5,0)</f>
        <v>Gled Law</v>
      </c>
    </row>
    <row r="615">
      <c r="A615" s="3">
        <v>92.0</v>
      </c>
      <c r="B615" s="3">
        <v>16.0</v>
      </c>
      <c r="C615" s="3">
        <v>1.0</v>
      </c>
      <c r="D615" t="str">
        <f>VLOOKUP(B615,ERA_MOTIF_TYPES.csv!$A$1:$C$119,2,1)</f>
        <v>Single Arc + cup</v>
      </c>
      <c r="E615" t="str">
        <f>VLOOKUP(A615,Panels!$A$1:$E$2104,5,0)</f>
        <v>Gled Law</v>
      </c>
    </row>
    <row r="616">
      <c r="A616" s="3">
        <v>92.0</v>
      </c>
      <c r="B616" s="3">
        <v>52.0</v>
      </c>
      <c r="C616" s="3">
        <v>12.0</v>
      </c>
      <c r="D616" t="str">
        <f>VLOOKUP(B616,ERA_MOTIF_TYPES.csv!$A$1:$C$119,2,1)</f>
        <v>Single or multiple cups</v>
      </c>
      <c r="E616" t="str">
        <f>VLOOKUP(A616,Panels!$A$1:$E$2104,5,0)</f>
        <v>Gled Law</v>
      </c>
    </row>
    <row r="617">
      <c r="A617" s="3">
        <v>92.0</v>
      </c>
      <c r="B617" s="3">
        <v>55.0</v>
      </c>
      <c r="C617" s="3">
        <v>1.0</v>
      </c>
      <c r="D617" t="str">
        <f>VLOOKUP(B617,ERA_MOTIF_TYPES.csv!$A$1:$C$119,2,1)</f>
        <v>Cups in a straight or curved line</v>
      </c>
      <c r="E617" t="str">
        <f>VLOOKUP(A617,Panels!$A$1:$E$2104,5,0)</f>
        <v>Gled Law</v>
      </c>
    </row>
    <row r="618">
      <c r="A618" s="3">
        <v>92.0</v>
      </c>
      <c r="B618" s="3">
        <v>57.0</v>
      </c>
      <c r="C618" s="3">
        <v>1.0</v>
      </c>
      <c r="D618" t="str">
        <f>VLOOKUP(B618,ERA_MOTIF_TYPES.csv!$A$1:$C$119,2,1)</f>
        <v>Cup and ring</v>
      </c>
      <c r="E618" t="str">
        <f>VLOOKUP(A618,Panels!$A$1:$E$2104,5,0)</f>
        <v>Gled Law</v>
      </c>
    </row>
    <row r="619">
      <c r="A619" s="3">
        <v>92.0</v>
      </c>
      <c r="B619" s="3">
        <v>59.0</v>
      </c>
      <c r="C619" s="3">
        <v>4.0</v>
      </c>
      <c r="D619" t="str">
        <f>VLOOKUP(B619,ERA_MOTIF_TYPES.csv!$A$1:$C$119,2,1)</f>
        <v>Cup and penannular</v>
      </c>
      <c r="E619" t="str">
        <f>VLOOKUP(A619,Panels!$A$1:$E$2104,5,0)</f>
        <v>Gled Law</v>
      </c>
    </row>
    <row r="620">
      <c r="A620" s="3">
        <v>92.0</v>
      </c>
      <c r="B620" s="3">
        <v>73.0</v>
      </c>
      <c r="C620" s="3">
        <v>1.0</v>
      </c>
      <c r="D620" t="str">
        <f>VLOOKUP(B620,ERA_MOTIF_TYPES.csv!$A$1:$C$119,2,1)</f>
        <v>Arc</v>
      </c>
      <c r="E620" t="str">
        <f>VLOOKUP(A620,Panels!$A$1:$E$2104,5,0)</f>
        <v>Gled Law</v>
      </c>
    </row>
    <row r="621">
      <c r="A621" s="3">
        <v>92.0</v>
      </c>
      <c r="B621" s="3">
        <v>78.0</v>
      </c>
      <c r="C621" s="3">
        <v>1.0</v>
      </c>
      <c r="D621" t="str">
        <f>VLOOKUP(B621,ERA_MOTIF_TYPES.csv!$A$1:$C$119,2,1)</f>
        <v>Keyhole with groove leading out from central cup</v>
      </c>
      <c r="E621" t="str">
        <f>VLOOKUP(A621,Panels!$A$1:$E$2104,5,0)</f>
        <v>Gled Law</v>
      </c>
    </row>
    <row r="622">
      <c r="A622" s="3">
        <v>92.0</v>
      </c>
      <c r="B622" s="3">
        <v>110.0</v>
      </c>
      <c r="C622" s="3">
        <v>1.0</v>
      </c>
      <c r="D622" t="str">
        <f>VLOOKUP(B622,ERA_MOTIF_TYPES.csv!$A$1:$C$119,2,1)</f>
        <v>Curved groove</v>
      </c>
      <c r="E622" t="str">
        <f>VLOOKUP(A622,Panels!$A$1:$E$2104,5,0)</f>
        <v>Gled Law</v>
      </c>
    </row>
    <row r="623">
      <c r="A623" s="3">
        <v>93.0</v>
      </c>
      <c r="B623" s="3">
        <v>1.0</v>
      </c>
      <c r="C623" s="3">
        <v>2.0</v>
      </c>
      <c r="D623" t="str">
        <f>VLOOKUP(B623,ERA_MOTIF_TYPES.csv!$A$1:$C$119,2,1)</f>
        <v>Cups Single</v>
      </c>
      <c r="E623" t="str">
        <f>VLOOKUP(A623,Panels!$A$1:$E$2104,5,0)</f>
        <v>Gled Law</v>
      </c>
    </row>
    <row r="624">
      <c r="A624" s="3">
        <v>93.0</v>
      </c>
      <c r="B624" s="3">
        <v>52.0</v>
      </c>
      <c r="C624" s="3">
        <v>2.0</v>
      </c>
      <c r="D624" t="str">
        <f>VLOOKUP(B624,ERA_MOTIF_TYPES.csv!$A$1:$C$119,2,1)</f>
        <v>Single or multiple cups</v>
      </c>
      <c r="E624" t="str">
        <f>VLOOKUP(A624,Panels!$A$1:$E$2104,5,0)</f>
        <v>Gled Law</v>
      </c>
    </row>
    <row r="625">
      <c r="A625" s="3">
        <v>93.0</v>
      </c>
      <c r="B625" s="3">
        <v>73.0</v>
      </c>
      <c r="C625" s="3">
        <v>1.0</v>
      </c>
      <c r="D625" t="str">
        <f>VLOOKUP(B625,ERA_MOTIF_TYPES.csv!$A$1:$C$119,2,1)</f>
        <v>Arc</v>
      </c>
      <c r="E625" t="str">
        <f>VLOOKUP(A625,Panels!$A$1:$E$2104,5,0)</f>
        <v>Gled Law</v>
      </c>
    </row>
    <row r="626">
      <c r="A626" s="3">
        <v>93.0</v>
      </c>
      <c r="B626" s="3">
        <v>101.0</v>
      </c>
      <c r="C626" s="3">
        <v>1.0</v>
      </c>
      <c r="D626" t="str">
        <f>VLOOKUP(B626,ERA_MOTIF_TYPES.csv!$A$1:$C$119,2,1)</f>
        <v>Occulus</v>
      </c>
      <c r="E626" t="str">
        <f>VLOOKUP(A626,Panels!$A$1:$E$2104,5,0)</f>
        <v>Gled Law</v>
      </c>
    </row>
    <row r="627">
      <c r="A627" s="3">
        <v>94.0</v>
      </c>
      <c r="B627" s="3">
        <v>1.0</v>
      </c>
      <c r="C627" s="3">
        <v>7.0</v>
      </c>
      <c r="D627" t="str">
        <f>VLOOKUP(B627,ERA_MOTIF_TYPES.csv!$A$1:$C$119,2,1)</f>
        <v>Cups Single</v>
      </c>
      <c r="E627" t="str">
        <f>VLOOKUP(A627,Panels!$A$1:$E$2104,5,0)</f>
        <v>Gled Law</v>
      </c>
    </row>
    <row r="628">
      <c r="A628" s="3">
        <v>94.0</v>
      </c>
      <c r="B628" s="3">
        <v>22.0</v>
      </c>
      <c r="C628" s="3">
        <v>1.0</v>
      </c>
      <c r="D628" t="str">
        <f>VLOOKUP(B628,ERA_MOTIF_TYPES.csv!$A$1:$C$119,2,1)</f>
        <v>Keyhole and cup</v>
      </c>
      <c r="E628" t="str">
        <f>VLOOKUP(A628,Panels!$A$1:$E$2104,5,0)</f>
        <v>Gled Law</v>
      </c>
    </row>
    <row r="629">
      <c r="A629" s="3">
        <v>94.0</v>
      </c>
      <c r="B629" s="3">
        <v>32.0</v>
      </c>
      <c r="C629" s="3">
        <v>2.0</v>
      </c>
      <c r="D629" t="str">
        <f>VLOOKUP(B629,ERA_MOTIF_TYPES.csv!$A$1:$C$119,2,1)</f>
        <v>Cup Groove and single ring</v>
      </c>
      <c r="E629" t="str">
        <f>VLOOKUP(A629,Panels!$A$1:$E$2104,5,0)</f>
        <v>Gled Law</v>
      </c>
    </row>
    <row r="630">
      <c r="A630" s="3">
        <v>94.0</v>
      </c>
      <c r="B630" s="3">
        <v>36.0</v>
      </c>
      <c r="C630" s="3">
        <v>1.0</v>
      </c>
      <c r="D630" t="str">
        <f>VLOOKUP(B630,ERA_MOTIF_TYPES.csv!$A$1:$C$119,2,1)</f>
        <v>Cup Groove and arc</v>
      </c>
      <c r="E630" t="str">
        <f>VLOOKUP(A630,Panels!$A$1:$E$2104,5,0)</f>
        <v>Gled Law</v>
      </c>
    </row>
    <row r="631">
      <c r="A631" s="3">
        <v>94.0</v>
      </c>
      <c r="B631" s="3">
        <v>52.0</v>
      </c>
      <c r="C631" s="3">
        <v>4.0</v>
      </c>
      <c r="D631" t="str">
        <f>VLOOKUP(B631,ERA_MOTIF_TYPES.csv!$A$1:$C$119,2,1)</f>
        <v>Single or multiple cups</v>
      </c>
      <c r="E631" t="str">
        <f>VLOOKUP(A631,Panels!$A$1:$E$2104,5,0)</f>
        <v>Gled Law</v>
      </c>
    </row>
    <row r="632">
      <c r="A632" s="3">
        <v>94.0</v>
      </c>
      <c r="B632" s="3">
        <v>57.0</v>
      </c>
      <c r="C632" s="3">
        <v>2.0</v>
      </c>
      <c r="D632" t="str">
        <f>VLOOKUP(B632,ERA_MOTIF_TYPES.csv!$A$1:$C$119,2,1)</f>
        <v>Cup and ring</v>
      </c>
      <c r="E632" t="str">
        <f>VLOOKUP(A632,Panels!$A$1:$E$2104,5,0)</f>
        <v>Gled Law</v>
      </c>
    </row>
    <row r="633">
      <c r="A633" s="3">
        <v>94.0</v>
      </c>
      <c r="B633" s="3">
        <v>59.0</v>
      </c>
      <c r="C633" s="3">
        <v>1.0</v>
      </c>
      <c r="D633" t="str">
        <f>VLOOKUP(B633,ERA_MOTIF_TYPES.csv!$A$1:$C$119,2,1)</f>
        <v>Cup and penannular</v>
      </c>
      <c r="E633" t="str">
        <f>VLOOKUP(A633,Panels!$A$1:$E$2104,5,0)</f>
        <v>Gled Law</v>
      </c>
    </row>
    <row r="634">
      <c r="A634" s="3">
        <v>94.0</v>
      </c>
      <c r="B634" s="3">
        <v>66.0</v>
      </c>
      <c r="C634" s="3">
        <v>1.0</v>
      </c>
      <c r="D634" t="str">
        <f>VLOOKUP(B634,ERA_MOTIF_TYPES.csv!$A$1:$C$119,2,1)</f>
        <v>Cup and groove with multiple penannulars</v>
      </c>
      <c r="E634" t="str">
        <f>VLOOKUP(A634,Panels!$A$1:$E$2104,5,0)</f>
        <v>Gled Law</v>
      </c>
    </row>
    <row r="635">
      <c r="A635" s="3">
        <v>94.0</v>
      </c>
      <c r="B635" s="3">
        <v>71.0</v>
      </c>
      <c r="C635" s="3">
        <v>1.0</v>
      </c>
      <c r="D635" t="str">
        <f>VLOOKUP(B635,ERA_MOTIF_TYPES.csv!$A$1:$C$119,2,1)</f>
        <v>Penannular</v>
      </c>
      <c r="E635" t="str">
        <f>VLOOKUP(A635,Panels!$A$1:$E$2104,5,0)</f>
        <v>Gled Law</v>
      </c>
    </row>
    <row r="636">
      <c r="A636" s="3">
        <v>94.0</v>
      </c>
      <c r="B636" s="3">
        <v>110.0</v>
      </c>
      <c r="C636" s="3">
        <v>3.0</v>
      </c>
      <c r="D636" t="str">
        <f>VLOOKUP(B636,ERA_MOTIF_TYPES.csv!$A$1:$C$119,2,1)</f>
        <v>Curved groove</v>
      </c>
      <c r="E636" t="str">
        <f>VLOOKUP(A636,Panels!$A$1:$E$2104,5,0)</f>
        <v>Gled Law</v>
      </c>
    </row>
    <row r="637">
      <c r="A637" s="3">
        <v>95.0</v>
      </c>
      <c r="B637" s="3">
        <v>14.0</v>
      </c>
      <c r="C637" s="3">
        <v>2.0</v>
      </c>
      <c r="D637" t="str">
        <f>VLOOKUP(B637,ERA_MOTIF_TYPES.csv!$A$1:$C$119,2,1)</f>
        <v>Multi Ring + cup</v>
      </c>
      <c r="E637" t="str">
        <f>VLOOKUP(A637,Panels!$A$1:$E$2104,5,0)</f>
        <v>Gled Law</v>
      </c>
    </row>
    <row r="638">
      <c r="A638" s="3">
        <v>95.0</v>
      </c>
      <c r="B638" s="3">
        <v>58.0</v>
      </c>
      <c r="C638" s="3">
        <v>1.0</v>
      </c>
      <c r="D638" t="str">
        <f>VLOOKUP(B638,ERA_MOTIF_TYPES.csv!$A$1:$C$119,2,1)</f>
        <v>Cup and multiple rings</v>
      </c>
      <c r="E638" t="str">
        <f>VLOOKUP(A638,Panels!$A$1:$E$2104,5,0)</f>
        <v>Gled Law</v>
      </c>
    </row>
    <row r="639">
      <c r="A639" s="3">
        <v>95.0</v>
      </c>
      <c r="B639" s="3">
        <v>60.0</v>
      </c>
      <c r="C639" s="3">
        <v>1.0</v>
      </c>
      <c r="D639" t="str">
        <f>VLOOKUP(B639,ERA_MOTIF_TYPES.csv!$A$1:$C$119,2,1)</f>
        <v>Cup and multiple penannulars</v>
      </c>
      <c r="E639" t="str">
        <f>VLOOKUP(A639,Panels!$A$1:$E$2104,5,0)</f>
        <v>Gled Law</v>
      </c>
    </row>
    <row r="640">
      <c r="A640" s="3">
        <v>95.0</v>
      </c>
      <c r="B640" s="3">
        <v>73.0</v>
      </c>
      <c r="C640" s="3">
        <v>1.0</v>
      </c>
      <c r="D640" t="str">
        <f>VLOOKUP(B640,ERA_MOTIF_TYPES.csv!$A$1:$C$119,2,1)</f>
        <v>Arc</v>
      </c>
      <c r="E640" t="str">
        <f>VLOOKUP(A640,Panels!$A$1:$E$2104,5,0)</f>
        <v>Gled Law</v>
      </c>
    </row>
    <row r="641">
      <c r="A641" s="3">
        <v>95.0</v>
      </c>
      <c r="B641" s="3">
        <v>74.0</v>
      </c>
      <c r="C641" s="3">
        <v>1.0</v>
      </c>
      <c r="D641" t="str">
        <f>VLOOKUP(B641,ERA_MOTIF_TYPES.csv!$A$1:$C$119,2,1)</f>
        <v>Multiple arcs</v>
      </c>
      <c r="E641" t="str">
        <f>VLOOKUP(A641,Panels!$A$1:$E$2104,5,0)</f>
        <v>Gled Law</v>
      </c>
    </row>
    <row r="642">
      <c r="A642" s="3">
        <v>95.0</v>
      </c>
      <c r="B642" s="3">
        <v>87.0</v>
      </c>
      <c r="C642" s="3">
        <v>2.0</v>
      </c>
      <c r="D642" t="str">
        <f>VLOOKUP(B642,ERA_MOTIF_TYPES.csv!$A$1:$C$119,2,1)</f>
        <v>Linear and angular groove</v>
      </c>
      <c r="E642" t="str">
        <f>VLOOKUP(A642,Panels!$A$1:$E$2104,5,0)</f>
        <v>Gled Law</v>
      </c>
    </row>
    <row r="643">
      <c r="A643" s="3">
        <v>96.0</v>
      </c>
      <c r="B643" s="3">
        <v>15.0</v>
      </c>
      <c r="C643" s="3">
        <v>1.0</v>
      </c>
      <c r="D643" t="str">
        <f>VLOOKUP(B643,ERA_MOTIF_TYPES.csv!$A$1:$C$119,2,1)</f>
        <v>Multi Penanular + cup</v>
      </c>
      <c r="E643" t="str">
        <f>VLOOKUP(A643,Panels!$A$1:$E$2104,5,0)</f>
        <v>Gled Law</v>
      </c>
    </row>
    <row r="644">
      <c r="A644" s="3">
        <v>96.0</v>
      </c>
      <c r="B644" s="3">
        <v>33.0</v>
      </c>
      <c r="C644" s="3">
        <v>1.0</v>
      </c>
      <c r="D644" t="str">
        <f>VLOOKUP(B644,ERA_MOTIF_TYPES.csv!$A$1:$C$119,2,1)</f>
        <v>Cup Groove and multi ring</v>
      </c>
      <c r="E644" t="str">
        <f>VLOOKUP(A644,Panels!$A$1:$E$2104,5,0)</f>
        <v>Gled Law</v>
      </c>
    </row>
    <row r="645">
      <c r="A645" s="3">
        <v>96.0</v>
      </c>
      <c r="B645" s="3">
        <v>60.0</v>
      </c>
      <c r="C645" s="3">
        <v>1.0</v>
      </c>
      <c r="D645" t="str">
        <f>VLOOKUP(B645,ERA_MOTIF_TYPES.csv!$A$1:$C$119,2,1)</f>
        <v>Cup and multiple penannulars</v>
      </c>
      <c r="E645" t="str">
        <f>VLOOKUP(A645,Panels!$A$1:$E$2104,5,0)</f>
        <v>Gled Law</v>
      </c>
    </row>
    <row r="646">
      <c r="A646" s="3">
        <v>96.0</v>
      </c>
      <c r="B646" s="3">
        <v>66.0</v>
      </c>
      <c r="C646" s="3">
        <v>1.0</v>
      </c>
      <c r="D646" t="str">
        <f>VLOOKUP(B646,ERA_MOTIF_TYPES.csv!$A$1:$C$119,2,1)</f>
        <v>Cup and groove with multiple penannulars</v>
      </c>
      <c r="E646" t="str">
        <f>VLOOKUP(A646,Panels!$A$1:$E$2104,5,0)</f>
        <v>Gled Law</v>
      </c>
    </row>
    <row r="647">
      <c r="A647" s="3">
        <v>97.0</v>
      </c>
      <c r="B647" s="3">
        <v>52.0</v>
      </c>
      <c r="C647" s="3">
        <v>5.0</v>
      </c>
      <c r="D647" t="str">
        <f>VLOOKUP(B647,ERA_MOTIF_TYPES.csv!$A$1:$C$119,2,1)</f>
        <v>Single or multiple cups</v>
      </c>
      <c r="E647" t="str">
        <f>VLOOKUP(A647,Panels!$A$1:$E$2104,5,0)</f>
        <v>Ketley Crag Rock Shelter</v>
      </c>
    </row>
    <row r="648">
      <c r="A648" s="3">
        <v>97.0</v>
      </c>
      <c r="B648" s="3">
        <v>57.0</v>
      </c>
      <c r="C648" s="3">
        <v>6.0</v>
      </c>
      <c r="D648" t="str">
        <f>VLOOKUP(B648,ERA_MOTIF_TYPES.csv!$A$1:$C$119,2,1)</f>
        <v>Cup and ring</v>
      </c>
      <c r="E648" t="str">
        <f>VLOOKUP(A648,Panels!$A$1:$E$2104,5,0)</f>
        <v>Ketley Crag Rock Shelter</v>
      </c>
    </row>
    <row r="649">
      <c r="A649" s="3">
        <v>97.0</v>
      </c>
      <c r="B649" s="3">
        <v>60.0</v>
      </c>
      <c r="C649" s="3">
        <v>2.0</v>
      </c>
      <c r="D649" t="str">
        <f>VLOOKUP(B649,ERA_MOTIF_TYPES.csv!$A$1:$C$119,2,1)</f>
        <v>Cup and multiple penannulars</v>
      </c>
      <c r="E649" t="str">
        <f>VLOOKUP(A649,Panels!$A$1:$E$2104,5,0)</f>
        <v>Ketley Crag Rock Shelter</v>
      </c>
    </row>
    <row r="650">
      <c r="A650" s="3">
        <v>97.0</v>
      </c>
      <c r="B650" s="3">
        <v>61.0</v>
      </c>
      <c r="C650" s="3">
        <v>3.0</v>
      </c>
      <c r="D650" t="str">
        <f>VLOOKUP(B650,ERA_MOTIF_TYPES.csv!$A$1:$C$119,2,1)</f>
        <v>Cup and arc (or semi-ovoid)</v>
      </c>
      <c r="E650" t="str">
        <f>VLOOKUP(A650,Panels!$A$1:$E$2104,5,0)</f>
        <v>Ketley Crag Rock Shelter</v>
      </c>
    </row>
    <row r="651">
      <c r="A651" s="3">
        <v>97.0</v>
      </c>
      <c r="B651" s="3">
        <v>62.0</v>
      </c>
      <c r="C651" s="3">
        <v>1.0</v>
      </c>
      <c r="D651" t="str">
        <f>VLOOKUP(B651,ERA_MOTIF_TYPES.csv!$A$1:$C$119,2,1)</f>
        <v>Cup and multiple arcs</v>
      </c>
      <c r="E651" t="str">
        <f>VLOOKUP(A651,Panels!$A$1:$E$2104,5,0)</f>
        <v>Ketley Crag Rock Shelter</v>
      </c>
    </row>
    <row r="652">
      <c r="A652" s="3">
        <v>97.0</v>
      </c>
      <c r="B652" s="3">
        <v>63.0</v>
      </c>
      <c r="C652" s="3">
        <v>1.0</v>
      </c>
      <c r="D652" t="str">
        <f>VLOOKUP(B652,ERA_MOTIF_TYPES.csv!$A$1:$C$119,2,1)</f>
        <v>Cup with groove cutting through ring</v>
      </c>
      <c r="E652" t="str">
        <f>VLOOKUP(A652,Panels!$A$1:$E$2104,5,0)</f>
        <v>Ketley Crag Rock Shelter</v>
      </c>
    </row>
    <row r="653">
      <c r="A653" s="3">
        <v>97.0</v>
      </c>
      <c r="B653" s="3">
        <v>64.0</v>
      </c>
      <c r="C653" s="3">
        <v>5.0</v>
      </c>
      <c r="D653" t="str">
        <f>VLOOKUP(B653,ERA_MOTIF_TYPES.csv!$A$1:$C$119,2,1)</f>
        <v>Cup with groove cutting through multiple rings</v>
      </c>
      <c r="E653" t="str">
        <f>VLOOKUP(A653,Panels!$A$1:$E$2104,5,0)</f>
        <v>Ketley Crag Rock Shelter</v>
      </c>
    </row>
    <row r="654">
      <c r="A654" s="3">
        <v>97.0</v>
      </c>
      <c r="B654" s="3">
        <v>66.0</v>
      </c>
      <c r="C654" s="3">
        <v>7.0</v>
      </c>
      <c r="D654" t="str">
        <f>VLOOKUP(B654,ERA_MOTIF_TYPES.csv!$A$1:$C$119,2,1)</f>
        <v>Cup and groove with multiple penannulars</v>
      </c>
      <c r="E654" t="str">
        <f>VLOOKUP(A654,Panels!$A$1:$E$2104,5,0)</f>
        <v>Ketley Crag Rock Shelter</v>
      </c>
    </row>
    <row r="655">
      <c r="A655" s="3">
        <v>97.0</v>
      </c>
      <c r="B655" s="3">
        <v>67.0</v>
      </c>
      <c r="C655" s="3">
        <v>1.0</v>
      </c>
      <c r="D655" t="str">
        <f>VLOOKUP(B655,ERA_MOTIF_TYPES.csv!$A$1:$C$119,2,1)</f>
        <v>Cup and groove with arc</v>
      </c>
      <c r="E655" t="str">
        <f>VLOOKUP(A655,Panels!$A$1:$E$2104,5,0)</f>
        <v>Ketley Crag Rock Shelter</v>
      </c>
    </row>
    <row r="656">
      <c r="A656" s="3">
        <v>97.0</v>
      </c>
      <c r="B656" s="3">
        <v>72.0</v>
      </c>
      <c r="C656" s="3">
        <v>1.0</v>
      </c>
      <c r="D656" t="str">
        <f>VLOOKUP(B656,ERA_MOTIF_TYPES.csv!$A$1:$C$119,2,1)</f>
        <v>Multiple penannulars</v>
      </c>
      <c r="E656" t="str">
        <f>VLOOKUP(A656,Panels!$A$1:$E$2104,5,0)</f>
        <v>Ketley Crag Rock Shelter</v>
      </c>
    </row>
    <row r="657">
      <c r="A657" s="3">
        <v>97.0</v>
      </c>
      <c r="B657" s="3">
        <v>73.0</v>
      </c>
      <c r="C657" s="3">
        <v>1.0</v>
      </c>
      <c r="D657" t="str">
        <f>VLOOKUP(B657,ERA_MOTIF_TYPES.csv!$A$1:$C$119,2,1)</f>
        <v>Arc</v>
      </c>
      <c r="E657" t="str">
        <f>VLOOKUP(A657,Panels!$A$1:$E$2104,5,0)</f>
        <v>Ketley Crag Rock Shelter</v>
      </c>
    </row>
    <row r="658">
      <c r="A658" s="3">
        <v>97.0</v>
      </c>
      <c r="B658" s="3">
        <v>87.0</v>
      </c>
      <c r="C658" s="3">
        <v>9.0</v>
      </c>
      <c r="D658" t="str">
        <f>VLOOKUP(B658,ERA_MOTIF_TYPES.csv!$A$1:$C$119,2,1)</f>
        <v>Linear and angular groove</v>
      </c>
      <c r="E658" t="str">
        <f>VLOOKUP(A658,Panels!$A$1:$E$2104,5,0)</f>
        <v>Ketley Crag Rock Shelter</v>
      </c>
    </row>
    <row r="659">
      <c r="A659" s="3">
        <v>97.0</v>
      </c>
      <c r="B659" s="3">
        <v>100.0</v>
      </c>
      <c r="C659" s="3">
        <v>1.0</v>
      </c>
      <c r="D659" t="str">
        <f>VLOOKUP(B659,ERA_MOTIF_TYPES.csv!$A$1:$C$119,2,1)</f>
        <v>Pick marks</v>
      </c>
      <c r="E659" t="str">
        <f>VLOOKUP(A659,Panels!$A$1:$E$2104,5,0)</f>
        <v>Ketley Crag Rock Shelter</v>
      </c>
    </row>
    <row r="660">
      <c r="A660" s="3">
        <v>97.0</v>
      </c>
      <c r="B660" s="3">
        <v>107.0</v>
      </c>
      <c r="C660" s="3">
        <v>1.0</v>
      </c>
      <c r="D660" t="str">
        <f>VLOOKUP(B660,ERA_MOTIF_TYPES.csv!$A$1:$C$119,2,1)</f>
        <v>Cup and ring with exterior groove</v>
      </c>
      <c r="E660" t="str">
        <f>VLOOKUP(A660,Panels!$A$1:$E$2104,5,0)</f>
        <v>Ketley Crag Rock Shelter</v>
      </c>
    </row>
    <row r="661">
      <c r="A661" s="3">
        <v>97.0</v>
      </c>
      <c r="B661" s="3">
        <v>108.0</v>
      </c>
      <c r="C661" s="3">
        <v>1.0</v>
      </c>
      <c r="D661" t="str">
        <f>VLOOKUP(B661,ERA_MOTIF_TYPES.csv!$A$1:$C$119,2,1)</f>
        <v>Cup and ring with interior groove</v>
      </c>
      <c r="E661" t="str">
        <f>VLOOKUP(A661,Panels!$A$1:$E$2104,5,0)</f>
        <v>Ketley Crag Rock Shelter</v>
      </c>
    </row>
    <row r="662">
      <c r="A662" s="3">
        <v>97.0</v>
      </c>
      <c r="B662" s="3">
        <v>110.0</v>
      </c>
      <c r="C662" s="3">
        <v>4.0</v>
      </c>
      <c r="D662" t="str">
        <f>VLOOKUP(B662,ERA_MOTIF_TYPES.csv!$A$1:$C$119,2,1)</f>
        <v>Curved groove</v>
      </c>
      <c r="E662" t="str">
        <f>VLOOKUP(A662,Panels!$A$1:$E$2104,5,0)</f>
        <v>Ketley Crag Rock Shelter</v>
      </c>
    </row>
    <row r="663">
      <c r="A663" s="3">
        <v>98.0</v>
      </c>
      <c r="B663" s="3">
        <v>1.0</v>
      </c>
      <c r="C663" s="3">
        <v>2.0</v>
      </c>
      <c r="D663" t="str">
        <f>VLOOKUP(B663,ERA_MOTIF_TYPES.csv!$A$1:$C$119,2,1)</f>
        <v>Cups Single</v>
      </c>
      <c r="E663" t="str">
        <f>VLOOKUP(A663,Panels!$A$1:$E$2104,5,0)</f>
        <v>Chatton</v>
      </c>
    </row>
    <row r="664">
      <c r="A664" s="3">
        <v>98.0</v>
      </c>
      <c r="B664" s="3">
        <v>13.0</v>
      </c>
      <c r="C664" s="3">
        <v>1.0</v>
      </c>
      <c r="D664" t="str">
        <f>VLOOKUP(B664,ERA_MOTIF_TYPES.csv!$A$1:$C$119,2,1)</f>
        <v>Single Ring + cup</v>
      </c>
      <c r="E664" t="str">
        <f>VLOOKUP(A664,Panels!$A$1:$E$2104,5,0)</f>
        <v>Chatton</v>
      </c>
    </row>
    <row r="665">
      <c r="A665" s="3">
        <v>98.0</v>
      </c>
      <c r="B665" s="3">
        <v>52.0</v>
      </c>
      <c r="C665" s="3">
        <v>1.0</v>
      </c>
      <c r="D665" t="str">
        <f>VLOOKUP(B665,ERA_MOTIF_TYPES.csv!$A$1:$C$119,2,1)</f>
        <v>Single or multiple cups</v>
      </c>
      <c r="E665" t="str">
        <f>VLOOKUP(A665,Panels!$A$1:$E$2104,5,0)</f>
        <v>Chatton</v>
      </c>
    </row>
    <row r="666">
      <c r="A666" s="3">
        <v>98.0</v>
      </c>
      <c r="B666" s="3">
        <v>57.0</v>
      </c>
      <c r="C666" s="3">
        <v>1.0</v>
      </c>
      <c r="D666" t="str">
        <f>VLOOKUP(B666,ERA_MOTIF_TYPES.csv!$A$1:$C$119,2,1)</f>
        <v>Cup and ring</v>
      </c>
      <c r="E666" t="str">
        <f>VLOOKUP(A666,Panels!$A$1:$E$2104,5,0)</f>
        <v>Chatton</v>
      </c>
    </row>
    <row r="667">
      <c r="A667" s="3">
        <v>99.0</v>
      </c>
      <c r="B667" s="3">
        <v>15.0</v>
      </c>
      <c r="C667" s="3">
        <v>1.0</v>
      </c>
      <c r="D667" t="str">
        <f>VLOOKUP(B667,ERA_MOTIF_TYPES.csv!$A$1:$C$119,2,1)</f>
        <v>Multi Penanular + cup</v>
      </c>
      <c r="E667" t="str">
        <f>VLOOKUP(A667,Panels!$A$1:$E$2104,5,0)</f>
        <v>Chatton</v>
      </c>
    </row>
    <row r="668">
      <c r="A668" s="3">
        <v>99.0</v>
      </c>
      <c r="B668" s="3">
        <v>16.0</v>
      </c>
      <c r="C668" s="3">
        <v>1.0</v>
      </c>
      <c r="D668" t="str">
        <f>VLOOKUP(B668,ERA_MOTIF_TYPES.csv!$A$1:$C$119,2,1)</f>
        <v>Single Arc + cup</v>
      </c>
      <c r="E668" t="str">
        <f>VLOOKUP(A668,Panels!$A$1:$E$2104,5,0)</f>
        <v>Chatton</v>
      </c>
    </row>
    <row r="669">
      <c r="A669" s="3">
        <v>99.0</v>
      </c>
      <c r="B669" s="3">
        <v>52.0</v>
      </c>
      <c r="C669" s="3">
        <v>1.0</v>
      </c>
      <c r="D669" t="str">
        <f>VLOOKUP(B669,ERA_MOTIF_TYPES.csv!$A$1:$C$119,2,1)</f>
        <v>Single or multiple cups</v>
      </c>
      <c r="E669" t="str">
        <f>VLOOKUP(A669,Panels!$A$1:$E$2104,5,0)</f>
        <v>Chatton</v>
      </c>
    </row>
    <row r="670">
      <c r="A670" s="3">
        <v>99.0</v>
      </c>
      <c r="B670" s="3">
        <v>57.0</v>
      </c>
      <c r="C670" s="3">
        <v>2.0</v>
      </c>
      <c r="D670" t="str">
        <f>VLOOKUP(B670,ERA_MOTIF_TYPES.csv!$A$1:$C$119,2,1)</f>
        <v>Cup and ring</v>
      </c>
      <c r="E670" t="str">
        <f>VLOOKUP(A670,Panels!$A$1:$E$2104,5,0)</f>
        <v>Chatton</v>
      </c>
    </row>
    <row r="671">
      <c r="A671" s="3">
        <v>99.0</v>
      </c>
      <c r="B671" s="3">
        <v>61.0</v>
      </c>
      <c r="C671" s="3">
        <v>1.0</v>
      </c>
      <c r="D671" t="str">
        <f>VLOOKUP(B671,ERA_MOTIF_TYPES.csv!$A$1:$C$119,2,1)</f>
        <v>Cup and arc (or semi-ovoid)</v>
      </c>
      <c r="E671" t="str">
        <f>VLOOKUP(A671,Panels!$A$1:$E$2104,5,0)</f>
        <v>Chatton</v>
      </c>
    </row>
    <row r="672">
      <c r="A672" s="3">
        <v>99.0</v>
      </c>
      <c r="B672" s="3">
        <v>71.0</v>
      </c>
      <c r="C672" s="3">
        <v>1.0</v>
      </c>
      <c r="D672" t="str">
        <f>VLOOKUP(B672,ERA_MOTIF_TYPES.csv!$A$1:$C$119,2,1)</f>
        <v>Penannular</v>
      </c>
      <c r="E672" t="str">
        <f>VLOOKUP(A672,Panels!$A$1:$E$2104,5,0)</f>
        <v>Chatton</v>
      </c>
    </row>
    <row r="673">
      <c r="A673" s="3">
        <v>99.0</v>
      </c>
      <c r="B673" s="3">
        <v>73.0</v>
      </c>
      <c r="C673" s="3">
        <v>3.0</v>
      </c>
      <c r="D673" t="str">
        <f>VLOOKUP(B673,ERA_MOTIF_TYPES.csv!$A$1:$C$119,2,1)</f>
        <v>Arc</v>
      </c>
      <c r="E673" t="str">
        <f>VLOOKUP(A673,Panels!$A$1:$E$2104,5,0)</f>
        <v>Chatton</v>
      </c>
    </row>
    <row r="674">
      <c r="A674" s="3">
        <v>99.0</v>
      </c>
      <c r="B674" s="3">
        <v>87.0</v>
      </c>
      <c r="C674" s="3">
        <v>1.0</v>
      </c>
      <c r="D674" t="str">
        <f>VLOOKUP(B674,ERA_MOTIF_TYPES.csv!$A$1:$C$119,2,1)</f>
        <v>Linear and angular groove</v>
      </c>
      <c r="E674" t="str">
        <f>VLOOKUP(A674,Panels!$A$1:$E$2104,5,0)</f>
        <v>Chatton</v>
      </c>
    </row>
    <row r="675">
      <c r="A675" s="3">
        <v>100.0</v>
      </c>
      <c r="B675" s="3">
        <v>14.0</v>
      </c>
      <c r="C675" s="3">
        <v>2.0</v>
      </c>
      <c r="D675" t="str">
        <f>VLOOKUP(B675,ERA_MOTIF_TYPES.csv!$A$1:$C$119,2,1)</f>
        <v>Multi Ring + cup</v>
      </c>
      <c r="E675" t="str">
        <f>VLOOKUP(A675,Panels!$A$1:$E$2104,5,0)</f>
        <v>Chatton</v>
      </c>
    </row>
    <row r="676">
      <c r="A676" s="3">
        <v>100.0</v>
      </c>
      <c r="B676" s="3">
        <v>15.0</v>
      </c>
      <c r="C676" s="3">
        <v>2.0</v>
      </c>
      <c r="D676" t="str">
        <f>VLOOKUP(B676,ERA_MOTIF_TYPES.csv!$A$1:$C$119,2,1)</f>
        <v>Multi Penanular + cup</v>
      </c>
      <c r="E676" t="str">
        <f>VLOOKUP(A676,Panels!$A$1:$E$2104,5,0)</f>
        <v>Chatton</v>
      </c>
    </row>
    <row r="677">
      <c r="A677" s="3">
        <v>100.0</v>
      </c>
      <c r="B677" s="3">
        <v>25.0</v>
      </c>
      <c r="C677" s="3">
        <v>1.0</v>
      </c>
      <c r="D677" t="str">
        <f>VLOOKUP(B677,ERA_MOTIF_TYPES.csv!$A$1:$C$119,2,1)</f>
        <v>Linear</v>
      </c>
      <c r="E677" t="str">
        <f>VLOOKUP(A677,Panels!$A$1:$E$2104,5,0)</f>
        <v>Chatton</v>
      </c>
    </row>
    <row r="678">
      <c r="A678" s="3">
        <v>100.0</v>
      </c>
      <c r="B678" s="3">
        <v>52.0</v>
      </c>
      <c r="C678" s="3">
        <v>6.0</v>
      </c>
      <c r="D678" t="str">
        <f>VLOOKUP(B678,ERA_MOTIF_TYPES.csv!$A$1:$C$119,2,1)</f>
        <v>Single or multiple cups</v>
      </c>
      <c r="E678" t="str">
        <f>VLOOKUP(A678,Panels!$A$1:$E$2104,5,0)</f>
        <v>Chatton</v>
      </c>
    </row>
    <row r="679">
      <c r="A679" s="3">
        <v>100.0</v>
      </c>
      <c r="B679" s="3">
        <v>57.0</v>
      </c>
      <c r="C679" s="3">
        <v>2.0</v>
      </c>
      <c r="D679" t="str">
        <f>VLOOKUP(B679,ERA_MOTIF_TYPES.csv!$A$1:$C$119,2,1)</f>
        <v>Cup and ring</v>
      </c>
      <c r="E679" t="str">
        <f>VLOOKUP(A679,Panels!$A$1:$E$2104,5,0)</f>
        <v>Chatton</v>
      </c>
    </row>
    <row r="680">
      <c r="A680" s="3">
        <v>100.0</v>
      </c>
      <c r="B680" s="3">
        <v>58.0</v>
      </c>
      <c r="C680" s="3">
        <v>2.0</v>
      </c>
      <c r="D680" t="str">
        <f>VLOOKUP(B680,ERA_MOTIF_TYPES.csv!$A$1:$C$119,2,1)</f>
        <v>Cup and multiple rings</v>
      </c>
      <c r="E680" t="str">
        <f>VLOOKUP(A680,Panels!$A$1:$E$2104,5,0)</f>
        <v>Chatton</v>
      </c>
    </row>
    <row r="681">
      <c r="A681" s="3">
        <v>100.0</v>
      </c>
      <c r="B681" s="3">
        <v>60.0</v>
      </c>
      <c r="C681" s="3">
        <v>1.0</v>
      </c>
      <c r="D681" t="str">
        <f>VLOOKUP(B681,ERA_MOTIF_TYPES.csv!$A$1:$C$119,2,1)</f>
        <v>Cup and multiple penannulars</v>
      </c>
      <c r="E681" t="str">
        <f>VLOOKUP(A681,Panels!$A$1:$E$2104,5,0)</f>
        <v>Chatton</v>
      </c>
    </row>
    <row r="682">
      <c r="A682" s="3">
        <v>100.0</v>
      </c>
      <c r="B682" s="3">
        <v>62.0</v>
      </c>
      <c r="C682" s="3">
        <v>1.0</v>
      </c>
      <c r="D682" t="str">
        <f>VLOOKUP(B682,ERA_MOTIF_TYPES.csv!$A$1:$C$119,2,1)</f>
        <v>Cup and multiple arcs</v>
      </c>
      <c r="E682" t="str">
        <f>VLOOKUP(A682,Panels!$A$1:$E$2104,5,0)</f>
        <v>Chatton</v>
      </c>
    </row>
    <row r="683">
      <c r="A683" s="3">
        <v>100.0</v>
      </c>
      <c r="B683" s="3">
        <v>63.0</v>
      </c>
      <c r="C683" s="3">
        <v>1.0</v>
      </c>
      <c r="D683" t="str">
        <f>VLOOKUP(B683,ERA_MOTIF_TYPES.csv!$A$1:$C$119,2,1)</f>
        <v>Cup with groove cutting through ring</v>
      </c>
      <c r="E683" t="str">
        <f>VLOOKUP(A683,Panels!$A$1:$E$2104,5,0)</f>
        <v>Chatton</v>
      </c>
    </row>
    <row r="684">
      <c r="A684" s="3">
        <v>100.0</v>
      </c>
      <c r="B684" s="3">
        <v>64.0</v>
      </c>
      <c r="C684" s="3">
        <v>1.0</v>
      </c>
      <c r="D684" t="str">
        <f>VLOOKUP(B684,ERA_MOTIF_TYPES.csv!$A$1:$C$119,2,1)</f>
        <v>Cup with groove cutting through multiple rings</v>
      </c>
      <c r="E684" t="str">
        <f>VLOOKUP(A684,Panels!$A$1:$E$2104,5,0)</f>
        <v>Chatton</v>
      </c>
    </row>
    <row r="685">
      <c r="A685" s="3">
        <v>100.0</v>
      </c>
      <c r="B685" s="3">
        <v>69.0</v>
      </c>
      <c r="C685" s="3">
        <v>2.0</v>
      </c>
      <c r="D685" t="str">
        <f>VLOOKUP(B685,ERA_MOTIF_TYPES.csv!$A$1:$C$119,2,1)</f>
        <v>Ring</v>
      </c>
      <c r="E685" t="str">
        <f>VLOOKUP(A685,Panels!$A$1:$E$2104,5,0)</f>
        <v>Chatton</v>
      </c>
    </row>
    <row r="686">
      <c r="A686" s="3">
        <v>100.0</v>
      </c>
      <c r="B686" s="3">
        <v>71.0</v>
      </c>
      <c r="C686" s="3">
        <v>3.0</v>
      </c>
      <c r="D686" t="str">
        <f>VLOOKUP(B686,ERA_MOTIF_TYPES.csv!$A$1:$C$119,2,1)</f>
        <v>Penannular</v>
      </c>
      <c r="E686" t="str">
        <f>VLOOKUP(A686,Panels!$A$1:$E$2104,5,0)</f>
        <v>Chatton</v>
      </c>
    </row>
    <row r="687">
      <c r="A687" s="3">
        <v>100.0</v>
      </c>
      <c r="B687" s="3">
        <v>72.0</v>
      </c>
      <c r="C687" s="3">
        <v>1.0</v>
      </c>
      <c r="D687" t="str">
        <f>VLOOKUP(B687,ERA_MOTIF_TYPES.csv!$A$1:$C$119,2,1)</f>
        <v>Multiple penannulars</v>
      </c>
      <c r="E687" t="str">
        <f>VLOOKUP(A687,Panels!$A$1:$E$2104,5,0)</f>
        <v>Chatton</v>
      </c>
    </row>
    <row r="688">
      <c r="A688" s="3">
        <v>100.0</v>
      </c>
      <c r="B688" s="3">
        <v>73.0</v>
      </c>
      <c r="C688" s="3">
        <v>1.0</v>
      </c>
      <c r="D688" t="str">
        <f>VLOOKUP(B688,ERA_MOTIF_TYPES.csv!$A$1:$C$119,2,1)</f>
        <v>Arc</v>
      </c>
      <c r="E688" t="str">
        <f>VLOOKUP(A688,Panels!$A$1:$E$2104,5,0)</f>
        <v>Chatton</v>
      </c>
    </row>
    <row r="689">
      <c r="A689" s="3">
        <v>100.0</v>
      </c>
      <c r="B689" s="3">
        <v>74.0</v>
      </c>
      <c r="C689" s="3">
        <v>1.0</v>
      </c>
      <c r="D689" t="str">
        <f>VLOOKUP(B689,ERA_MOTIF_TYPES.csv!$A$1:$C$119,2,1)</f>
        <v>Multiple arcs</v>
      </c>
      <c r="E689" t="str">
        <f>VLOOKUP(A689,Panels!$A$1:$E$2104,5,0)</f>
        <v>Chatton</v>
      </c>
    </row>
    <row r="690">
      <c r="A690" s="3">
        <v>100.0</v>
      </c>
      <c r="B690" s="3">
        <v>87.0</v>
      </c>
      <c r="C690" s="3">
        <v>3.0</v>
      </c>
      <c r="D690" t="str">
        <f>VLOOKUP(B690,ERA_MOTIF_TYPES.csv!$A$1:$C$119,2,1)</f>
        <v>Linear and angular groove</v>
      </c>
      <c r="E690" t="str">
        <f>VLOOKUP(A690,Panels!$A$1:$E$2104,5,0)</f>
        <v>Chatton</v>
      </c>
    </row>
    <row r="691">
      <c r="A691" s="3">
        <v>100.0</v>
      </c>
      <c r="B691" s="3">
        <v>90.0</v>
      </c>
      <c r="C691" s="3">
        <v>1.0</v>
      </c>
      <c r="D691" t="str">
        <f>VLOOKUP(B691,ERA_MOTIF_TYPES.csv!$A$1:$C$119,2,1)</f>
        <v>Serpentine groove</v>
      </c>
      <c r="E691" t="str">
        <f>VLOOKUP(A691,Panels!$A$1:$E$2104,5,0)</f>
        <v>Chatton</v>
      </c>
    </row>
    <row r="692">
      <c r="A692" s="3">
        <v>100.0</v>
      </c>
      <c r="B692" s="3">
        <v>103.0</v>
      </c>
      <c r="C692" s="3">
        <v>1.0</v>
      </c>
      <c r="D692" t="str">
        <f>VLOOKUP(B692,ERA_MOTIF_TYPES.csv!$A$1:$C$119,2,1)</f>
        <v>Cup and groove</v>
      </c>
      <c r="E692" t="str">
        <f>VLOOKUP(A692,Panels!$A$1:$E$2104,5,0)</f>
        <v>Chatton</v>
      </c>
    </row>
    <row r="693">
      <c r="A693" s="3">
        <v>100.0</v>
      </c>
      <c r="B693" s="3">
        <v>107.0</v>
      </c>
      <c r="C693" s="3">
        <v>1.0</v>
      </c>
      <c r="D693" t="str">
        <f>VLOOKUP(B693,ERA_MOTIF_TYPES.csv!$A$1:$C$119,2,1)</f>
        <v>Cup and ring with exterior groove</v>
      </c>
      <c r="E693" t="str">
        <f>VLOOKUP(A693,Panels!$A$1:$E$2104,5,0)</f>
        <v>Chatton</v>
      </c>
    </row>
    <row r="694">
      <c r="A694" s="3">
        <v>100.0</v>
      </c>
      <c r="B694" s="3">
        <v>110.0</v>
      </c>
      <c r="C694" s="3">
        <v>1.0</v>
      </c>
      <c r="D694" t="str">
        <f>VLOOKUP(B694,ERA_MOTIF_TYPES.csv!$A$1:$C$119,2,1)</f>
        <v>Curved groove</v>
      </c>
      <c r="E694" t="str">
        <f>VLOOKUP(A694,Panels!$A$1:$E$2104,5,0)</f>
        <v>Chatton</v>
      </c>
    </row>
    <row r="695">
      <c r="A695" s="3">
        <v>101.0</v>
      </c>
      <c r="B695" s="3">
        <v>1.0</v>
      </c>
      <c r="C695" s="3">
        <v>1.0</v>
      </c>
      <c r="D695" t="str">
        <f>VLOOKUP(B695,ERA_MOTIF_TYPES.csv!$A$1:$C$119,2,1)</f>
        <v>Cups Single</v>
      </c>
      <c r="E695" t="str">
        <f>VLOOKUP(A695,Panels!$A$1:$E$2104,5,0)</f>
        <v>Chatton</v>
      </c>
    </row>
    <row r="696">
      <c r="A696" s="3">
        <v>101.0</v>
      </c>
      <c r="B696" s="3">
        <v>52.0</v>
      </c>
      <c r="C696" s="3">
        <v>1.0</v>
      </c>
      <c r="D696" t="str">
        <f>VLOOKUP(B696,ERA_MOTIF_TYPES.csv!$A$1:$C$119,2,1)</f>
        <v>Single or multiple cups</v>
      </c>
      <c r="E696" t="str">
        <f>VLOOKUP(A696,Panels!$A$1:$E$2104,5,0)</f>
        <v>Chatton</v>
      </c>
    </row>
    <row r="697">
      <c r="A697" s="3">
        <v>102.0</v>
      </c>
      <c r="B697" s="3">
        <v>1.0</v>
      </c>
      <c r="C697" s="3">
        <v>2.0</v>
      </c>
      <c r="D697" t="str">
        <f>VLOOKUP(B697,ERA_MOTIF_TYPES.csv!$A$1:$C$119,2,1)</f>
        <v>Cups Single</v>
      </c>
      <c r="E697" t="str">
        <f>VLOOKUP(A697,Panels!$A$1:$E$2104,5,0)</f>
        <v>Chatton</v>
      </c>
    </row>
    <row r="698">
      <c r="A698" s="3">
        <v>102.0</v>
      </c>
      <c r="B698" s="3">
        <v>51.0</v>
      </c>
      <c r="C698" s="3">
        <v>1.0</v>
      </c>
      <c r="D698" t="str">
        <f>VLOOKUP(B698,ERA_MOTIF_TYPES.csv!$A$1:$C$119,2,1)</f>
        <v>Bowls</v>
      </c>
      <c r="E698" t="str">
        <f>VLOOKUP(A698,Panels!$A$1:$E$2104,5,0)</f>
        <v>Chatton</v>
      </c>
    </row>
    <row r="699">
      <c r="A699" s="3">
        <v>102.0</v>
      </c>
      <c r="B699" s="3">
        <v>94.0</v>
      </c>
      <c r="C699" s="3">
        <v>1.0</v>
      </c>
      <c r="D699" t="str">
        <f>VLOOKUP(B699,ERA_MOTIF_TYPES.csv!$A$1:$C$119,2,1)</f>
        <v>Basin</v>
      </c>
      <c r="E699" t="str">
        <f>VLOOKUP(A699,Panels!$A$1:$E$2104,5,0)</f>
        <v>Chatton</v>
      </c>
    </row>
    <row r="700">
      <c r="A700" s="3">
        <v>102.0</v>
      </c>
      <c r="B700" s="3">
        <v>105.0</v>
      </c>
      <c r="C700" s="3">
        <v>1.0</v>
      </c>
      <c r="D700" t="str">
        <f>VLOOKUP(B700,ERA_MOTIF_TYPES.csv!$A$1:$C$119,2,1)</f>
        <v>Two cups linked by a groove</v>
      </c>
      <c r="E700" t="str">
        <f>VLOOKUP(A700,Panels!$A$1:$E$2104,5,0)</f>
        <v>Chatton</v>
      </c>
    </row>
    <row r="701">
      <c r="A701" s="3">
        <v>103.0</v>
      </c>
      <c r="B701" s="3">
        <v>52.0</v>
      </c>
      <c r="C701" s="3">
        <v>2.0</v>
      </c>
      <c r="D701" t="str">
        <f>VLOOKUP(B701,ERA_MOTIF_TYPES.csv!$A$1:$C$119,2,1)</f>
        <v>Single or multiple cups</v>
      </c>
      <c r="E701" t="str">
        <f>VLOOKUP(A701,Panels!$A$1:$E$2104,5,0)</f>
        <v>Chatton</v>
      </c>
    </row>
    <row r="702">
      <c r="A702" s="3">
        <v>104.0</v>
      </c>
      <c r="B702" s="3">
        <v>52.0</v>
      </c>
      <c r="C702" s="3">
        <v>5.0</v>
      </c>
      <c r="D702" t="str">
        <f>VLOOKUP(B702,ERA_MOTIF_TYPES.csv!$A$1:$C$119,2,1)</f>
        <v>Single or multiple cups</v>
      </c>
      <c r="E702" t="str">
        <f>VLOOKUP(A702,Panels!$A$1:$E$2104,5,0)</f>
        <v>Chatton</v>
      </c>
    </row>
    <row r="703">
      <c r="A703" s="3">
        <v>105.0</v>
      </c>
      <c r="B703" s="3">
        <v>1.0</v>
      </c>
      <c r="C703" s="3">
        <v>1.0</v>
      </c>
      <c r="D703" t="str">
        <f>VLOOKUP(B703,ERA_MOTIF_TYPES.csv!$A$1:$C$119,2,1)</f>
        <v>Cups Single</v>
      </c>
      <c r="E703" t="str">
        <f>VLOOKUP(A703,Panels!$A$1:$E$2104,5,0)</f>
        <v>Chatton</v>
      </c>
    </row>
    <row r="704">
      <c r="A704" s="3">
        <v>105.0</v>
      </c>
      <c r="B704" s="3">
        <v>13.0</v>
      </c>
      <c r="C704" s="3">
        <v>4.0</v>
      </c>
      <c r="D704" t="str">
        <f>VLOOKUP(B704,ERA_MOTIF_TYPES.csv!$A$1:$C$119,2,1)</f>
        <v>Single Ring + cup</v>
      </c>
      <c r="E704" t="str">
        <f>VLOOKUP(A704,Panels!$A$1:$E$2104,5,0)</f>
        <v>Chatton</v>
      </c>
    </row>
    <row r="705">
      <c r="A705" s="3">
        <v>105.0</v>
      </c>
      <c r="B705" s="3">
        <v>52.0</v>
      </c>
      <c r="C705" s="3">
        <v>1.0</v>
      </c>
      <c r="D705" t="str">
        <f>VLOOKUP(B705,ERA_MOTIF_TYPES.csv!$A$1:$C$119,2,1)</f>
        <v>Single or multiple cups</v>
      </c>
      <c r="E705" t="str">
        <f>VLOOKUP(A705,Panels!$A$1:$E$2104,5,0)</f>
        <v>Chatton</v>
      </c>
    </row>
    <row r="706">
      <c r="A706" s="3">
        <v>105.0</v>
      </c>
      <c r="B706" s="3">
        <v>57.0</v>
      </c>
      <c r="C706" s="3">
        <v>4.0</v>
      </c>
      <c r="D706" t="str">
        <f>VLOOKUP(B706,ERA_MOTIF_TYPES.csv!$A$1:$C$119,2,1)</f>
        <v>Cup and ring</v>
      </c>
      <c r="E706" t="str">
        <f>VLOOKUP(A706,Panels!$A$1:$E$2104,5,0)</f>
        <v>Chatton</v>
      </c>
    </row>
    <row r="707">
      <c r="A707" s="3">
        <v>106.0</v>
      </c>
      <c r="B707" s="3">
        <v>13.0</v>
      </c>
      <c r="C707" s="3">
        <v>1.0</v>
      </c>
      <c r="D707" t="str">
        <f>VLOOKUP(B707,ERA_MOTIF_TYPES.csv!$A$1:$C$119,2,1)</f>
        <v>Single Ring + cup</v>
      </c>
      <c r="E707" t="str">
        <f>VLOOKUP(A707,Panels!$A$1:$E$2104,5,0)</f>
        <v>Chatton</v>
      </c>
    </row>
    <row r="708">
      <c r="A708" s="3">
        <v>106.0</v>
      </c>
      <c r="B708" s="3">
        <v>14.0</v>
      </c>
      <c r="C708" s="3">
        <v>3.0</v>
      </c>
      <c r="D708" t="str">
        <f>VLOOKUP(B708,ERA_MOTIF_TYPES.csv!$A$1:$C$119,2,1)</f>
        <v>Multi Ring + cup</v>
      </c>
      <c r="E708" t="str">
        <f>VLOOKUP(A708,Panels!$A$1:$E$2104,5,0)</f>
        <v>Chatton</v>
      </c>
    </row>
    <row r="709">
      <c r="A709" s="3">
        <v>106.0</v>
      </c>
      <c r="B709" s="3">
        <v>27.0</v>
      </c>
      <c r="C709" s="3">
        <v>1.0</v>
      </c>
      <c r="D709" t="str">
        <f>VLOOKUP(B709,ERA_MOTIF_TYPES.csv!$A$1:$C$119,2,1)</f>
        <v>Serpentine</v>
      </c>
      <c r="E709" t="str">
        <f>VLOOKUP(A709,Panels!$A$1:$E$2104,5,0)</f>
        <v>Chatton</v>
      </c>
    </row>
    <row r="710">
      <c r="A710" s="3">
        <v>106.0</v>
      </c>
      <c r="B710" s="3">
        <v>52.0</v>
      </c>
      <c r="C710" s="3">
        <v>21.0</v>
      </c>
      <c r="D710" t="str">
        <f>VLOOKUP(B710,ERA_MOTIF_TYPES.csv!$A$1:$C$119,2,1)</f>
        <v>Single or multiple cups</v>
      </c>
      <c r="E710" t="str">
        <f>VLOOKUP(A710,Panels!$A$1:$E$2104,5,0)</f>
        <v>Chatton</v>
      </c>
    </row>
    <row r="711">
      <c r="A711" s="3">
        <v>106.0</v>
      </c>
      <c r="B711" s="3">
        <v>57.0</v>
      </c>
      <c r="C711" s="3">
        <v>4.0</v>
      </c>
      <c r="D711" t="str">
        <f>VLOOKUP(B711,ERA_MOTIF_TYPES.csv!$A$1:$C$119,2,1)</f>
        <v>Cup and ring</v>
      </c>
      <c r="E711" t="str">
        <f>VLOOKUP(A711,Panels!$A$1:$E$2104,5,0)</f>
        <v>Chatton</v>
      </c>
    </row>
    <row r="712">
      <c r="A712" s="3">
        <v>106.0</v>
      </c>
      <c r="B712" s="3">
        <v>71.0</v>
      </c>
      <c r="C712" s="3">
        <v>2.0</v>
      </c>
      <c r="D712" t="str">
        <f>VLOOKUP(B712,ERA_MOTIF_TYPES.csv!$A$1:$C$119,2,1)</f>
        <v>Penannular</v>
      </c>
      <c r="E712" t="str">
        <f>VLOOKUP(A712,Panels!$A$1:$E$2104,5,0)</f>
        <v>Chatton</v>
      </c>
    </row>
    <row r="713">
      <c r="A713" s="3">
        <v>106.0</v>
      </c>
      <c r="B713" s="3">
        <v>73.0</v>
      </c>
      <c r="C713" s="3">
        <v>2.0</v>
      </c>
      <c r="D713" t="str">
        <f>VLOOKUP(B713,ERA_MOTIF_TYPES.csv!$A$1:$C$119,2,1)</f>
        <v>Arc</v>
      </c>
      <c r="E713" t="str">
        <f>VLOOKUP(A713,Panels!$A$1:$E$2104,5,0)</f>
        <v>Chatton</v>
      </c>
    </row>
    <row r="714">
      <c r="A714" s="3">
        <v>106.0</v>
      </c>
      <c r="B714" s="3">
        <v>87.0</v>
      </c>
      <c r="C714" s="3">
        <v>3.0</v>
      </c>
      <c r="D714" t="str">
        <f>VLOOKUP(B714,ERA_MOTIF_TYPES.csv!$A$1:$C$119,2,1)</f>
        <v>Linear and angular groove</v>
      </c>
      <c r="E714" t="str">
        <f>VLOOKUP(A714,Panels!$A$1:$E$2104,5,0)</f>
        <v>Chatton</v>
      </c>
    </row>
    <row r="715">
      <c r="A715" s="3">
        <v>106.0</v>
      </c>
      <c r="B715" s="3">
        <v>90.0</v>
      </c>
      <c r="C715" s="3">
        <v>1.0</v>
      </c>
      <c r="D715" t="str">
        <f>VLOOKUP(B715,ERA_MOTIF_TYPES.csv!$A$1:$C$119,2,1)</f>
        <v>Serpentine groove</v>
      </c>
      <c r="E715" t="str">
        <f>VLOOKUP(A715,Panels!$A$1:$E$2104,5,0)</f>
        <v>Chatton</v>
      </c>
    </row>
    <row r="716">
      <c r="A716" s="3">
        <v>106.0</v>
      </c>
      <c r="B716" s="3">
        <v>94.0</v>
      </c>
      <c r="C716" s="3">
        <v>1.0</v>
      </c>
      <c r="D716" t="str">
        <f>VLOOKUP(B716,ERA_MOTIF_TYPES.csv!$A$1:$C$119,2,1)</f>
        <v>Basin</v>
      </c>
      <c r="E716" t="str">
        <f>VLOOKUP(A716,Panels!$A$1:$E$2104,5,0)</f>
        <v>Chatton</v>
      </c>
    </row>
    <row r="717">
      <c r="A717" s="3">
        <v>106.0</v>
      </c>
      <c r="B717" s="3">
        <v>101.0</v>
      </c>
      <c r="C717" s="3">
        <v>1.0</v>
      </c>
      <c r="D717" t="str">
        <f>VLOOKUP(B717,ERA_MOTIF_TYPES.csv!$A$1:$C$119,2,1)</f>
        <v>Occulus</v>
      </c>
      <c r="E717" t="str">
        <f>VLOOKUP(A717,Panels!$A$1:$E$2104,5,0)</f>
        <v>Chatton</v>
      </c>
    </row>
    <row r="718">
      <c r="A718" s="3">
        <v>106.0</v>
      </c>
      <c r="B718" s="3">
        <v>110.0</v>
      </c>
      <c r="C718" s="3">
        <v>3.0</v>
      </c>
      <c r="D718" t="str">
        <f>VLOOKUP(B718,ERA_MOTIF_TYPES.csv!$A$1:$C$119,2,1)</f>
        <v>Curved groove</v>
      </c>
      <c r="E718" t="str">
        <f>VLOOKUP(A718,Panels!$A$1:$E$2104,5,0)</f>
        <v>Chatton</v>
      </c>
    </row>
    <row r="719">
      <c r="A719" s="3">
        <v>107.0</v>
      </c>
      <c r="B719" s="3">
        <v>1.0</v>
      </c>
      <c r="C719" s="3">
        <v>1.0</v>
      </c>
      <c r="D719" t="str">
        <f>VLOOKUP(B719,ERA_MOTIF_TYPES.csv!$A$1:$C$119,2,1)</f>
        <v>Cups Single</v>
      </c>
      <c r="E719" t="str">
        <f>VLOOKUP(A719,Panels!$A$1:$E$2104,5,0)</f>
        <v>Chatton</v>
      </c>
    </row>
    <row r="720">
      <c r="A720" s="3">
        <v>107.0</v>
      </c>
      <c r="B720" s="3">
        <v>16.0</v>
      </c>
      <c r="C720" s="3">
        <v>2.0</v>
      </c>
      <c r="D720" t="str">
        <f>VLOOKUP(B720,ERA_MOTIF_TYPES.csv!$A$1:$C$119,2,1)</f>
        <v>Single Arc + cup</v>
      </c>
      <c r="E720" t="str">
        <f>VLOOKUP(A720,Panels!$A$1:$E$2104,5,0)</f>
        <v>Chatton</v>
      </c>
    </row>
    <row r="721">
      <c r="A721" s="3">
        <v>107.0</v>
      </c>
      <c r="B721" s="3">
        <v>31.0</v>
      </c>
      <c r="C721" s="3">
        <v>1.0</v>
      </c>
      <c r="D721" t="str">
        <f>VLOOKUP(B721,ERA_MOTIF_TYPES.csv!$A$1:$C$119,2,1)</f>
        <v>Cup and Groove</v>
      </c>
      <c r="E721" t="str">
        <f>VLOOKUP(A721,Panels!$A$1:$E$2104,5,0)</f>
        <v>Chatton</v>
      </c>
    </row>
    <row r="722">
      <c r="A722" s="3">
        <v>107.0</v>
      </c>
      <c r="B722" s="3">
        <v>52.0</v>
      </c>
      <c r="C722" s="3">
        <v>1.0</v>
      </c>
      <c r="D722" t="str">
        <f>VLOOKUP(B722,ERA_MOTIF_TYPES.csv!$A$1:$C$119,2,1)</f>
        <v>Single or multiple cups</v>
      </c>
      <c r="E722" t="str">
        <f>VLOOKUP(A722,Panels!$A$1:$E$2104,5,0)</f>
        <v>Chatton</v>
      </c>
    </row>
    <row r="723">
      <c r="A723" s="3">
        <v>107.0</v>
      </c>
      <c r="B723" s="3">
        <v>59.0</v>
      </c>
      <c r="C723" s="3">
        <v>3.0</v>
      </c>
      <c r="D723" t="str">
        <f>VLOOKUP(B723,ERA_MOTIF_TYPES.csv!$A$1:$C$119,2,1)</f>
        <v>Cup and penannular</v>
      </c>
      <c r="E723" t="str">
        <f>VLOOKUP(A723,Panels!$A$1:$E$2104,5,0)</f>
        <v>Chatton</v>
      </c>
    </row>
    <row r="724">
      <c r="A724" s="3">
        <v>107.0</v>
      </c>
      <c r="B724" s="3">
        <v>87.0</v>
      </c>
      <c r="C724" s="3">
        <v>1.0</v>
      </c>
      <c r="D724" t="str">
        <f>VLOOKUP(B724,ERA_MOTIF_TYPES.csv!$A$1:$C$119,2,1)</f>
        <v>Linear and angular groove</v>
      </c>
      <c r="E724" t="str">
        <f>VLOOKUP(A724,Panels!$A$1:$E$2104,5,0)</f>
        <v>Chatton</v>
      </c>
    </row>
    <row r="725">
      <c r="A725" s="3">
        <v>108.0</v>
      </c>
      <c r="B725" s="3">
        <v>1.0</v>
      </c>
      <c r="C725" s="3">
        <v>5.0</v>
      </c>
      <c r="D725" t="str">
        <f>VLOOKUP(B725,ERA_MOTIF_TYPES.csv!$A$1:$C$119,2,1)</f>
        <v>Cups Single</v>
      </c>
      <c r="E725" t="str">
        <f>VLOOKUP(A725,Panels!$A$1:$E$2104,5,0)</f>
        <v>Chatton</v>
      </c>
    </row>
    <row r="726">
      <c r="A726" s="3">
        <v>108.0</v>
      </c>
      <c r="B726" s="3">
        <v>52.0</v>
      </c>
      <c r="C726" s="3">
        <v>6.0</v>
      </c>
      <c r="D726" t="str">
        <f>VLOOKUP(B726,ERA_MOTIF_TYPES.csv!$A$1:$C$119,2,1)</f>
        <v>Single or multiple cups</v>
      </c>
      <c r="E726" t="str">
        <f>VLOOKUP(A726,Panels!$A$1:$E$2104,5,0)</f>
        <v>Chatton</v>
      </c>
    </row>
    <row r="727">
      <c r="A727" s="3">
        <v>109.0</v>
      </c>
      <c r="B727" s="3">
        <v>1.0</v>
      </c>
      <c r="C727" s="3">
        <v>2.0</v>
      </c>
      <c r="D727" t="str">
        <f>VLOOKUP(B727,ERA_MOTIF_TYPES.csv!$A$1:$C$119,2,1)</f>
        <v>Cups Single</v>
      </c>
      <c r="E727" t="str">
        <f>VLOOKUP(A727,Panels!$A$1:$E$2104,5,0)</f>
        <v>Chatton</v>
      </c>
    </row>
    <row r="728">
      <c r="A728" s="3">
        <v>109.0</v>
      </c>
      <c r="B728" s="3">
        <v>50.0</v>
      </c>
      <c r="C728" s="3">
        <v>2.0</v>
      </c>
      <c r="D728" t="str">
        <f>VLOOKUP(B728,ERA_MOTIF_TYPES.csv!$A$1:$C$119,2,1)</f>
        <v>Channels</v>
      </c>
      <c r="E728" t="str">
        <f>VLOOKUP(A728,Panels!$A$1:$E$2104,5,0)</f>
        <v>Chatton</v>
      </c>
    </row>
    <row r="729">
      <c r="A729" s="3">
        <v>109.0</v>
      </c>
      <c r="B729" s="3">
        <v>51.0</v>
      </c>
      <c r="C729" s="3">
        <v>5.0</v>
      </c>
      <c r="D729" t="str">
        <f>VLOOKUP(B729,ERA_MOTIF_TYPES.csv!$A$1:$C$119,2,1)</f>
        <v>Bowls</v>
      </c>
      <c r="E729" t="str">
        <f>VLOOKUP(A729,Panels!$A$1:$E$2104,5,0)</f>
        <v>Chatton</v>
      </c>
    </row>
    <row r="730">
      <c r="A730" s="3">
        <v>109.0</v>
      </c>
      <c r="B730" s="3">
        <v>52.0</v>
      </c>
      <c r="C730" s="3">
        <v>2.0</v>
      </c>
      <c r="D730" t="str">
        <f>VLOOKUP(B730,ERA_MOTIF_TYPES.csv!$A$1:$C$119,2,1)</f>
        <v>Single or multiple cups</v>
      </c>
      <c r="E730" t="str">
        <f>VLOOKUP(A730,Panels!$A$1:$E$2104,5,0)</f>
        <v>Chatton</v>
      </c>
    </row>
    <row r="731">
      <c r="A731" s="3">
        <v>110.0</v>
      </c>
      <c r="B731" s="3">
        <v>1.0</v>
      </c>
      <c r="C731" s="3">
        <v>4.0</v>
      </c>
      <c r="D731" t="str">
        <f>VLOOKUP(B731,ERA_MOTIF_TYPES.csv!$A$1:$C$119,2,1)</f>
        <v>Cups Single</v>
      </c>
      <c r="E731" t="str">
        <f>VLOOKUP(A731,Panels!$A$1:$E$2104,5,0)</f>
        <v>Chatton</v>
      </c>
    </row>
    <row r="732">
      <c r="A732" s="3">
        <v>110.0</v>
      </c>
      <c r="B732" s="3">
        <v>2.0</v>
      </c>
      <c r="C732" s="3">
        <v>1.0</v>
      </c>
      <c r="D732" t="str">
        <f>VLOOKUP(B732,ERA_MOTIF_TYPES.csv!$A$1:$C$119,2,1)</f>
        <v>Random Cluster</v>
      </c>
      <c r="E732" t="str">
        <f>VLOOKUP(A732,Panels!$A$1:$E$2104,5,0)</f>
        <v>Chatton</v>
      </c>
    </row>
    <row r="733">
      <c r="A733" s="3">
        <v>110.0</v>
      </c>
      <c r="B733" s="3">
        <v>14.0</v>
      </c>
      <c r="C733" s="3">
        <v>1.0</v>
      </c>
      <c r="D733" t="str">
        <f>VLOOKUP(B733,ERA_MOTIF_TYPES.csv!$A$1:$C$119,2,1)</f>
        <v>Multi Ring + cup</v>
      </c>
      <c r="E733" t="str">
        <f>VLOOKUP(A733,Panels!$A$1:$E$2104,5,0)</f>
        <v>Chatton</v>
      </c>
    </row>
    <row r="734">
      <c r="A734" s="3">
        <v>110.0</v>
      </c>
      <c r="B734" s="3">
        <v>15.0</v>
      </c>
      <c r="C734" s="3">
        <v>2.0</v>
      </c>
      <c r="D734" t="str">
        <f>VLOOKUP(B734,ERA_MOTIF_TYPES.csv!$A$1:$C$119,2,1)</f>
        <v>Multi Penanular + cup</v>
      </c>
      <c r="E734" t="str">
        <f>VLOOKUP(A734,Panels!$A$1:$E$2104,5,0)</f>
        <v>Chatton</v>
      </c>
    </row>
    <row r="735">
      <c r="A735" s="3">
        <v>110.0</v>
      </c>
      <c r="B735" s="3">
        <v>16.0</v>
      </c>
      <c r="C735" s="3">
        <v>1.0</v>
      </c>
      <c r="D735" t="str">
        <f>VLOOKUP(B735,ERA_MOTIF_TYPES.csv!$A$1:$C$119,2,1)</f>
        <v>Single Arc + cup</v>
      </c>
      <c r="E735" t="str">
        <f>VLOOKUP(A735,Panels!$A$1:$E$2104,5,0)</f>
        <v>Chatton</v>
      </c>
    </row>
    <row r="736">
      <c r="A736" s="3">
        <v>110.0</v>
      </c>
      <c r="B736" s="3">
        <v>52.0</v>
      </c>
      <c r="C736" s="3">
        <v>5.0</v>
      </c>
      <c r="D736" t="str">
        <f>VLOOKUP(B736,ERA_MOTIF_TYPES.csv!$A$1:$C$119,2,1)</f>
        <v>Single or multiple cups</v>
      </c>
      <c r="E736" t="str">
        <f>VLOOKUP(A736,Panels!$A$1:$E$2104,5,0)</f>
        <v>Chatton</v>
      </c>
    </row>
    <row r="737">
      <c r="A737" s="3">
        <v>110.0</v>
      </c>
      <c r="B737" s="3">
        <v>58.0</v>
      </c>
      <c r="C737" s="3">
        <v>1.0</v>
      </c>
      <c r="D737" t="str">
        <f>VLOOKUP(B737,ERA_MOTIF_TYPES.csv!$A$1:$C$119,2,1)</f>
        <v>Cup and multiple rings</v>
      </c>
      <c r="E737" t="str">
        <f>VLOOKUP(A737,Panels!$A$1:$E$2104,5,0)</f>
        <v>Chatton</v>
      </c>
    </row>
    <row r="738">
      <c r="A738" s="3">
        <v>110.0</v>
      </c>
      <c r="B738" s="3">
        <v>59.0</v>
      </c>
      <c r="C738" s="3">
        <v>1.0</v>
      </c>
      <c r="D738" t="str">
        <f>VLOOKUP(B738,ERA_MOTIF_TYPES.csv!$A$1:$C$119,2,1)</f>
        <v>Cup and penannular</v>
      </c>
      <c r="E738" t="str">
        <f>VLOOKUP(A738,Panels!$A$1:$E$2104,5,0)</f>
        <v>Chatton</v>
      </c>
    </row>
    <row r="739">
      <c r="A739" s="3">
        <v>110.0</v>
      </c>
      <c r="B739" s="3">
        <v>60.0</v>
      </c>
      <c r="C739" s="3">
        <v>2.0</v>
      </c>
      <c r="D739" t="str">
        <f>VLOOKUP(B739,ERA_MOTIF_TYPES.csv!$A$1:$C$119,2,1)</f>
        <v>Cup and multiple penannulars</v>
      </c>
      <c r="E739" t="str">
        <f>VLOOKUP(A739,Panels!$A$1:$E$2104,5,0)</f>
        <v>Chatton</v>
      </c>
    </row>
    <row r="740">
      <c r="A740" s="3">
        <v>110.0</v>
      </c>
      <c r="B740" s="3">
        <v>62.0</v>
      </c>
      <c r="C740" s="3">
        <v>1.0</v>
      </c>
      <c r="D740" t="str">
        <f>VLOOKUP(B740,ERA_MOTIF_TYPES.csv!$A$1:$C$119,2,1)</f>
        <v>Cup and multiple arcs</v>
      </c>
      <c r="E740" t="str">
        <f>VLOOKUP(A740,Panels!$A$1:$E$2104,5,0)</f>
        <v>Chatton</v>
      </c>
    </row>
    <row r="741">
      <c r="A741" s="3">
        <v>110.0</v>
      </c>
      <c r="B741" s="3">
        <v>93.0</v>
      </c>
      <c r="C741" s="3">
        <v>3.0</v>
      </c>
      <c r="D741" t="str">
        <f>VLOOKUP(B741,ERA_MOTIF_TYPES.csv!$A$1:$C$119,2,1)</f>
        <v>Midget cup</v>
      </c>
      <c r="E741" t="str">
        <f>VLOOKUP(A741,Panels!$A$1:$E$2104,5,0)</f>
        <v>Chatton</v>
      </c>
    </row>
    <row r="742">
      <c r="A742" s="3">
        <v>111.0</v>
      </c>
      <c r="B742" s="3">
        <v>1.0</v>
      </c>
      <c r="C742" s="3">
        <v>1.0</v>
      </c>
      <c r="D742" t="str">
        <f>VLOOKUP(B742,ERA_MOTIF_TYPES.csv!$A$1:$C$119,2,1)</f>
        <v>Cups Single</v>
      </c>
      <c r="E742" t="str">
        <f>VLOOKUP(A742,Panels!$A$1:$E$2104,5,0)</f>
        <v>Chatton</v>
      </c>
    </row>
    <row r="743">
      <c r="A743" s="3">
        <v>111.0</v>
      </c>
      <c r="B743" s="3">
        <v>6.0</v>
      </c>
      <c r="C743" s="3">
        <v>3.0</v>
      </c>
      <c r="D743" t="str">
        <f>VLOOKUP(B743,ERA_MOTIF_TYPES.csv!$A$1:$C$119,2,1)</f>
        <v>curved or straight line</v>
      </c>
      <c r="E743" t="str">
        <f>VLOOKUP(A743,Panels!$A$1:$E$2104,5,0)</f>
        <v>Chatton</v>
      </c>
    </row>
    <row r="744">
      <c r="A744" s="3">
        <v>111.0</v>
      </c>
      <c r="B744" s="3">
        <v>31.0</v>
      </c>
      <c r="C744" s="3">
        <v>1.0</v>
      </c>
      <c r="D744" t="str">
        <f>VLOOKUP(B744,ERA_MOTIF_TYPES.csv!$A$1:$C$119,2,1)</f>
        <v>Cup and Groove</v>
      </c>
      <c r="E744" t="str">
        <f>VLOOKUP(A744,Panels!$A$1:$E$2104,5,0)</f>
        <v>Chatton</v>
      </c>
    </row>
    <row r="745">
      <c r="A745" s="3">
        <v>111.0</v>
      </c>
      <c r="B745" s="3">
        <v>51.0</v>
      </c>
      <c r="C745" s="3">
        <v>1.0</v>
      </c>
      <c r="D745" t="str">
        <f>VLOOKUP(B745,ERA_MOTIF_TYPES.csv!$A$1:$C$119,2,1)</f>
        <v>Bowls</v>
      </c>
      <c r="E745" t="str">
        <f>VLOOKUP(A745,Panels!$A$1:$E$2104,5,0)</f>
        <v>Chatton</v>
      </c>
    </row>
    <row r="746">
      <c r="A746" s="3">
        <v>111.0</v>
      </c>
      <c r="B746" s="3">
        <v>52.0</v>
      </c>
      <c r="C746" s="3">
        <v>24.0</v>
      </c>
      <c r="D746" t="str">
        <f>VLOOKUP(B746,ERA_MOTIF_TYPES.csv!$A$1:$C$119,2,1)</f>
        <v>Single or multiple cups</v>
      </c>
      <c r="E746" t="str">
        <f>VLOOKUP(A746,Panels!$A$1:$E$2104,5,0)</f>
        <v>Chatton</v>
      </c>
    </row>
    <row r="747">
      <c r="A747" s="3">
        <v>111.0</v>
      </c>
      <c r="B747" s="3">
        <v>87.0</v>
      </c>
      <c r="C747" s="3">
        <v>1.0</v>
      </c>
      <c r="D747" t="str">
        <f>VLOOKUP(B747,ERA_MOTIF_TYPES.csv!$A$1:$C$119,2,1)</f>
        <v>Linear and angular groove</v>
      </c>
      <c r="E747" t="str">
        <f>VLOOKUP(A747,Panels!$A$1:$E$2104,5,0)</f>
        <v>Chatton</v>
      </c>
    </row>
    <row r="748">
      <c r="A748" s="3">
        <v>111.0</v>
      </c>
      <c r="B748" s="3">
        <v>100.0</v>
      </c>
      <c r="C748" s="3">
        <v>1.0</v>
      </c>
      <c r="D748" t="str">
        <f>VLOOKUP(B748,ERA_MOTIF_TYPES.csv!$A$1:$C$119,2,1)</f>
        <v>Pick marks</v>
      </c>
      <c r="E748" t="str">
        <f>VLOOKUP(A748,Panels!$A$1:$E$2104,5,0)</f>
        <v>Chatton</v>
      </c>
    </row>
    <row r="749">
      <c r="A749" s="3">
        <v>111.0</v>
      </c>
      <c r="B749" s="3">
        <v>103.0</v>
      </c>
      <c r="C749" s="3">
        <v>1.0</v>
      </c>
      <c r="D749" t="str">
        <f>VLOOKUP(B749,ERA_MOTIF_TYPES.csv!$A$1:$C$119,2,1)</f>
        <v>Cup and groove</v>
      </c>
      <c r="E749" t="str">
        <f>VLOOKUP(A749,Panels!$A$1:$E$2104,5,0)</f>
        <v>Chatton</v>
      </c>
    </row>
    <row r="750">
      <c r="A750" s="3">
        <v>111.0</v>
      </c>
      <c r="B750" s="3">
        <v>105.0</v>
      </c>
      <c r="C750" s="3">
        <v>2.0</v>
      </c>
      <c r="D750" t="str">
        <f>VLOOKUP(B750,ERA_MOTIF_TYPES.csv!$A$1:$C$119,2,1)</f>
        <v>Two cups linked by a groove</v>
      </c>
      <c r="E750" t="str">
        <f>VLOOKUP(A750,Panels!$A$1:$E$2104,5,0)</f>
        <v>Chatton</v>
      </c>
    </row>
    <row r="751">
      <c r="A751" s="3">
        <v>112.0</v>
      </c>
      <c r="B751" s="3">
        <v>1.0</v>
      </c>
      <c r="C751" s="3">
        <v>7.0</v>
      </c>
      <c r="D751" t="str">
        <f>VLOOKUP(B751,ERA_MOTIF_TYPES.csv!$A$1:$C$119,2,1)</f>
        <v>Cups Single</v>
      </c>
      <c r="E751" t="str">
        <f>VLOOKUP(A751,Panels!$A$1:$E$2104,5,0)</f>
        <v>West Hill, Kirknewton</v>
      </c>
    </row>
    <row r="752">
      <c r="A752" s="3">
        <v>112.0</v>
      </c>
      <c r="B752" s="3">
        <v>31.0</v>
      </c>
      <c r="C752" s="3">
        <v>1.0</v>
      </c>
      <c r="D752" t="str">
        <f>VLOOKUP(B752,ERA_MOTIF_TYPES.csv!$A$1:$C$119,2,1)</f>
        <v>Cup and Groove</v>
      </c>
      <c r="E752" t="str">
        <f>VLOOKUP(A752,Panels!$A$1:$E$2104,5,0)</f>
        <v>West Hill, Kirknewton</v>
      </c>
    </row>
    <row r="753">
      <c r="A753" s="3">
        <v>112.0</v>
      </c>
      <c r="B753" s="3">
        <v>52.0</v>
      </c>
      <c r="C753" s="3">
        <v>9.0</v>
      </c>
      <c r="D753" t="str">
        <f>VLOOKUP(B753,ERA_MOTIF_TYPES.csv!$A$1:$C$119,2,1)</f>
        <v>Single or multiple cups</v>
      </c>
      <c r="E753" t="str">
        <f>VLOOKUP(A753,Panels!$A$1:$E$2104,5,0)</f>
        <v>West Hill, Kirknewton</v>
      </c>
    </row>
    <row r="754">
      <c r="A754" s="3">
        <v>113.0</v>
      </c>
      <c r="B754" s="3">
        <v>1.0</v>
      </c>
      <c r="C754" s="3">
        <v>1.0</v>
      </c>
      <c r="D754" t="str">
        <f>VLOOKUP(B754,ERA_MOTIF_TYPES.csv!$A$1:$C$119,2,1)</f>
        <v>Cups Single</v>
      </c>
      <c r="E754" t="str">
        <f>VLOOKUP(A754,Panels!$A$1:$E$2104,5,0)</f>
        <v>Chatton</v>
      </c>
    </row>
    <row r="755">
      <c r="A755" s="3">
        <v>113.0</v>
      </c>
      <c r="B755" s="3">
        <v>52.0</v>
      </c>
      <c r="C755" s="3">
        <v>1.0</v>
      </c>
      <c r="D755" t="str">
        <f>VLOOKUP(B755,ERA_MOTIF_TYPES.csv!$A$1:$C$119,2,1)</f>
        <v>Single or multiple cups</v>
      </c>
      <c r="E755" t="str">
        <f>VLOOKUP(A755,Panels!$A$1:$E$2104,5,0)</f>
        <v>Chatton</v>
      </c>
    </row>
    <row r="756">
      <c r="A756" s="3">
        <v>115.0</v>
      </c>
      <c r="B756" s="3">
        <v>1.0</v>
      </c>
      <c r="C756" s="3">
        <v>2.0</v>
      </c>
      <c r="D756" t="str">
        <f>VLOOKUP(B756,ERA_MOTIF_TYPES.csv!$A$1:$C$119,2,1)</f>
        <v>Cups Single</v>
      </c>
      <c r="E756" t="str">
        <f>VLOOKUP(A756,Panels!$A$1:$E$2104,5,0)</f>
        <v>Chatton</v>
      </c>
    </row>
    <row r="757">
      <c r="A757" s="3">
        <v>115.0</v>
      </c>
      <c r="B757" s="3">
        <v>52.0</v>
      </c>
      <c r="C757" s="3">
        <v>3.0</v>
      </c>
      <c r="D757" t="str">
        <f>VLOOKUP(B757,ERA_MOTIF_TYPES.csv!$A$1:$C$119,2,1)</f>
        <v>Single or multiple cups</v>
      </c>
      <c r="E757" t="str">
        <f>VLOOKUP(A757,Panels!$A$1:$E$2104,5,0)</f>
        <v>Chatton</v>
      </c>
    </row>
    <row r="758">
      <c r="A758" s="3">
        <v>116.0</v>
      </c>
      <c r="B758" s="3">
        <v>1.0</v>
      </c>
      <c r="C758" s="3">
        <v>5.0</v>
      </c>
      <c r="D758" t="str">
        <f>VLOOKUP(B758,ERA_MOTIF_TYPES.csv!$A$1:$C$119,2,1)</f>
        <v>Cups Single</v>
      </c>
      <c r="E758" t="str">
        <f>VLOOKUP(A758,Panels!$A$1:$E$2104,5,0)</f>
        <v>Chatton</v>
      </c>
    </row>
    <row r="759">
      <c r="A759" s="3">
        <v>116.0</v>
      </c>
      <c r="B759" s="3">
        <v>52.0</v>
      </c>
      <c r="C759" s="3">
        <v>6.0</v>
      </c>
      <c r="D759" t="str">
        <f>VLOOKUP(B759,ERA_MOTIF_TYPES.csv!$A$1:$C$119,2,1)</f>
        <v>Single or multiple cups</v>
      </c>
      <c r="E759" t="str">
        <f>VLOOKUP(A759,Panels!$A$1:$E$2104,5,0)</f>
        <v>Chatton</v>
      </c>
    </row>
    <row r="760">
      <c r="A760" s="3">
        <v>117.0</v>
      </c>
      <c r="B760" s="3">
        <v>2.0</v>
      </c>
      <c r="C760" s="3">
        <v>2.0</v>
      </c>
      <c r="D760" t="str">
        <f>VLOOKUP(B760,ERA_MOTIF_TYPES.csv!$A$1:$C$119,2,1)</f>
        <v>Random Cluster</v>
      </c>
      <c r="E760" t="str">
        <f>VLOOKUP(A760,Panels!$A$1:$E$2104,5,0)</f>
        <v>Chatton</v>
      </c>
    </row>
    <row r="761">
      <c r="A761" s="3">
        <v>117.0</v>
      </c>
      <c r="B761" s="3">
        <v>52.0</v>
      </c>
      <c r="C761" s="3">
        <v>10.0</v>
      </c>
      <c r="D761" t="str">
        <f>VLOOKUP(B761,ERA_MOTIF_TYPES.csv!$A$1:$C$119,2,1)</f>
        <v>Single or multiple cups</v>
      </c>
      <c r="E761" t="str">
        <f>VLOOKUP(A761,Panels!$A$1:$E$2104,5,0)</f>
        <v>Chatton</v>
      </c>
    </row>
    <row r="762">
      <c r="A762" s="3">
        <v>117.0</v>
      </c>
      <c r="B762" s="3">
        <v>73.0</v>
      </c>
      <c r="C762" s="3">
        <v>1.0</v>
      </c>
      <c r="D762" t="str">
        <f>VLOOKUP(B762,ERA_MOTIF_TYPES.csv!$A$1:$C$119,2,1)</f>
        <v>Arc</v>
      </c>
      <c r="E762" t="str">
        <f>VLOOKUP(A762,Panels!$A$1:$E$2104,5,0)</f>
        <v>Chatton</v>
      </c>
    </row>
    <row r="763">
      <c r="A763" s="3">
        <v>118.0</v>
      </c>
      <c r="B763" s="3">
        <v>87.0</v>
      </c>
      <c r="C763" s="3">
        <v>1.0</v>
      </c>
      <c r="D763" t="str">
        <f>VLOOKUP(B763,ERA_MOTIF_TYPES.csv!$A$1:$C$119,2,1)</f>
        <v>Linear and angular groove</v>
      </c>
      <c r="E763" t="str">
        <f>VLOOKUP(A763,Panels!$A$1:$E$2104,5,0)</f>
        <v>Chatton</v>
      </c>
    </row>
    <row r="764">
      <c r="A764" s="3">
        <v>118.0</v>
      </c>
      <c r="B764" s="3">
        <v>116.0</v>
      </c>
      <c r="C764" s="3">
        <v>1.0</v>
      </c>
      <c r="D764" t="str">
        <f>VLOOKUP(B764,ERA_MOTIF_TYPES.csv!$A$1:$C$119,2,1)</f>
        <v>Multiple square grooves</v>
      </c>
      <c r="E764" t="str">
        <f>VLOOKUP(A764,Panels!$A$1:$E$2104,5,0)</f>
        <v>Chatton</v>
      </c>
    </row>
    <row r="765">
      <c r="A765" s="3">
        <v>119.0</v>
      </c>
      <c r="B765" s="3">
        <v>16.0</v>
      </c>
      <c r="C765" s="3">
        <v>1.0</v>
      </c>
      <c r="D765" t="str">
        <f>VLOOKUP(B765,ERA_MOTIF_TYPES.csv!$A$1:$C$119,2,1)</f>
        <v>Single Arc + cup</v>
      </c>
      <c r="E765" t="str">
        <f>VLOOKUP(A765,Panels!$A$1:$E$2104,5,0)</f>
        <v>Chatton</v>
      </c>
    </row>
    <row r="766">
      <c r="A766" s="3">
        <v>119.0</v>
      </c>
      <c r="B766" s="3">
        <v>52.0</v>
      </c>
      <c r="C766" s="3">
        <v>7.0</v>
      </c>
      <c r="D766" t="str">
        <f>VLOOKUP(B766,ERA_MOTIF_TYPES.csv!$A$1:$C$119,2,1)</f>
        <v>Single or multiple cups</v>
      </c>
      <c r="E766" t="str">
        <f>VLOOKUP(A766,Panels!$A$1:$E$2104,5,0)</f>
        <v>Chatton</v>
      </c>
    </row>
    <row r="767">
      <c r="A767" s="3">
        <v>119.0</v>
      </c>
      <c r="B767" s="3">
        <v>59.0</v>
      </c>
      <c r="C767" s="3">
        <v>1.0</v>
      </c>
      <c r="D767" t="str">
        <f>VLOOKUP(B767,ERA_MOTIF_TYPES.csv!$A$1:$C$119,2,1)</f>
        <v>Cup and penannular</v>
      </c>
      <c r="E767" t="str">
        <f>VLOOKUP(A767,Panels!$A$1:$E$2104,5,0)</f>
        <v>Chatton</v>
      </c>
    </row>
    <row r="768">
      <c r="A768" s="3">
        <v>119.0</v>
      </c>
      <c r="B768" s="3">
        <v>60.0</v>
      </c>
      <c r="C768" s="3">
        <v>1.0</v>
      </c>
      <c r="D768" t="str">
        <f>VLOOKUP(B768,ERA_MOTIF_TYPES.csv!$A$1:$C$119,2,1)</f>
        <v>Cup and multiple penannulars</v>
      </c>
      <c r="E768" t="str">
        <f>VLOOKUP(A768,Panels!$A$1:$E$2104,5,0)</f>
        <v>Chatton</v>
      </c>
    </row>
    <row r="769">
      <c r="A769" s="3">
        <v>119.0</v>
      </c>
      <c r="B769" s="3">
        <v>61.0</v>
      </c>
      <c r="C769" s="3">
        <v>3.0</v>
      </c>
      <c r="D769" t="str">
        <f>VLOOKUP(B769,ERA_MOTIF_TYPES.csv!$A$1:$C$119,2,1)</f>
        <v>Cup and arc (or semi-ovoid)</v>
      </c>
      <c r="E769" t="str">
        <f>VLOOKUP(A769,Panels!$A$1:$E$2104,5,0)</f>
        <v>Chatton</v>
      </c>
    </row>
    <row r="770">
      <c r="A770" s="3">
        <v>119.0</v>
      </c>
      <c r="B770" s="3">
        <v>73.0</v>
      </c>
      <c r="C770" s="3">
        <v>2.0</v>
      </c>
      <c r="D770" t="str">
        <f>VLOOKUP(B770,ERA_MOTIF_TYPES.csv!$A$1:$C$119,2,1)</f>
        <v>Arc</v>
      </c>
      <c r="E770" t="str">
        <f>VLOOKUP(A770,Panels!$A$1:$E$2104,5,0)</f>
        <v>Chatton</v>
      </c>
    </row>
    <row r="771">
      <c r="A771" s="3">
        <v>120.0</v>
      </c>
      <c r="B771" s="3">
        <v>2.0</v>
      </c>
      <c r="C771" s="3">
        <v>2.0</v>
      </c>
      <c r="D771" t="str">
        <f>VLOOKUP(B771,ERA_MOTIF_TYPES.csv!$A$1:$C$119,2,1)</f>
        <v>Random Cluster</v>
      </c>
      <c r="E771" t="str">
        <f>VLOOKUP(A771,Panels!$A$1:$E$2104,5,0)</f>
        <v>Chatton</v>
      </c>
    </row>
    <row r="772">
      <c r="A772" s="3">
        <v>120.0</v>
      </c>
      <c r="B772" s="3">
        <v>93.0</v>
      </c>
      <c r="C772" s="3">
        <v>17.0</v>
      </c>
      <c r="D772" t="str">
        <f>VLOOKUP(B772,ERA_MOTIF_TYPES.csv!$A$1:$C$119,2,1)</f>
        <v>Midget cup</v>
      </c>
      <c r="E772" t="str">
        <f>VLOOKUP(A772,Panels!$A$1:$E$2104,5,0)</f>
        <v>Chatton</v>
      </c>
    </row>
    <row r="773">
      <c r="A773" s="3">
        <v>121.0</v>
      </c>
      <c r="B773" s="3">
        <v>1.0</v>
      </c>
      <c r="C773" s="3">
        <v>1.0</v>
      </c>
      <c r="D773" t="str">
        <f>VLOOKUP(B773,ERA_MOTIF_TYPES.csv!$A$1:$C$119,2,1)</f>
        <v>Cups Single</v>
      </c>
      <c r="E773" t="str">
        <f>VLOOKUP(A773,Panels!$A$1:$E$2104,5,0)</f>
        <v>Chatton</v>
      </c>
    </row>
    <row r="774">
      <c r="A774" s="3">
        <v>121.0</v>
      </c>
      <c r="B774" s="3">
        <v>3.0</v>
      </c>
      <c r="C774" s="3">
        <v>2.0</v>
      </c>
      <c r="D774" t="str">
        <f>VLOOKUP(B774,ERA_MOTIF_TYPES.csv!$A$1:$C$119,2,1)</f>
        <v>Parallel Domino</v>
      </c>
      <c r="E774" t="str">
        <f>VLOOKUP(A774,Panels!$A$1:$E$2104,5,0)</f>
        <v>Chatton</v>
      </c>
    </row>
    <row r="775">
      <c r="A775" s="3">
        <v>121.0</v>
      </c>
      <c r="B775" s="3">
        <v>14.0</v>
      </c>
      <c r="C775" s="3">
        <v>2.0</v>
      </c>
      <c r="D775" t="str">
        <f>VLOOKUP(B775,ERA_MOTIF_TYPES.csv!$A$1:$C$119,2,1)</f>
        <v>Multi Ring + cup</v>
      </c>
      <c r="E775" t="str">
        <f>VLOOKUP(A775,Panels!$A$1:$E$2104,5,0)</f>
        <v>Chatton</v>
      </c>
    </row>
    <row r="776">
      <c r="A776" s="3">
        <v>121.0</v>
      </c>
      <c r="B776" s="3">
        <v>15.0</v>
      </c>
      <c r="C776" s="3">
        <v>3.0</v>
      </c>
      <c r="D776" t="str">
        <f>VLOOKUP(B776,ERA_MOTIF_TYPES.csv!$A$1:$C$119,2,1)</f>
        <v>Multi Penanular + cup</v>
      </c>
      <c r="E776" t="str">
        <f>VLOOKUP(A776,Panels!$A$1:$E$2104,5,0)</f>
        <v>Chatton</v>
      </c>
    </row>
    <row r="777">
      <c r="A777" s="3">
        <v>121.0</v>
      </c>
      <c r="B777" s="3">
        <v>16.0</v>
      </c>
      <c r="C777" s="3">
        <v>1.0</v>
      </c>
      <c r="D777" t="str">
        <f>VLOOKUP(B777,ERA_MOTIF_TYPES.csv!$A$1:$C$119,2,1)</f>
        <v>Single Arc + cup</v>
      </c>
      <c r="E777" t="str">
        <f>VLOOKUP(A777,Panels!$A$1:$E$2104,5,0)</f>
        <v>Chatton</v>
      </c>
    </row>
    <row r="778">
      <c r="A778" s="3">
        <v>121.0</v>
      </c>
      <c r="B778" s="3">
        <v>18.0</v>
      </c>
      <c r="C778" s="3">
        <v>1.0</v>
      </c>
      <c r="D778" t="str">
        <f>VLOOKUP(B778,ERA_MOTIF_TYPES.csv!$A$1:$C$119,2,1)</f>
        <v>Multi Arc + cup</v>
      </c>
      <c r="E778" t="str">
        <f>VLOOKUP(A778,Panels!$A$1:$E$2104,5,0)</f>
        <v>Chatton</v>
      </c>
    </row>
    <row r="779">
      <c r="A779" s="3">
        <v>121.0</v>
      </c>
      <c r="B779" s="3">
        <v>24.0</v>
      </c>
      <c r="C779" s="3">
        <v>1.0</v>
      </c>
      <c r="D779" t="str">
        <f>VLOOKUP(B779,ERA_MOTIF_TYPES.csv!$A$1:$C$119,2,1)</f>
        <v>Multi Keyhole and Cup</v>
      </c>
      <c r="E779" t="str">
        <f>VLOOKUP(A779,Panels!$A$1:$E$2104,5,0)</f>
        <v>Chatton</v>
      </c>
    </row>
    <row r="780">
      <c r="A780" s="3">
        <v>121.0</v>
      </c>
      <c r="B780" s="3">
        <v>52.0</v>
      </c>
      <c r="C780" s="3">
        <v>6.0</v>
      </c>
      <c r="D780" t="str">
        <f>VLOOKUP(B780,ERA_MOTIF_TYPES.csv!$A$1:$C$119,2,1)</f>
        <v>Single or multiple cups</v>
      </c>
      <c r="E780" t="str">
        <f>VLOOKUP(A780,Panels!$A$1:$E$2104,5,0)</f>
        <v>Chatton</v>
      </c>
    </row>
    <row r="781">
      <c r="A781" s="3">
        <v>121.0</v>
      </c>
      <c r="B781" s="3">
        <v>53.0</v>
      </c>
      <c r="C781" s="3">
        <v>4.0</v>
      </c>
      <c r="D781" t="str">
        <f>VLOOKUP(B781,ERA_MOTIF_TYPES.csv!$A$1:$C$119,2,1)</f>
        <v>Domino patterns and parallel lines</v>
      </c>
      <c r="E781" t="str">
        <f>VLOOKUP(A781,Panels!$A$1:$E$2104,5,0)</f>
        <v>Chatton</v>
      </c>
    </row>
    <row r="782">
      <c r="A782" s="3">
        <v>121.0</v>
      </c>
      <c r="B782" s="3">
        <v>57.0</v>
      </c>
      <c r="C782" s="3">
        <v>2.0</v>
      </c>
      <c r="D782" t="str">
        <f>VLOOKUP(B782,ERA_MOTIF_TYPES.csv!$A$1:$C$119,2,1)</f>
        <v>Cup and ring</v>
      </c>
      <c r="E782" t="str">
        <f>VLOOKUP(A782,Panels!$A$1:$E$2104,5,0)</f>
        <v>Chatton</v>
      </c>
    </row>
    <row r="783">
      <c r="A783" s="3">
        <v>121.0</v>
      </c>
      <c r="B783" s="3">
        <v>58.0</v>
      </c>
      <c r="C783" s="3">
        <v>3.0</v>
      </c>
      <c r="D783" t="str">
        <f>VLOOKUP(B783,ERA_MOTIF_TYPES.csv!$A$1:$C$119,2,1)</f>
        <v>Cup and multiple rings</v>
      </c>
      <c r="E783" t="str">
        <f>VLOOKUP(A783,Panels!$A$1:$E$2104,5,0)</f>
        <v>Chatton</v>
      </c>
    </row>
    <row r="784">
      <c r="A784" s="3">
        <v>121.0</v>
      </c>
      <c r="B784" s="3">
        <v>59.0</v>
      </c>
      <c r="C784" s="3">
        <v>1.0</v>
      </c>
      <c r="D784" t="str">
        <f>VLOOKUP(B784,ERA_MOTIF_TYPES.csv!$A$1:$C$119,2,1)</f>
        <v>Cup and penannular</v>
      </c>
      <c r="E784" t="str">
        <f>VLOOKUP(A784,Panels!$A$1:$E$2104,5,0)</f>
        <v>Chatton</v>
      </c>
    </row>
    <row r="785">
      <c r="A785" s="3">
        <v>121.0</v>
      </c>
      <c r="B785" s="3">
        <v>60.0</v>
      </c>
      <c r="C785" s="3">
        <v>1.0</v>
      </c>
      <c r="D785" t="str">
        <f>VLOOKUP(B785,ERA_MOTIF_TYPES.csv!$A$1:$C$119,2,1)</f>
        <v>Cup and multiple penannulars</v>
      </c>
      <c r="E785" t="str">
        <f>VLOOKUP(A785,Panels!$A$1:$E$2104,5,0)</f>
        <v>Chatton</v>
      </c>
    </row>
    <row r="786">
      <c r="A786" s="3">
        <v>121.0</v>
      </c>
      <c r="B786" s="3">
        <v>61.0</v>
      </c>
      <c r="C786" s="3">
        <v>1.0</v>
      </c>
      <c r="D786" t="str">
        <f>VLOOKUP(B786,ERA_MOTIF_TYPES.csv!$A$1:$C$119,2,1)</f>
        <v>Cup and arc (or semi-ovoid)</v>
      </c>
      <c r="E786" t="str">
        <f>VLOOKUP(A786,Panels!$A$1:$E$2104,5,0)</f>
        <v>Chatton</v>
      </c>
    </row>
    <row r="787">
      <c r="A787" s="3">
        <v>121.0</v>
      </c>
      <c r="B787" s="3">
        <v>62.0</v>
      </c>
      <c r="C787" s="3">
        <v>1.0</v>
      </c>
      <c r="D787" t="str">
        <f>VLOOKUP(B787,ERA_MOTIF_TYPES.csv!$A$1:$C$119,2,1)</f>
        <v>Cup and multiple arcs</v>
      </c>
      <c r="E787" t="str">
        <f>VLOOKUP(A787,Panels!$A$1:$E$2104,5,0)</f>
        <v>Chatton</v>
      </c>
    </row>
    <row r="788">
      <c r="A788" s="3">
        <v>121.0</v>
      </c>
      <c r="B788" s="3">
        <v>64.0</v>
      </c>
      <c r="C788" s="3">
        <v>2.0</v>
      </c>
      <c r="D788" t="str">
        <f>VLOOKUP(B788,ERA_MOTIF_TYPES.csv!$A$1:$C$119,2,1)</f>
        <v>Cup with groove cutting through multiple rings</v>
      </c>
      <c r="E788" t="str">
        <f>VLOOKUP(A788,Panels!$A$1:$E$2104,5,0)</f>
        <v>Chatton</v>
      </c>
    </row>
    <row r="789">
      <c r="A789" s="3">
        <v>121.0</v>
      </c>
      <c r="B789" s="3">
        <v>66.0</v>
      </c>
      <c r="C789" s="3">
        <v>1.0</v>
      </c>
      <c r="D789" t="str">
        <f>VLOOKUP(B789,ERA_MOTIF_TYPES.csv!$A$1:$C$119,2,1)</f>
        <v>Cup and groove with multiple penannulars</v>
      </c>
      <c r="E789" t="str">
        <f>VLOOKUP(A789,Panels!$A$1:$E$2104,5,0)</f>
        <v>Chatton</v>
      </c>
    </row>
    <row r="790">
      <c r="A790" s="3">
        <v>121.0</v>
      </c>
      <c r="B790" s="3">
        <v>72.0</v>
      </c>
      <c r="C790" s="3">
        <v>1.0</v>
      </c>
      <c r="D790" t="str">
        <f>VLOOKUP(B790,ERA_MOTIF_TYPES.csv!$A$1:$C$119,2,1)</f>
        <v>Multiple penannulars</v>
      </c>
      <c r="E790" t="str">
        <f>VLOOKUP(A790,Panels!$A$1:$E$2104,5,0)</f>
        <v>Chatton</v>
      </c>
    </row>
    <row r="791">
      <c r="A791" s="3">
        <v>121.0</v>
      </c>
      <c r="B791" s="3">
        <v>73.0</v>
      </c>
      <c r="C791" s="3">
        <v>2.0</v>
      </c>
      <c r="D791" t="str">
        <f>VLOOKUP(B791,ERA_MOTIF_TYPES.csv!$A$1:$C$119,2,1)</f>
        <v>Arc</v>
      </c>
      <c r="E791" t="str">
        <f>VLOOKUP(A791,Panels!$A$1:$E$2104,5,0)</f>
        <v>Chatton</v>
      </c>
    </row>
    <row r="792">
      <c r="A792" s="3">
        <v>121.0</v>
      </c>
      <c r="B792" s="3">
        <v>74.0</v>
      </c>
      <c r="C792" s="3">
        <v>1.0</v>
      </c>
      <c r="D792" t="str">
        <f>VLOOKUP(B792,ERA_MOTIF_TYPES.csv!$A$1:$C$119,2,1)</f>
        <v>Multiple arcs</v>
      </c>
      <c r="E792" t="str">
        <f>VLOOKUP(A792,Panels!$A$1:$E$2104,5,0)</f>
        <v>Chatton</v>
      </c>
    </row>
    <row r="793">
      <c r="A793" s="3">
        <v>121.0</v>
      </c>
      <c r="B793" s="3">
        <v>87.0</v>
      </c>
      <c r="C793" s="3">
        <v>2.0</v>
      </c>
      <c r="D793" t="str">
        <f>VLOOKUP(B793,ERA_MOTIF_TYPES.csv!$A$1:$C$119,2,1)</f>
        <v>Linear and angular groove</v>
      </c>
      <c r="E793" t="str">
        <f>VLOOKUP(A793,Panels!$A$1:$E$2104,5,0)</f>
        <v>Chatton</v>
      </c>
    </row>
    <row r="794">
      <c r="A794" s="3">
        <v>121.0</v>
      </c>
      <c r="B794" s="3">
        <v>88.0</v>
      </c>
      <c r="C794" s="3">
        <v>1.0</v>
      </c>
      <c r="D794" t="str">
        <f>VLOOKUP(B794,ERA_MOTIF_TYPES.csv!$A$1:$C$119,2,1)</f>
        <v>Parallel grooves</v>
      </c>
      <c r="E794" t="str">
        <f>VLOOKUP(A794,Panels!$A$1:$E$2104,5,0)</f>
        <v>Chatton</v>
      </c>
    </row>
    <row r="795">
      <c r="A795" s="3">
        <v>121.0</v>
      </c>
      <c r="B795" s="3">
        <v>94.0</v>
      </c>
      <c r="C795" s="3">
        <v>1.0</v>
      </c>
      <c r="D795" t="str">
        <f>VLOOKUP(B795,ERA_MOTIF_TYPES.csv!$A$1:$C$119,2,1)</f>
        <v>Basin</v>
      </c>
      <c r="E795" t="str">
        <f>VLOOKUP(A795,Panels!$A$1:$E$2104,5,0)</f>
        <v>Chatton</v>
      </c>
    </row>
    <row r="796">
      <c r="A796" s="3">
        <v>121.0</v>
      </c>
      <c r="B796" s="3">
        <v>100.0</v>
      </c>
      <c r="C796" s="3">
        <v>1.0</v>
      </c>
      <c r="D796" t="str">
        <f>VLOOKUP(B796,ERA_MOTIF_TYPES.csv!$A$1:$C$119,2,1)</f>
        <v>Pick marks</v>
      </c>
      <c r="E796" t="str">
        <f>VLOOKUP(A796,Panels!$A$1:$E$2104,5,0)</f>
        <v>Chatton</v>
      </c>
    </row>
    <row r="797">
      <c r="A797" s="3">
        <v>121.0</v>
      </c>
      <c r="B797" s="3">
        <v>106.0</v>
      </c>
      <c r="C797" s="3">
        <v>2.0</v>
      </c>
      <c r="D797" t="str">
        <f>VLOOKUP(B797,ERA_MOTIF_TYPES.csv!$A$1:$C$119,2,1)</f>
        <v>Long groove</v>
      </c>
      <c r="E797" t="str">
        <f>VLOOKUP(A797,Panels!$A$1:$E$2104,5,0)</f>
        <v>Chatton</v>
      </c>
    </row>
    <row r="798">
      <c r="A798" s="3">
        <v>121.0</v>
      </c>
      <c r="B798" s="3">
        <v>115.0</v>
      </c>
      <c r="C798" s="3">
        <v>1.0</v>
      </c>
      <c r="D798" t="str">
        <f>VLOOKUP(B798,ERA_MOTIF_TYPES.csv!$A$1:$C$119,2,1)</f>
        <v>Square groove</v>
      </c>
      <c r="E798" t="str">
        <f>VLOOKUP(A798,Panels!$A$1:$E$2104,5,0)</f>
        <v>Chatton</v>
      </c>
    </row>
    <row r="799">
      <c r="A799" s="3">
        <v>122.0</v>
      </c>
      <c r="B799" s="3">
        <v>14.0</v>
      </c>
      <c r="C799" s="3">
        <v>1.0</v>
      </c>
      <c r="D799" t="str">
        <f>VLOOKUP(B799,ERA_MOTIF_TYPES.csv!$A$1:$C$119,2,1)</f>
        <v>Multi Ring + cup</v>
      </c>
      <c r="E799" t="str">
        <f>VLOOKUP(A799,Panels!$A$1:$E$2104,5,0)</f>
        <v>Chatton</v>
      </c>
    </row>
    <row r="800">
      <c r="A800" s="3">
        <v>124.0</v>
      </c>
      <c r="B800" s="3">
        <v>1.0</v>
      </c>
      <c r="C800" s="3">
        <v>2.0</v>
      </c>
      <c r="D800" t="str">
        <f>VLOOKUP(B800,ERA_MOTIF_TYPES.csv!$A$1:$C$119,2,1)</f>
        <v>Cups Single</v>
      </c>
      <c r="E800" t="str">
        <f>VLOOKUP(A800,Panels!$A$1:$E$2104,5,0)</f>
        <v>Weetwood Moor North</v>
      </c>
    </row>
    <row r="801">
      <c r="A801" s="3">
        <v>124.0</v>
      </c>
      <c r="B801" s="3">
        <v>52.0</v>
      </c>
      <c r="C801" s="3">
        <v>19.0</v>
      </c>
      <c r="D801" t="str">
        <f>VLOOKUP(B801,ERA_MOTIF_TYPES.csv!$A$1:$C$119,2,1)</f>
        <v>Single or multiple cups</v>
      </c>
      <c r="E801" t="str">
        <f>VLOOKUP(A801,Panels!$A$1:$E$2104,5,0)</f>
        <v>Weetwood Moor North</v>
      </c>
    </row>
    <row r="802">
      <c r="A802" s="3">
        <v>124.0</v>
      </c>
      <c r="B802" s="3">
        <v>65.0</v>
      </c>
      <c r="C802" s="3">
        <v>1.0</v>
      </c>
      <c r="D802" t="str">
        <f>VLOOKUP(B802,ERA_MOTIF_TYPES.csv!$A$1:$C$119,2,1)</f>
        <v>Cup and groove with penannular</v>
      </c>
      <c r="E802" t="str">
        <f>VLOOKUP(A802,Panels!$A$1:$E$2104,5,0)</f>
        <v>Weetwood Moor North</v>
      </c>
    </row>
    <row r="803">
      <c r="A803" s="3">
        <v>124.0</v>
      </c>
      <c r="B803" s="3">
        <v>103.0</v>
      </c>
      <c r="C803" s="3">
        <v>3.0</v>
      </c>
      <c r="D803" t="str">
        <f>VLOOKUP(B803,ERA_MOTIF_TYPES.csv!$A$1:$C$119,2,1)</f>
        <v>Cup and groove</v>
      </c>
      <c r="E803" t="str">
        <f>VLOOKUP(A803,Panels!$A$1:$E$2104,5,0)</f>
        <v>Weetwood Moor North</v>
      </c>
    </row>
    <row r="804">
      <c r="A804" s="3">
        <v>124.0</v>
      </c>
      <c r="B804" s="3">
        <v>105.0</v>
      </c>
      <c r="C804" s="3">
        <v>1.0</v>
      </c>
      <c r="D804" t="str">
        <f>VLOOKUP(B804,ERA_MOTIF_TYPES.csv!$A$1:$C$119,2,1)</f>
        <v>Two cups linked by a groove</v>
      </c>
      <c r="E804" t="str">
        <f>VLOOKUP(A804,Panels!$A$1:$E$2104,5,0)</f>
        <v>Weetwood Moor North</v>
      </c>
    </row>
    <row r="805">
      <c r="A805" s="3">
        <v>124.0</v>
      </c>
      <c r="B805" s="3">
        <v>110.0</v>
      </c>
      <c r="C805" s="3">
        <v>1.0</v>
      </c>
      <c r="D805" t="str">
        <f>VLOOKUP(B805,ERA_MOTIF_TYPES.csv!$A$1:$C$119,2,1)</f>
        <v>Curved groove</v>
      </c>
      <c r="E805" t="str">
        <f>VLOOKUP(A805,Panels!$A$1:$E$2104,5,0)</f>
        <v>Weetwood Moor North</v>
      </c>
    </row>
    <row r="806">
      <c r="A806" s="3">
        <v>125.0</v>
      </c>
      <c r="B806" s="3">
        <v>17.0</v>
      </c>
      <c r="C806" s="3">
        <v>1.0</v>
      </c>
      <c r="D806" t="str">
        <f>VLOOKUP(B806,ERA_MOTIF_TYPES.csv!$A$1:$C$119,2,1)</f>
        <v>Single Penannular + cup</v>
      </c>
      <c r="E806" t="str">
        <f>VLOOKUP(A806,Panels!$A$1:$E$2104,5,0)</f>
        <v>Weetwood Moor North</v>
      </c>
    </row>
    <row r="807">
      <c r="A807" s="3">
        <v>125.0</v>
      </c>
      <c r="B807" s="3">
        <v>34.0</v>
      </c>
      <c r="C807" s="3">
        <v>2.0</v>
      </c>
      <c r="D807" t="str">
        <f>VLOOKUP(B807,ERA_MOTIF_TYPES.csv!$A$1:$C$119,2,1)</f>
        <v>Cup Groove and penannular</v>
      </c>
      <c r="E807" t="str">
        <f>VLOOKUP(A807,Panels!$A$1:$E$2104,5,0)</f>
        <v>Weetwood Moor North</v>
      </c>
    </row>
    <row r="808">
      <c r="A808" s="3">
        <v>125.0</v>
      </c>
      <c r="B808" s="3">
        <v>52.0</v>
      </c>
      <c r="C808" s="3">
        <v>1.0</v>
      </c>
      <c r="D808" t="str">
        <f>VLOOKUP(B808,ERA_MOTIF_TYPES.csv!$A$1:$C$119,2,1)</f>
        <v>Single or multiple cups</v>
      </c>
      <c r="E808" t="str">
        <f>VLOOKUP(A808,Panels!$A$1:$E$2104,5,0)</f>
        <v>Weetwood Moor North</v>
      </c>
    </row>
    <row r="809">
      <c r="A809" s="3">
        <v>125.0</v>
      </c>
      <c r="B809" s="3">
        <v>57.0</v>
      </c>
      <c r="C809" s="3">
        <v>1.0</v>
      </c>
      <c r="D809" t="str">
        <f>VLOOKUP(B809,ERA_MOTIF_TYPES.csv!$A$1:$C$119,2,1)</f>
        <v>Cup and ring</v>
      </c>
      <c r="E809" t="str">
        <f>VLOOKUP(A809,Panels!$A$1:$E$2104,5,0)</f>
        <v>Weetwood Moor North</v>
      </c>
    </row>
    <row r="810">
      <c r="A810" s="3">
        <v>125.0</v>
      </c>
      <c r="B810" s="3">
        <v>63.0</v>
      </c>
      <c r="C810" s="3">
        <v>1.0</v>
      </c>
      <c r="D810" t="str">
        <f>VLOOKUP(B810,ERA_MOTIF_TYPES.csv!$A$1:$C$119,2,1)</f>
        <v>Cup with groove cutting through ring</v>
      </c>
      <c r="E810" t="str">
        <f>VLOOKUP(A810,Panels!$A$1:$E$2104,5,0)</f>
        <v>Weetwood Moor North</v>
      </c>
    </row>
    <row r="811">
      <c r="A811" s="3">
        <v>125.0</v>
      </c>
      <c r="B811" s="3">
        <v>65.0</v>
      </c>
      <c r="C811" s="3">
        <v>1.0</v>
      </c>
      <c r="D811" t="str">
        <f>VLOOKUP(B811,ERA_MOTIF_TYPES.csv!$A$1:$C$119,2,1)</f>
        <v>Cup and groove with penannular</v>
      </c>
      <c r="E811" t="str">
        <f>VLOOKUP(A811,Panels!$A$1:$E$2104,5,0)</f>
        <v>Weetwood Moor North</v>
      </c>
    </row>
    <row r="812">
      <c r="A812" s="3">
        <v>126.0</v>
      </c>
      <c r="B812" s="3">
        <v>34.0</v>
      </c>
      <c r="C812" s="3">
        <v>2.0</v>
      </c>
      <c r="D812" t="str">
        <f>VLOOKUP(B812,ERA_MOTIF_TYPES.csv!$A$1:$C$119,2,1)</f>
        <v>Cup Groove and penannular</v>
      </c>
      <c r="E812" t="str">
        <f>VLOOKUP(A812,Panels!$A$1:$E$2104,5,0)</f>
        <v>Weetwood Moor</v>
      </c>
    </row>
    <row r="813">
      <c r="A813" s="3">
        <v>126.0</v>
      </c>
      <c r="B813" s="3">
        <v>35.0</v>
      </c>
      <c r="C813" s="3">
        <v>2.0</v>
      </c>
      <c r="D813" t="str">
        <f>VLOOKUP(B813,ERA_MOTIF_TYPES.csv!$A$1:$C$119,2,1)</f>
        <v>Cup Groove and multi penannular</v>
      </c>
      <c r="E813" t="str">
        <f>VLOOKUP(A813,Panels!$A$1:$E$2104,5,0)</f>
        <v>Weetwood Moor</v>
      </c>
    </row>
    <row r="814">
      <c r="A814" s="3">
        <v>126.0</v>
      </c>
      <c r="B814" s="3">
        <v>63.0</v>
      </c>
      <c r="C814" s="3">
        <v>2.0</v>
      </c>
      <c r="D814" t="str">
        <f>VLOOKUP(B814,ERA_MOTIF_TYPES.csv!$A$1:$C$119,2,1)</f>
        <v>Cup with groove cutting through ring</v>
      </c>
      <c r="E814" t="str">
        <f>VLOOKUP(A814,Panels!$A$1:$E$2104,5,0)</f>
        <v>Weetwood Moor</v>
      </c>
    </row>
    <row r="815">
      <c r="A815" s="3">
        <v>126.0</v>
      </c>
      <c r="B815" s="3">
        <v>66.0</v>
      </c>
      <c r="C815" s="3">
        <v>2.0</v>
      </c>
      <c r="D815" t="str">
        <f>VLOOKUP(B815,ERA_MOTIF_TYPES.csv!$A$1:$C$119,2,1)</f>
        <v>Cup and groove with multiple penannulars</v>
      </c>
      <c r="E815" t="str">
        <f>VLOOKUP(A815,Panels!$A$1:$E$2104,5,0)</f>
        <v>Weetwood Moor</v>
      </c>
    </row>
    <row r="816">
      <c r="A816" s="3">
        <v>127.0</v>
      </c>
      <c r="B816" s="3">
        <v>1.0</v>
      </c>
      <c r="C816" s="3">
        <v>11.0</v>
      </c>
      <c r="D816" t="str">
        <f>VLOOKUP(B816,ERA_MOTIF_TYPES.csv!$A$1:$C$119,2,1)</f>
        <v>Cups Single</v>
      </c>
      <c r="E816" t="str">
        <f>VLOOKUP(A816,Panels!$A$1:$E$2104,5,0)</f>
        <v>Weetwood Moor</v>
      </c>
    </row>
    <row r="817">
      <c r="A817" s="3">
        <v>127.0</v>
      </c>
      <c r="B817" s="3">
        <v>12.0</v>
      </c>
      <c r="C817" s="3">
        <v>1.0</v>
      </c>
      <c r="D817" t="str">
        <f>VLOOKUP(B817,ERA_MOTIF_TYPES.csv!$A$1:$C$119,2,1)</f>
        <v>Multi Arc</v>
      </c>
      <c r="E817" t="str">
        <f>VLOOKUP(A817,Panels!$A$1:$E$2104,5,0)</f>
        <v>Weetwood Moor</v>
      </c>
    </row>
    <row r="818">
      <c r="A818" s="3">
        <v>127.0</v>
      </c>
      <c r="B818" s="3">
        <v>34.0</v>
      </c>
      <c r="C818" s="3">
        <v>1.0</v>
      </c>
      <c r="D818" t="str">
        <f>VLOOKUP(B818,ERA_MOTIF_TYPES.csv!$A$1:$C$119,2,1)</f>
        <v>Cup Groove and penannular</v>
      </c>
      <c r="E818" t="str">
        <f>VLOOKUP(A818,Panels!$A$1:$E$2104,5,0)</f>
        <v>Weetwood Moor</v>
      </c>
    </row>
    <row r="819">
      <c r="A819" s="3">
        <v>127.0</v>
      </c>
      <c r="B819" s="3">
        <v>35.0</v>
      </c>
      <c r="C819" s="3">
        <v>4.0</v>
      </c>
      <c r="D819" t="str">
        <f>VLOOKUP(B819,ERA_MOTIF_TYPES.csv!$A$1:$C$119,2,1)</f>
        <v>Cup Groove and multi penannular</v>
      </c>
      <c r="E819" t="str">
        <f>VLOOKUP(A819,Panels!$A$1:$E$2104,5,0)</f>
        <v>Weetwood Moor</v>
      </c>
    </row>
    <row r="820">
      <c r="A820" s="3">
        <v>127.0</v>
      </c>
      <c r="B820" s="3">
        <v>52.0</v>
      </c>
      <c r="C820" s="3">
        <v>10.0</v>
      </c>
      <c r="D820" t="str">
        <f>VLOOKUP(B820,ERA_MOTIF_TYPES.csv!$A$1:$C$119,2,1)</f>
        <v>Single or multiple cups</v>
      </c>
      <c r="E820" t="str">
        <f>VLOOKUP(A820,Panels!$A$1:$E$2104,5,0)</f>
        <v>Weetwood Moor</v>
      </c>
    </row>
    <row r="821">
      <c r="A821" s="3">
        <v>127.0</v>
      </c>
      <c r="B821" s="3">
        <v>61.0</v>
      </c>
      <c r="C821" s="3">
        <v>1.0</v>
      </c>
      <c r="D821" t="str">
        <f>VLOOKUP(B821,ERA_MOTIF_TYPES.csv!$A$1:$C$119,2,1)</f>
        <v>Cup and arc (or semi-ovoid)</v>
      </c>
      <c r="E821" t="str">
        <f>VLOOKUP(A821,Panels!$A$1:$E$2104,5,0)</f>
        <v>Weetwood Moor</v>
      </c>
    </row>
    <row r="822">
      <c r="A822" s="3">
        <v>127.0</v>
      </c>
      <c r="B822" s="3">
        <v>65.0</v>
      </c>
      <c r="C822" s="3">
        <v>1.0</v>
      </c>
      <c r="D822" t="str">
        <f>VLOOKUP(B822,ERA_MOTIF_TYPES.csv!$A$1:$C$119,2,1)</f>
        <v>Cup and groove with penannular</v>
      </c>
      <c r="E822" t="str">
        <f>VLOOKUP(A822,Panels!$A$1:$E$2104,5,0)</f>
        <v>Weetwood Moor</v>
      </c>
    </row>
    <row r="823">
      <c r="A823" s="3">
        <v>127.0</v>
      </c>
      <c r="B823" s="3">
        <v>66.0</v>
      </c>
      <c r="C823" s="3">
        <v>2.0</v>
      </c>
      <c r="D823" t="str">
        <f>VLOOKUP(B823,ERA_MOTIF_TYPES.csv!$A$1:$C$119,2,1)</f>
        <v>Cup and groove with multiple penannulars</v>
      </c>
      <c r="E823" t="str">
        <f>VLOOKUP(A823,Panels!$A$1:$E$2104,5,0)</f>
        <v>Weetwood Moor</v>
      </c>
    </row>
    <row r="824">
      <c r="A824" s="3">
        <v>127.0</v>
      </c>
      <c r="B824" s="3">
        <v>72.0</v>
      </c>
      <c r="C824" s="3">
        <v>2.0</v>
      </c>
      <c r="D824" t="str">
        <f>VLOOKUP(B824,ERA_MOTIF_TYPES.csv!$A$1:$C$119,2,1)</f>
        <v>Multiple penannulars</v>
      </c>
      <c r="E824" t="str">
        <f>VLOOKUP(A824,Panels!$A$1:$E$2104,5,0)</f>
        <v>Weetwood Moor</v>
      </c>
    </row>
    <row r="825">
      <c r="A825" s="3">
        <v>127.0</v>
      </c>
      <c r="B825" s="3">
        <v>107.0</v>
      </c>
      <c r="C825" s="3">
        <v>2.0</v>
      </c>
      <c r="D825" t="str">
        <f>VLOOKUP(B825,ERA_MOTIF_TYPES.csv!$A$1:$C$119,2,1)</f>
        <v>Cup and ring with exterior groove</v>
      </c>
      <c r="E825" t="str">
        <f>VLOOKUP(A825,Panels!$A$1:$E$2104,5,0)</f>
        <v>Weetwood Moor</v>
      </c>
    </row>
    <row r="826">
      <c r="A826" s="3">
        <v>128.0</v>
      </c>
      <c r="B826" s="3">
        <v>55.0</v>
      </c>
      <c r="C826" s="3">
        <v>1.0</v>
      </c>
      <c r="D826" t="str">
        <f>VLOOKUP(B826,ERA_MOTIF_TYPES.csv!$A$1:$C$119,2,1)</f>
        <v>Cups in a straight or curved line</v>
      </c>
      <c r="E826" t="str">
        <f>VLOOKUP(A826,Panels!$A$1:$E$2104,5,0)</f>
        <v>Weetwood Moor</v>
      </c>
    </row>
    <row r="827">
      <c r="A827" s="3">
        <v>129.0</v>
      </c>
      <c r="B827" s="3">
        <v>1.0</v>
      </c>
      <c r="C827" s="3">
        <v>2.0</v>
      </c>
      <c r="D827" t="str">
        <f>VLOOKUP(B827,ERA_MOTIF_TYPES.csv!$A$1:$C$119,2,1)</f>
        <v>Cups Single</v>
      </c>
      <c r="E827" t="str">
        <f>VLOOKUP(A827,Panels!$A$1:$E$2104,5,0)</f>
        <v>Weetwood Moor</v>
      </c>
    </row>
    <row r="828">
      <c r="A828" s="3">
        <v>129.0</v>
      </c>
      <c r="B828" s="3">
        <v>13.0</v>
      </c>
      <c r="C828" s="3">
        <v>1.0</v>
      </c>
      <c r="D828" t="str">
        <f>VLOOKUP(B828,ERA_MOTIF_TYPES.csv!$A$1:$C$119,2,1)</f>
        <v>Single Ring + cup</v>
      </c>
      <c r="E828" t="str">
        <f>VLOOKUP(A828,Panels!$A$1:$E$2104,5,0)</f>
        <v>Weetwood Moor</v>
      </c>
    </row>
    <row r="829">
      <c r="A829" s="3">
        <v>129.0</v>
      </c>
      <c r="B829" s="3">
        <v>16.0</v>
      </c>
      <c r="C829" s="3">
        <v>1.0</v>
      </c>
      <c r="D829" t="str">
        <f>VLOOKUP(B829,ERA_MOTIF_TYPES.csv!$A$1:$C$119,2,1)</f>
        <v>Single Arc + cup</v>
      </c>
      <c r="E829" t="str">
        <f>VLOOKUP(A829,Panels!$A$1:$E$2104,5,0)</f>
        <v>Weetwood Moor</v>
      </c>
    </row>
    <row r="830">
      <c r="A830" s="3">
        <v>129.0</v>
      </c>
      <c r="B830" s="3">
        <v>52.0</v>
      </c>
      <c r="C830" s="3">
        <v>2.0</v>
      </c>
      <c r="D830" t="str">
        <f>VLOOKUP(B830,ERA_MOTIF_TYPES.csv!$A$1:$C$119,2,1)</f>
        <v>Single or multiple cups</v>
      </c>
      <c r="E830" t="str">
        <f>VLOOKUP(A830,Panels!$A$1:$E$2104,5,0)</f>
        <v>Weetwood Moor</v>
      </c>
    </row>
    <row r="831">
      <c r="A831" s="3">
        <v>129.0</v>
      </c>
      <c r="B831" s="3">
        <v>57.0</v>
      </c>
      <c r="C831" s="3">
        <v>1.0</v>
      </c>
      <c r="D831" t="str">
        <f>VLOOKUP(B831,ERA_MOTIF_TYPES.csv!$A$1:$C$119,2,1)</f>
        <v>Cup and ring</v>
      </c>
      <c r="E831" t="str">
        <f>VLOOKUP(A831,Panels!$A$1:$E$2104,5,0)</f>
        <v>Weetwood Moor</v>
      </c>
    </row>
    <row r="832">
      <c r="A832" s="3">
        <v>129.0</v>
      </c>
      <c r="B832" s="3">
        <v>64.0</v>
      </c>
      <c r="C832" s="3">
        <v>2.0</v>
      </c>
      <c r="D832" t="str">
        <f>VLOOKUP(B832,ERA_MOTIF_TYPES.csv!$A$1:$C$119,2,1)</f>
        <v>Cup with groove cutting through multiple rings</v>
      </c>
      <c r="E832" t="str">
        <f>VLOOKUP(A832,Panels!$A$1:$E$2104,5,0)</f>
        <v>Weetwood Moor</v>
      </c>
    </row>
    <row r="833">
      <c r="A833" s="3">
        <v>129.0</v>
      </c>
      <c r="B833" s="3">
        <v>93.0</v>
      </c>
      <c r="C833" s="3">
        <v>2.0</v>
      </c>
      <c r="D833" t="str">
        <f>VLOOKUP(B833,ERA_MOTIF_TYPES.csv!$A$1:$C$119,2,1)</f>
        <v>Midget cup</v>
      </c>
      <c r="E833" t="str">
        <f>VLOOKUP(A833,Panels!$A$1:$E$2104,5,0)</f>
        <v>Weetwood Moor</v>
      </c>
    </row>
    <row r="834">
      <c r="A834" s="3">
        <v>129.0</v>
      </c>
      <c r="B834" s="3">
        <v>100.0</v>
      </c>
      <c r="C834" s="3">
        <v>1.0</v>
      </c>
      <c r="D834" t="str">
        <f>VLOOKUP(B834,ERA_MOTIF_TYPES.csv!$A$1:$C$119,2,1)</f>
        <v>Pick marks</v>
      </c>
      <c r="E834" t="str">
        <f>VLOOKUP(A834,Panels!$A$1:$E$2104,5,0)</f>
        <v>Weetwood Moor</v>
      </c>
    </row>
    <row r="835">
      <c r="A835" s="3">
        <v>129.0</v>
      </c>
      <c r="B835" s="3">
        <v>107.0</v>
      </c>
      <c r="C835" s="3">
        <v>1.0</v>
      </c>
      <c r="D835" t="str">
        <f>VLOOKUP(B835,ERA_MOTIF_TYPES.csv!$A$1:$C$119,2,1)</f>
        <v>Cup and ring with exterior groove</v>
      </c>
      <c r="E835" t="str">
        <f>VLOOKUP(A835,Panels!$A$1:$E$2104,5,0)</f>
        <v>Weetwood Moor</v>
      </c>
    </row>
    <row r="836">
      <c r="A836" s="3">
        <v>130.0</v>
      </c>
      <c r="B836" s="3">
        <v>1.0</v>
      </c>
      <c r="C836" s="3">
        <v>1.0</v>
      </c>
      <c r="D836" t="str">
        <f>VLOOKUP(B836,ERA_MOTIF_TYPES.csv!$A$1:$C$119,2,1)</f>
        <v>Cups Single</v>
      </c>
      <c r="E836" t="str">
        <f>VLOOKUP(A836,Panels!$A$1:$E$2104,5,0)</f>
        <v>Weetwood Moor</v>
      </c>
    </row>
    <row r="837">
      <c r="A837" s="3">
        <v>130.0</v>
      </c>
      <c r="B837" s="3">
        <v>34.0</v>
      </c>
      <c r="C837" s="3">
        <v>1.0</v>
      </c>
      <c r="D837" t="str">
        <f>VLOOKUP(B837,ERA_MOTIF_TYPES.csv!$A$1:$C$119,2,1)</f>
        <v>Cup Groove and penannular</v>
      </c>
      <c r="E837" t="str">
        <f>VLOOKUP(A837,Panels!$A$1:$E$2104,5,0)</f>
        <v>Weetwood Moor</v>
      </c>
    </row>
    <row r="838">
      <c r="A838" s="3">
        <v>130.0</v>
      </c>
      <c r="B838" s="3">
        <v>52.0</v>
      </c>
      <c r="C838" s="3">
        <v>2.0</v>
      </c>
      <c r="D838" t="str">
        <f>VLOOKUP(B838,ERA_MOTIF_TYPES.csv!$A$1:$C$119,2,1)</f>
        <v>Single or multiple cups</v>
      </c>
      <c r="E838" t="str">
        <f>VLOOKUP(A838,Panels!$A$1:$E$2104,5,0)</f>
        <v>Weetwood Moor</v>
      </c>
    </row>
    <row r="839">
      <c r="A839" s="3">
        <v>130.0</v>
      </c>
      <c r="B839" s="3">
        <v>59.0</v>
      </c>
      <c r="C839" s="3">
        <v>1.0</v>
      </c>
      <c r="D839" t="str">
        <f>VLOOKUP(B839,ERA_MOTIF_TYPES.csv!$A$1:$C$119,2,1)</f>
        <v>Cup and penannular</v>
      </c>
      <c r="E839" t="str">
        <f>VLOOKUP(A839,Panels!$A$1:$E$2104,5,0)</f>
        <v>Weetwood Moor</v>
      </c>
    </row>
    <row r="840">
      <c r="A840" s="3">
        <v>131.0</v>
      </c>
      <c r="B840" s="3">
        <v>1.0</v>
      </c>
      <c r="C840" s="3">
        <v>1.0</v>
      </c>
      <c r="D840" t="str">
        <f>VLOOKUP(B840,ERA_MOTIF_TYPES.csv!$A$1:$C$119,2,1)</f>
        <v>Cups Single</v>
      </c>
      <c r="E840" t="str">
        <f>VLOOKUP(A840,Panels!$A$1:$E$2104,5,0)</f>
        <v>Weetwood Moor</v>
      </c>
    </row>
    <row r="841">
      <c r="A841" s="3">
        <v>131.0</v>
      </c>
      <c r="B841" s="3">
        <v>57.0</v>
      </c>
      <c r="C841" s="3">
        <v>1.0</v>
      </c>
      <c r="D841" t="str">
        <f>VLOOKUP(B841,ERA_MOTIF_TYPES.csv!$A$1:$C$119,2,1)</f>
        <v>Cup and ring</v>
      </c>
      <c r="E841" t="str">
        <f>VLOOKUP(A841,Panels!$A$1:$E$2104,5,0)</f>
        <v>Weetwood Moor</v>
      </c>
    </row>
    <row r="842">
      <c r="A842" s="3">
        <v>132.0</v>
      </c>
      <c r="B842" s="3">
        <v>1.0</v>
      </c>
      <c r="C842" s="3">
        <v>3.0</v>
      </c>
      <c r="D842" t="str">
        <f>VLOOKUP(B842,ERA_MOTIF_TYPES.csv!$A$1:$C$119,2,1)</f>
        <v>Cups Single</v>
      </c>
      <c r="E842" t="str">
        <f>VLOOKUP(A842,Panels!$A$1:$E$2104,5,0)</f>
        <v>Weetwood Moor</v>
      </c>
    </row>
    <row r="843">
      <c r="A843" s="3">
        <v>132.0</v>
      </c>
      <c r="B843" s="3">
        <v>13.0</v>
      </c>
      <c r="C843" s="3">
        <v>4.0</v>
      </c>
      <c r="D843" t="str">
        <f>VLOOKUP(B843,ERA_MOTIF_TYPES.csv!$A$1:$C$119,2,1)</f>
        <v>Single Ring + cup</v>
      </c>
      <c r="E843" t="str">
        <f>VLOOKUP(A843,Panels!$A$1:$E$2104,5,0)</f>
        <v>Weetwood Moor</v>
      </c>
    </row>
    <row r="844">
      <c r="A844" s="3">
        <v>132.0</v>
      </c>
      <c r="B844" s="3">
        <v>52.0</v>
      </c>
      <c r="C844" s="3">
        <v>6.0</v>
      </c>
      <c r="D844" t="str">
        <f>VLOOKUP(B844,ERA_MOTIF_TYPES.csv!$A$1:$C$119,2,1)</f>
        <v>Single or multiple cups</v>
      </c>
      <c r="E844" t="str">
        <f>VLOOKUP(A844,Panels!$A$1:$E$2104,5,0)</f>
        <v>Weetwood Moor</v>
      </c>
    </row>
    <row r="845">
      <c r="A845" s="3">
        <v>132.0</v>
      </c>
      <c r="B845" s="3">
        <v>57.0</v>
      </c>
      <c r="C845" s="3">
        <v>4.0</v>
      </c>
      <c r="D845" t="str">
        <f>VLOOKUP(B845,ERA_MOTIF_TYPES.csv!$A$1:$C$119,2,1)</f>
        <v>Cup and ring</v>
      </c>
      <c r="E845" t="str">
        <f>VLOOKUP(A845,Panels!$A$1:$E$2104,5,0)</f>
        <v>Weetwood Moor</v>
      </c>
    </row>
    <row r="846">
      <c r="A846" s="3">
        <v>132.0</v>
      </c>
      <c r="B846" s="3">
        <v>61.0</v>
      </c>
      <c r="C846" s="3">
        <v>1.0</v>
      </c>
      <c r="D846" t="str">
        <f>VLOOKUP(B846,ERA_MOTIF_TYPES.csv!$A$1:$C$119,2,1)</f>
        <v>Cup and arc (or semi-ovoid)</v>
      </c>
      <c r="E846" t="str">
        <f>VLOOKUP(A846,Panels!$A$1:$E$2104,5,0)</f>
        <v>Weetwood Moor</v>
      </c>
    </row>
    <row r="847">
      <c r="A847" s="3">
        <v>132.0</v>
      </c>
      <c r="B847" s="3">
        <v>100.0</v>
      </c>
      <c r="C847" s="3">
        <v>1.0</v>
      </c>
      <c r="D847" t="str">
        <f>VLOOKUP(B847,ERA_MOTIF_TYPES.csv!$A$1:$C$119,2,1)</f>
        <v>Pick marks</v>
      </c>
      <c r="E847" t="str">
        <f>VLOOKUP(A847,Panels!$A$1:$E$2104,5,0)</f>
        <v>Weetwood Moor</v>
      </c>
    </row>
    <row r="848">
      <c r="A848" s="3">
        <v>133.0</v>
      </c>
      <c r="B848" s="3">
        <v>1.0</v>
      </c>
      <c r="C848" s="3">
        <v>3.0</v>
      </c>
      <c r="D848" t="str">
        <f>VLOOKUP(B848,ERA_MOTIF_TYPES.csv!$A$1:$C$119,2,1)</f>
        <v>Cups Single</v>
      </c>
      <c r="E848" t="str">
        <f>VLOOKUP(A848,Panels!$A$1:$E$2104,5,0)</f>
        <v>Weetwood Moor</v>
      </c>
    </row>
    <row r="849">
      <c r="A849" s="3">
        <v>133.0</v>
      </c>
      <c r="B849" s="3">
        <v>17.0</v>
      </c>
      <c r="C849" s="3">
        <v>1.0</v>
      </c>
      <c r="D849" t="str">
        <f>VLOOKUP(B849,ERA_MOTIF_TYPES.csv!$A$1:$C$119,2,1)</f>
        <v>Single Penannular + cup</v>
      </c>
      <c r="E849" t="str">
        <f>VLOOKUP(A849,Panels!$A$1:$E$2104,5,0)</f>
        <v>Weetwood Moor</v>
      </c>
    </row>
    <row r="850">
      <c r="A850" s="3">
        <v>133.0</v>
      </c>
      <c r="B850" s="3">
        <v>34.0</v>
      </c>
      <c r="C850" s="3">
        <v>2.0</v>
      </c>
      <c r="D850" t="str">
        <f>VLOOKUP(B850,ERA_MOTIF_TYPES.csv!$A$1:$C$119,2,1)</f>
        <v>Cup Groove and penannular</v>
      </c>
      <c r="E850" t="str">
        <f>VLOOKUP(A850,Panels!$A$1:$E$2104,5,0)</f>
        <v>Weetwood Moor</v>
      </c>
    </row>
    <row r="851">
      <c r="A851" s="3">
        <v>133.0</v>
      </c>
      <c r="B851" s="3">
        <v>52.0</v>
      </c>
      <c r="C851" s="3">
        <v>1.0</v>
      </c>
      <c r="D851" t="str">
        <f>VLOOKUP(B851,ERA_MOTIF_TYPES.csv!$A$1:$C$119,2,1)</f>
        <v>Single or multiple cups</v>
      </c>
      <c r="E851" t="str">
        <f>VLOOKUP(A851,Panels!$A$1:$E$2104,5,0)</f>
        <v>Weetwood Moor</v>
      </c>
    </row>
    <row r="852">
      <c r="A852" s="3">
        <v>133.0</v>
      </c>
      <c r="B852" s="3">
        <v>57.0</v>
      </c>
      <c r="C852" s="3">
        <v>1.0</v>
      </c>
      <c r="D852" t="str">
        <f>VLOOKUP(B852,ERA_MOTIF_TYPES.csv!$A$1:$C$119,2,1)</f>
        <v>Cup and ring</v>
      </c>
      <c r="E852" t="str">
        <f>VLOOKUP(A852,Panels!$A$1:$E$2104,5,0)</f>
        <v>Weetwood Moor</v>
      </c>
    </row>
    <row r="853">
      <c r="A853" s="3">
        <v>133.0</v>
      </c>
      <c r="B853" s="3">
        <v>59.0</v>
      </c>
      <c r="C853" s="3">
        <v>1.0</v>
      </c>
      <c r="D853" t="str">
        <f>VLOOKUP(B853,ERA_MOTIF_TYPES.csv!$A$1:$C$119,2,1)</f>
        <v>Cup and penannular</v>
      </c>
      <c r="E853" t="str">
        <f>VLOOKUP(A853,Panels!$A$1:$E$2104,5,0)</f>
        <v>Weetwood Moor</v>
      </c>
    </row>
    <row r="854">
      <c r="A854" s="3">
        <v>133.0</v>
      </c>
      <c r="B854" s="3">
        <v>73.0</v>
      </c>
      <c r="C854" s="3">
        <v>2.0</v>
      </c>
      <c r="D854" t="str">
        <f>VLOOKUP(B854,ERA_MOTIF_TYPES.csv!$A$1:$C$119,2,1)</f>
        <v>Arc</v>
      </c>
      <c r="E854" t="str">
        <f>VLOOKUP(A854,Panels!$A$1:$E$2104,5,0)</f>
        <v>Weetwood Moor</v>
      </c>
    </row>
    <row r="855">
      <c r="A855" s="3">
        <v>133.0</v>
      </c>
      <c r="B855" s="3">
        <v>105.0</v>
      </c>
      <c r="C855" s="3">
        <v>1.0</v>
      </c>
      <c r="D855" t="str">
        <f>VLOOKUP(B855,ERA_MOTIF_TYPES.csv!$A$1:$C$119,2,1)</f>
        <v>Two cups linked by a groove</v>
      </c>
      <c r="E855" t="str">
        <f>VLOOKUP(A855,Panels!$A$1:$E$2104,5,0)</f>
        <v>Weetwood Moor</v>
      </c>
    </row>
    <row r="856">
      <c r="A856" s="3">
        <v>134.0</v>
      </c>
      <c r="B856" s="3">
        <v>1.0</v>
      </c>
      <c r="C856" s="3">
        <v>1.0</v>
      </c>
      <c r="D856" t="str">
        <f>VLOOKUP(B856,ERA_MOTIF_TYPES.csv!$A$1:$C$119,2,1)</f>
        <v>Cups Single</v>
      </c>
      <c r="E856" t="str">
        <f>VLOOKUP(A856,Panels!$A$1:$E$2104,5,0)</f>
        <v>Weetwood Moor</v>
      </c>
    </row>
    <row r="857">
      <c r="A857" s="3">
        <v>134.0</v>
      </c>
      <c r="B857" s="3">
        <v>4.0</v>
      </c>
      <c r="C857" s="3">
        <v>1.0</v>
      </c>
      <c r="D857" t="str">
        <f>VLOOKUP(B857,ERA_MOTIF_TYPES.csv!$A$1:$C$119,2,1)</f>
        <v>Counter-sunk</v>
      </c>
      <c r="E857" t="str">
        <f>VLOOKUP(A857,Panels!$A$1:$E$2104,5,0)</f>
        <v>Weetwood Moor</v>
      </c>
    </row>
    <row r="858">
      <c r="A858" s="3">
        <v>134.0</v>
      </c>
      <c r="B858" s="3">
        <v>31.0</v>
      </c>
      <c r="C858" s="3">
        <v>1.0</v>
      </c>
      <c r="D858" t="str">
        <f>VLOOKUP(B858,ERA_MOTIF_TYPES.csv!$A$1:$C$119,2,1)</f>
        <v>Cup and Groove</v>
      </c>
      <c r="E858" t="str">
        <f>VLOOKUP(A858,Panels!$A$1:$E$2104,5,0)</f>
        <v>Weetwood Moor</v>
      </c>
    </row>
    <row r="859">
      <c r="A859" s="3">
        <v>134.0</v>
      </c>
      <c r="B859" s="3">
        <v>52.0</v>
      </c>
      <c r="C859" s="3">
        <v>4.0</v>
      </c>
      <c r="D859" t="str">
        <f>VLOOKUP(B859,ERA_MOTIF_TYPES.csv!$A$1:$C$119,2,1)</f>
        <v>Single or multiple cups</v>
      </c>
      <c r="E859" t="str">
        <f>VLOOKUP(A859,Panels!$A$1:$E$2104,5,0)</f>
        <v>Weetwood Moor</v>
      </c>
    </row>
    <row r="860">
      <c r="A860" s="3">
        <v>134.0</v>
      </c>
      <c r="B860" s="3">
        <v>73.0</v>
      </c>
      <c r="C860" s="3">
        <v>1.0</v>
      </c>
      <c r="D860" t="str">
        <f>VLOOKUP(B860,ERA_MOTIF_TYPES.csv!$A$1:$C$119,2,1)</f>
        <v>Arc</v>
      </c>
      <c r="E860" t="str">
        <f>VLOOKUP(A860,Panels!$A$1:$E$2104,5,0)</f>
        <v>Weetwood Moor</v>
      </c>
    </row>
    <row r="861">
      <c r="A861" s="3">
        <v>134.0</v>
      </c>
      <c r="B861" s="3">
        <v>94.0</v>
      </c>
      <c r="C861" s="3">
        <v>1.0</v>
      </c>
      <c r="D861" t="str">
        <f>VLOOKUP(B861,ERA_MOTIF_TYPES.csv!$A$1:$C$119,2,1)</f>
        <v>Basin</v>
      </c>
      <c r="E861" t="str">
        <f>VLOOKUP(A861,Panels!$A$1:$E$2104,5,0)</f>
        <v>Weetwood Moor</v>
      </c>
    </row>
    <row r="862">
      <c r="A862" s="3">
        <v>134.0</v>
      </c>
      <c r="B862" s="3">
        <v>102.0</v>
      </c>
      <c r="C862" s="3">
        <v>1.0</v>
      </c>
      <c r="D862" t="str">
        <f>VLOOKUP(B862,ERA_MOTIF_TYPES.csv!$A$1:$C$119,2,1)</f>
        <v>Crossed groove</v>
      </c>
      <c r="E862" t="str">
        <f>VLOOKUP(A862,Panels!$A$1:$E$2104,5,0)</f>
        <v>Weetwood Moor</v>
      </c>
    </row>
    <row r="863">
      <c r="A863" s="3">
        <v>135.0</v>
      </c>
      <c r="B863" s="3">
        <v>10.0</v>
      </c>
      <c r="C863" s="3">
        <v>1.0</v>
      </c>
      <c r="D863" t="str">
        <f>VLOOKUP(B863,ERA_MOTIF_TYPES.csv!$A$1:$C$119,2,1)</f>
        <v>Single Arc</v>
      </c>
      <c r="E863" t="str">
        <f>VLOOKUP(A863,Panels!$A$1:$E$2104,5,0)</f>
        <v>Weetwood Moor</v>
      </c>
    </row>
    <row r="864">
      <c r="A864" s="3">
        <v>135.0</v>
      </c>
      <c r="B864" s="3">
        <v>17.0</v>
      </c>
      <c r="C864" s="3">
        <v>1.0</v>
      </c>
      <c r="D864" t="str">
        <f>VLOOKUP(B864,ERA_MOTIF_TYPES.csv!$A$1:$C$119,2,1)</f>
        <v>Single Penannular + cup</v>
      </c>
      <c r="E864" t="str">
        <f>VLOOKUP(A864,Panels!$A$1:$E$2104,5,0)</f>
        <v>Weetwood Moor</v>
      </c>
    </row>
    <row r="865">
      <c r="A865" s="3">
        <v>135.0</v>
      </c>
      <c r="B865" s="3">
        <v>60.0</v>
      </c>
      <c r="C865" s="3">
        <v>1.0</v>
      </c>
      <c r="D865" t="str">
        <f>VLOOKUP(B865,ERA_MOTIF_TYPES.csv!$A$1:$C$119,2,1)</f>
        <v>Cup and multiple penannulars</v>
      </c>
      <c r="E865" t="str">
        <f>VLOOKUP(A865,Panels!$A$1:$E$2104,5,0)</f>
        <v>Weetwood Moor</v>
      </c>
    </row>
    <row r="866">
      <c r="A866" s="3">
        <v>136.0</v>
      </c>
      <c r="B866" s="3">
        <v>1.0</v>
      </c>
      <c r="C866" s="3">
        <v>5.0</v>
      </c>
      <c r="D866" t="str">
        <f>VLOOKUP(B866,ERA_MOTIF_TYPES.csv!$A$1:$C$119,2,1)</f>
        <v>Cups Single</v>
      </c>
      <c r="E866" t="str">
        <f>VLOOKUP(A866,Panels!$A$1:$E$2104,5,0)</f>
        <v>Weetwood Moor</v>
      </c>
    </row>
    <row r="867">
      <c r="A867" s="3">
        <v>136.0</v>
      </c>
      <c r="B867" s="3">
        <v>9.0</v>
      </c>
      <c r="C867" s="3">
        <v>1.0</v>
      </c>
      <c r="D867" t="str">
        <f>VLOOKUP(B867,ERA_MOTIF_TYPES.csv!$A$1:$C$119,2,1)</f>
        <v>Multi Penanular</v>
      </c>
      <c r="E867" t="str">
        <f>VLOOKUP(A867,Panels!$A$1:$E$2104,5,0)</f>
        <v>Weetwood Moor</v>
      </c>
    </row>
    <row r="868">
      <c r="A868" s="3">
        <v>136.0</v>
      </c>
      <c r="B868" s="3">
        <v>31.0</v>
      </c>
      <c r="C868" s="3">
        <v>1.0</v>
      </c>
      <c r="D868" t="str">
        <f>VLOOKUP(B868,ERA_MOTIF_TYPES.csv!$A$1:$C$119,2,1)</f>
        <v>Cup and Groove</v>
      </c>
      <c r="E868" t="str">
        <f>VLOOKUP(A868,Panels!$A$1:$E$2104,5,0)</f>
        <v>Weetwood Moor</v>
      </c>
    </row>
    <row r="869">
      <c r="A869" s="3">
        <v>136.0</v>
      </c>
      <c r="B869" s="3">
        <v>52.0</v>
      </c>
      <c r="C869" s="3">
        <v>1.0</v>
      </c>
      <c r="D869" t="str">
        <f>VLOOKUP(B869,ERA_MOTIF_TYPES.csv!$A$1:$C$119,2,1)</f>
        <v>Single or multiple cups</v>
      </c>
      <c r="E869" t="str">
        <f>VLOOKUP(A869,Panels!$A$1:$E$2104,5,0)</f>
        <v>Weetwood Moor</v>
      </c>
    </row>
    <row r="870">
      <c r="A870" s="3">
        <v>136.0</v>
      </c>
      <c r="B870" s="3">
        <v>59.0</v>
      </c>
      <c r="C870" s="3">
        <v>1.0</v>
      </c>
      <c r="D870" t="str">
        <f>VLOOKUP(B870,ERA_MOTIF_TYPES.csv!$A$1:$C$119,2,1)</f>
        <v>Cup and penannular</v>
      </c>
      <c r="E870" t="str">
        <f>VLOOKUP(A870,Panels!$A$1:$E$2104,5,0)</f>
        <v>Weetwood Moor</v>
      </c>
    </row>
    <row r="871">
      <c r="A871" s="3">
        <v>136.0</v>
      </c>
      <c r="B871" s="3">
        <v>61.0</v>
      </c>
      <c r="C871" s="3">
        <v>1.0</v>
      </c>
      <c r="D871" t="str">
        <f>VLOOKUP(B871,ERA_MOTIF_TYPES.csv!$A$1:$C$119,2,1)</f>
        <v>Cup and arc (or semi-ovoid)</v>
      </c>
      <c r="E871" t="str">
        <f>VLOOKUP(A871,Panels!$A$1:$E$2104,5,0)</f>
        <v>Weetwood Moor</v>
      </c>
    </row>
    <row r="872">
      <c r="A872" s="3">
        <v>136.0</v>
      </c>
      <c r="B872" s="3">
        <v>67.0</v>
      </c>
      <c r="C872" s="3">
        <v>1.0</v>
      </c>
      <c r="D872" t="str">
        <f>VLOOKUP(B872,ERA_MOTIF_TYPES.csv!$A$1:$C$119,2,1)</f>
        <v>Cup and groove with arc</v>
      </c>
      <c r="E872" t="str">
        <f>VLOOKUP(A872,Panels!$A$1:$E$2104,5,0)</f>
        <v>Weetwood Moor</v>
      </c>
    </row>
    <row r="873">
      <c r="A873" s="3">
        <v>136.0</v>
      </c>
      <c r="B873" s="3">
        <v>69.0</v>
      </c>
      <c r="C873" s="3">
        <v>1.0</v>
      </c>
      <c r="D873" t="str">
        <f>VLOOKUP(B873,ERA_MOTIF_TYPES.csv!$A$1:$C$119,2,1)</f>
        <v>Ring</v>
      </c>
      <c r="E873" t="str">
        <f>VLOOKUP(A873,Panels!$A$1:$E$2104,5,0)</f>
        <v>Weetwood Moor</v>
      </c>
    </row>
    <row r="874">
      <c r="A874" s="3">
        <v>137.0</v>
      </c>
      <c r="B874" s="3">
        <v>52.0</v>
      </c>
      <c r="C874" s="3">
        <v>2.0</v>
      </c>
      <c r="D874" t="str">
        <f>VLOOKUP(B874,ERA_MOTIF_TYPES.csv!$A$1:$C$119,2,1)</f>
        <v>Single or multiple cups</v>
      </c>
      <c r="E874" t="str">
        <f>VLOOKUP(A874,Panels!$A$1:$E$2104,5,0)</f>
        <v>Weetwood Moor</v>
      </c>
    </row>
    <row r="875">
      <c r="A875" s="3">
        <v>137.0</v>
      </c>
      <c r="B875" s="3">
        <v>57.0</v>
      </c>
      <c r="C875" s="3">
        <v>1.0</v>
      </c>
      <c r="D875" t="str">
        <f>VLOOKUP(B875,ERA_MOTIF_TYPES.csv!$A$1:$C$119,2,1)</f>
        <v>Cup and ring</v>
      </c>
      <c r="E875" t="str">
        <f>VLOOKUP(A875,Panels!$A$1:$E$2104,5,0)</f>
        <v>Weetwood Moor</v>
      </c>
    </row>
    <row r="876">
      <c r="A876" s="3">
        <v>138.0</v>
      </c>
      <c r="B876" s="3">
        <v>1.0</v>
      </c>
      <c r="C876" s="3">
        <v>2.0</v>
      </c>
      <c r="D876" t="str">
        <f>VLOOKUP(B876,ERA_MOTIF_TYPES.csv!$A$1:$C$119,2,1)</f>
        <v>Cups Single</v>
      </c>
      <c r="E876" t="str">
        <f>VLOOKUP(A876,Panels!$A$1:$E$2104,5,0)</f>
        <v>Weetwood Moor</v>
      </c>
    </row>
    <row r="877">
      <c r="A877" s="3">
        <v>139.0</v>
      </c>
      <c r="B877" s="3">
        <v>14.0</v>
      </c>
      <c r="C877" s="3">
        <v>1.0</v>
      </c>
      <c r="D877" t="str">
        <f>VLOOKUP(B877,ERA_MOTIF_TYPES.csv!$A$1:$C$119,2,1)</f>
        <v>Multi Ring + cup</v>
      </c>
      <c r="E877" t="str">
        <f>VLOOKUP(A877,Panels!$A$1:$E$2104,5,0)</f>
        <v>Weetwood Moor</v>
      </c>
    </row>
    <row r="878">
      <c r="A878" s="3">
        <v>139.0</v>
      </c>
      <c r="B878" s="3">
        <v>52.0</v>
      </c>
      <c r="C878" s="3">
        <v>1.0</v>
      </c>
      <c r="D878" t="str">
        <f>VLOOKUP(B878,ERA_MOTIF_TYPES.csv!$A$1:$C$119,2,1)</f>
        <v>Single or multiple cups</v>
      </c>
      <c r="E878" t="str">
        <f>VLOOKUP(A878,Panels!$A$1:$E$2104,5,0)</f>
        <v>Weetwood Moor</v>
      </c>
    </row>
    <row r="879">
      <c r="A879" s="3">
        <v>139.0</v>
      </c>
      <c r="B879" s="3">
        <v>60.0</v>
      </c>
      <c r="C879" s="3">
        <v>1.0</v>
      </c>
      <c r="D879" t="str">
        <f>VLOOKUP(B879,ERA_MOTIF_TYPES.csv!$A$1:$C$119,2,1)</f>
        <v>Cup and multiple penannulars</v>
      </c>
      <c r="E879" t="str">
        <f>VLOOKUP(A879,Panels!$A$1:$E$2104,5,0)</f>
        <v>Weetwood Moor</v>
      </c>
    </row>
    <row r="880">
      <c r="A880" s="3">
        <v>139.0</v>
      </c>
      <c r="B880" s="3">
        <v>61.0</v>
      </c>
      <c r="C880" s="3">
        <v>1.0</v>
      </c>
      <c r="D880" t="str">
        <f>VLOOKUP(B880,ERA_MOTIF_TYPES.csv!$A$1:$C$119,2,1)</f>
        <v>Cup and arc (or semi-ovoid)</v>
      </c>
      <c r="E880" t="str">
        <f>VLOOKUP(A880,Panels!$A$1:$E$2104,5,0)</f>
        <v>Weetwood Moor</v>
      </c>
    </row>
    <row r="881">
      <c r="A881" s="3">
        <v>139.0</v>
      </c>
      <c r="B881" s="3">
        <v>110.0</v>
      </c>
      <c r="C881" s="3">
        <v>1.0</v>
      </c>
      <c r="D881" t="str">
        <f>VLOOKUP(B881,ERA_MOTIF_TYPES.csv!$A$1:$C$119,2,1)</f>
        <v>Curved groove</v>
      </c>
      <c r="E881" t="str">
        <f>VLOOKUP(A881,Panels!$A$1:$E$2104,5,0)</f>
        <v>Weetwood Moor</v>
      </c>
    </row>
    <row r="882">
      <c r="A882" s="3">
        <v>140.0</v>
      </c>
      <c r="B882" s="3">
        <v>1.0</v>
      </c>
      <c r="C882" s="3">
        <v>3.0</v>
      </c>
      <c r="D882" t="str">
        <f>VLOOKUP(B882,ERA_MOTIF_TYPES.csv!$A$1:$C$119,2,1)</f>
        <v>Cups Single</v>
      </c>
      <c r="E882" t="str">
        <f>VLOOKUP(A882,Panels!$A$1:$E$2104,5,0)</f>
        <v>Weetwood Moor</v>
      </c>
    </row>
    <row r="883">
      <c r="A883" s="3">
        <v>140.0</v>
      </c>
      <c r="B883" s="3">
        <v>52.0</v>
      </c>
      <c r="C883" s="3">
        <v>2.0</v>
      </c>
      <c r="D883" t="str">
        <f>VLOOKUP(B883,ERA_MOTIF_TYPES.csv!$A$1:$C$119,2,1)</f>
        <v>Single or multiple cups</v>
      </c>
      <c r="E883" t="str">
        <f>VLOOKUP(A883,Panels!$A$1:$E$2104,5,0)</f>
        <v>Weetwood Moor</v>
      </c>
    </row>
    <row r="884">
      <c r="A884" s="3">
        <v>141.0</v>
      </c>
      <c r="B884" s="3">
        <v>57.0</v>
      </c>
      <c r="C884" s="3">
        <v>2.0</v>
      </c>
      <c r="D884" t="str">
        <f>VLOOKUP(B884,ERA_MOTIF_TYPES.csv!$A$1:$C$119,2,1)</f>
        <v>Cup and ring</v>
      </c>
      <c r="E884" t="str">
        <f>VLOOKUP(A884,Panels!$A$1:$E$2104,5,0)</f>
        <v>Weetwood Moor</v>
      </c>
    </row>
    <row r="885">
      <c r="A885" s="3">
        <v>141.0</v>
      </c>
      <c r="B885" s="3">
        <v>65.0</v>
      </c>
      <c r="C885" s="3">
        <v>1.0</v>
      </c>
      <c r="D885" t="str">
        <f>VLOOKUP(B885,ERA_MOTIF_TYPES.csv!$A$1:$C$119,2,1)</f>
        <v>Cup and groove with penannular</v>
      </c>
      <c r="E885" t="str">
        <f>VLOOKUP(A885,Panels!$A$1:$E$2104,5,0)</f>
        <v>Weetwood Moor</v>
      </c>
    </row>
    <row r="886">
      <c r="A886" s="3">
        <v>141.0</v>
      </c>
      <c r="B886" s="3">
        <v>73.0</v>
      </c>
      <c r="C886" s="3">
        <v>1.0</v>
      </c>
      <c r="D886" t="str">
        <f>VLOOKUP(B886,ERA_MOTIF_TYPES.csv!$A$1:$C$119,2,1)</f>
        <v>Arc</v>
      </c>
      <c r="E886" t="str">
        <f>VLOOKUP(A886,Panels!$A$1:$E$2104,5,0)</f>
        <v>Weetwood Moor</v>
      </c>
    </row>
    <row r="887">
      <c r="A887" s="3">
        <v>142.0</v>
      </c>
      <c r="B887" s="3">
        <v>1.0</v>
      </c>
      <c r="C887" s="3">
        <v>4.0</v>
      </c>
      <c r="D887" t="str">
        <f>VLOOKUP(B887,ERA_MOTIF_TYPES.csv!$A$1:$C$119,2,1)</f>
        <v>Cups Single</v>
      </c>
      <c r="E887" t="str">
        <f>VLOOKUP(A887,Panels!$A$1:$E$2104,5,0)</f>
        <v>Weetwood Moor</v>
      </c>
    </row>
    <row r="888">
      <c r="A888" s="3">
        <v>142.0</v>
      </c>
      <c r="B888" s="3">
        <v>25.0</v>
      </c>
      <c r="C888" s="3">
        <v>3.0</v>
      </c>
      <c r="D888" t="str">
        <f>VLOOKUP(B888,ERA_MOTIF_TYPES.csv!$A$1:$C$119,2,1)</f>
        <v>Linear</v>
      </c>
      <c r="E888" t="str">
        <f>VLOOKUP(A888,Panels!$A$1:$E$2104,5,0)</f>
        <v>Weetwood Moor</v>
      </c>
    </row>
    <row r="889">
      <c r="A889" s="3">
        <v>142.0</v>
      </c>
      <c r="B889" s="3">
        <v>27.0</v>
      </c>
      <c r="C889" s="3">
        <v>3.0</v>
      </c>
      <c r="D889" t="str">
        <f>VLOOKUP(B889,ERA_MOTIF_TYPES.csv!$A$1:$C$119,2,1)</f>
        <v>Serpentine</v>
      </c>
      <c r="E889" t="str">
        <f>VLOOKUP(A889,Panels!$A$1:$E$2104,5,0)</f>
        <v>Weetwood Moor</v>
      </c>
    </row>
    <row r="890">
      <c r="A890" s="3">
        <v>142.0</v>
      </c>
      <c r="B890" s="3">
        <v>31.0</v>
      </c>
      <c r="C890" s="3">
        <v>1.0</v>
      </c>
      <c r="D890" t="str">
        <f>VLOOKUP(B890,ERA_MOTIF_TYPES.csv!$A$1:$C$119,2,1)</f>
        <v>Cup and Groove</v>
      </c>
      <c r="E890" t="str">
        <f>VLOOKUP(A890,Panels!$A$1:$E$2104,5,0)</f>
        <v>Weetwood Moor</v>
      </c>
    </row>
    <row r="891">
      <c r="A891" s="3">
        <v>142.0</v>
      </c>
      <c r="B891" s="3">
        <v>33.0</v>
      </c>
      <c r="C891" s="3">
        <v>3.0</v>
      </c>
      <c r="D891" t="str">
        <f>VLOOKUP(B891,ERA_MOTIF_TYPES.csv!$A$1:$C$119,2,1)</f>
        <v>Cup Groove and multi ring</v>
      </c>
      <c r="E891" t="str">
        <f>VLOOKUP(A891,Panels!$A$1:$E$2104,5,0)</f>
        <v>Weetwood Moor</v>
      </c>
    </row>
    <row r="892">
      <c r="A892" s="3">
        <v>142.0</v>
      </c>
      <c r="B892" s="3">
        <v>35.0</v>
      </c>
      <c r="C892" s="3">
        <v>3.0</v>
      </c>
      <c r="D892" t="str">
        <f>VLOOKUP(B892,ERA_MOTIF_TYPES.csv!$A$1:$C$119,2,1)</f>
        <v>Cup Groove and multi penannular</v>
      </c>
      <c r="E892" t="str">
        <f>VLOOKUP(A892,Panels!$A$1:$E$2104,5,0)</f>
        <v>Weetwood Moor</v>
      </c>
    </row>
    <row r="893">
      <c r="A893" s="3">
        <v>142.0</v>
      </c>
      <c r="B893" s="3">
        <v>52.0</v>
      </c>
      <c r="C893" s="3">
        <v>7.0</v>
      </c>
      <c r="D893" t="str">
        <f>VLOOKUP(B893,ERA_MOTIF_TYPES.csv!$A$1:$C$119,2,1)</f>
        <v>Single or multiple cups</v>
      </c>
      <c r="E893" t="str">
        <f>VLOOKUP(A893,Panels!$A$1:$E$2104,5,0)</f>
        <v>Weetwood Moor</v>
      </c>
    </row>
    <row r="894">
      <c r="A894" s="3">
        <v>142.0</v>
      </c>
      <c r="B894" s="3">
        <v>63.0</v>
      </c>
      <c r="C894" s="3">
        <v>1.0</v>
      </c>
      <c r="D894" t="str">
        <f>VLOOKUP(B894,ERA_MOTIF_TYPES.csv!$A$1:$C$119,2,1)</f>
        <v>Cup with groove cutting through ring</v>
      </c>
      <c r="E894" t="str">
        <f>VLOOKUP(A894,Panels!$A$1:$E$2104,5,0)</f>
        <v>Weetwood Moor</v>
      </c>
    </row>
    <row r="895">
      <c r="A895" s="3">
        <v>142.0</v>
      </c>
      <c r="B895" s="3">
        <v>66.0</v>
      </c>
      <c r="C895" s="3">
        <v>5.0</v>
      </c>
      <c r="D895" t="str">
        <f>VLOOKUP(B895,ERA_MOTIF_TYPES.csv!$A$1:$C$119,2,1)</f>
        <v>Cup and groove with multiple penannulars</v>
      </c>
      <c r="E895" t="str">
        <f>VLOOKUP(A895,Panels!$A$1:$E$2104,5,0)</f>
        <v>Weetwood Moor</v>
      </c>
    </row>
    <row r="896">
      <c r="A896" s="3">
        <v>142.0</v>
      </c>
      <c r="B896" s="3">
        <v>71.0</v>
      </c>
      <c r="C896" s="3">
        <v>1.0</v>
      </c>
      <c r="D896" t="str">
        <f>VLOOKUP(B896,ERA_MOTIF_TYPES.csv!$A$1:$C$119,2,1)</f>
        <v>Penannular</v>
      </c>
      <c r="E896" t="str">
        <f>VLOOKUP(A896,Panels!$A$1:$E$2104,5,0)</f>
        <v>Weetwood Moor</v>
      </c>
    </row>
    <row r="897">
      <c r="A897" s="3">
        <v>142.0</v>
      </c>
      <c r="B897" s="3">
        <v>90.0</v>
      </c>
      <c r="C897" s="3">
        <v>2.0</v>
      </c>
      <c r="D897" t="str">
        <f>VLOOKUP(B897,ERA_MOTIF_TYPES.csv!$A$1:$C$119,2,1)</f>
        <v>Serpentine groove</v>
      </c>
      <c r="E897" t="str">
        <f>VLOOKUP(A897,Panels!$A$1:$E$2104,5,0)</f>
        <v>Weetwood Moor</v>
      </c>
    </row>
    <row r="898">
      <c r="A898" s="3">
        <v>142.0</v>
      </c>
      <c r="B898" s="3">
        <v>103.0</v>
      </c>
      <c r="C898" s="3">
        <v>1.0</v>
      </c>
      <c r="D898" t="str">
        <f>VLOOKUP(B898,ERA_MOTIF_TYPES.csv!$A$1:$C$119,2,1)</f>
        <v>Cup and groove</v>
      </c>
      <c r="E898" t="str">
        <f>VLOOKUP(A898,Panels!$A$1:$E$2104,5,0)</f>
        <v>Weetwood Moor</v>
      </c>
    </row>
    <row r="899">
      <c r="A899" s="3">
        <v>143.0</v>
      </c>
      <c r="B899" s="3">
        <v>5.0</v>
      </c>
      <c r="C899" s="3">
        <v>1.0</v>
      </c>
      <c r="D899" t="str">
        <f>VLOOKUP(B899,ERA_MOTIF_TYPES.csv!$A$1:$C$119,2,1)</f>
        <v>Rosette</v>
      </c>
      <c r="E899" t="str">
        <f>VLOOKUP(A899,Panels!$A$1:$E$2104,5,0)</f>
        <v>Weetwood Moor</v>
      </c>
    </row>
    <row r="900">
      <c r="A900" s="3">
        <v>143.0</v>
      </c>
      <c r="B900" s="3">
        <v>16.0</v>
      </c>
      <c r="C900" s="3">
        <v>1.0</v>
      </c>
      <c r="D900" t="str">
        <f>VLOOKUP(B900,ERA_MOTIF_TYPES.csv!$A$1:$C$119,2,1)</f>
        <v>Single Arc + cup</v>
      </c>
      <c r="E900" t="str">
        <f>VLOOKUP(A900,Panels!$A$1:$E$2104,5,0)</f>
        <v>Weetwood Moor</v>
      </c>
    </row>
    <row r="901">
      <c r="A901" s="3">
        <v>143.0</v>
      </c>
      <c r="B901" s="3">
        <v>52.0</v>
      </c>
      <c r="C901" s="3">
        <v>12.0</v>
      </c>
      <c r="D901" t="str">
        <f>VLOOKUP(B901,ERA_MOTIF_TYPES.csv!$A$1:$C$119,2,1)</f>
        <v>Single or multiple cups</v>
      </c>
      <c r="E901" t="str">
        <f>VLOOKUP(A901,Panels!$A$1:$E$2104,5,0)</f>
        <v>Weetwood Moor</v>
      </c>
    </row>
    <row r="902">
      <c r="A902" s="3">
        <v>143.0</v>
      </c>
      <c r="B902" s="3">
        <v>59.0</v>
      </c>
      <c r="C902" s="3">
        <v>1.0</v>
      </c>
      <c r="D902" t="str">
        <f>VLOOKUP(B902,ERA_MOTIF_TYPES.csv!$A$1:$C$119,2,1)</f>
        <v>Cup and penannular</v>
      </c>
      <c r="E902" t="str">
        <f>VLOOKUP(A902,Panels!$A$1:$E$2104,5,0)</f>
        <v>Weetwood Moor</v>
      </c>
    </row>
    <row r="903">
      <c r="A903" s="3">
        <v>144.0</v>
      </c>
      <c r="B903" s="3">
        <v>32.0</v>
      </c>
      <c r="C903" s="3">
        <v>1.0</v>
      </c>
      <c r="D903" t="str">
        <f>VLOOKUP(B903,ERA_MOTIF_TYPES.csv!$A$1:$C$119,2,1)</f>
        <v>Cup Groove and single ring</v>
      </c>
      <c r="E903" t="str">
        <f>VLOOKUP(A903,Panels!$A$1:$E$2104,5,0)</f>
        <v>Weetwood Moor</v>
      </c>
    </row>
    <row r="904">
      <c r="A904" s="3">
        <v>144.0</v>
      </c>
      <c r="B904" s="3">
        <v>61.0</v>
      </c>
      <c r="C904" s="3">
        <v>1.0</v>
      </c>
      <c r="D904" t="str">
        <f>VLOOKUP(B904,ERA_MOTIF_TYPES.csv!$A$1:$C$119,2,1)</f>
        <v>Cup and arc (or semi-ovoid)</v>
      </c>
      <c r="E904" t="str">
        <f>VLOOKUP(A904,Panels!$A$1:$E$2104,5,0)</f>
        <v>Weetwood Moor</v>
      </c>
    </row>
    <row r="905">
      <c r="A905" s="3">
        <v>144.0</v>
      </c>
      <c r="B905" s="3">
        <v>65.0</v>
      </c>
      <c r="C905" s="3">
        <v>1.0</v>
      </c>
      <c r="D905" t="str">
        <f>VLOOKUP(B905,ERA_MOTIF_TYPES.csv!$A$1:$C$119,2,1)</f>
        <v>Cup and groove with penannular</v>
      </c>
      <c r="E905" t="str">
        <f>VLOOKUP(A905,Panels!$A$1:$E$2104,5,0)</f>
        <v>Weetwood Moor</v>
      </c>
    </row>
    <row r="906">
      <c r="A906" s="3">
        <v>145.0</v>
      </c>
      <c r="B906" s="3">
        <v>1.0</v>
      </c>
      <c r="C906" s="3">
        <v>1.0</v>
      </c>
      <c r="D906" t="str">
        <f>VLOOKUP(B906,ERA_MOTIF_TYPES.csv!$A$1:$C$119,2,1)</f>
        <v>Cups Single</v>
      </c>
      <c r="E906" t="str">
        <f>VLOOKUP(A906,Panels!$A$1:$E$2104,5,0)</f>
        <v>Weetwood Moor</v>
      </c>
    </row>
    <row r="907">
      <c r="A907" s="3">
        <v>145.0</v>
      </c>
      <c r="B907" s="3">
        <v>57.0</v>
      </c>
      <c r="C907" s="3">
        <v>1.0</v>
      </c>
      <c r="D907" t="str">
        <f>VLOOKUP(B907,ERA_MOTIF_TYPES.csv!$A$1:$C$119,2,1)</f>
        <v>Cup and ring</v>
      </c>
      <c r="E907" t="str">
        <f>VLOOKUP(A907,Panels!$A$1:$E$2104,5,0)</f>
        <v>Weetwood Moor</v>
      </c>
    </row>
    <row r="908">
      <c r="A908" s="3">
        <v>145.0</v>
      </c>
      <c r="B908" s="3">
        <v>93.0</v>
      </c>
      <c r="C908" s="3">
        <v>1.0</v>
      </c>
      <c r="D908" t="str">
        <f>VLOOKUP(B908,ERA_MOTIF_TYPES.csv!$A$1:$C$119,2,1)</f>
        <v>Midget cup</v>
      </c>
      <c r="E908" t="str">
        <f>VLOOKUP(A908,Panels!$A$1:$E$2104,5,0)</f>
        <v>Weetwood Moor</v>
      </c>
    </row>
    <row r="909">
      <c r="A909" s="3">
        <v>146.0</v>
      </c>
      <c r="B909" s="3">
        <v>1.0</v>
      </c>
      <c r="C909" s="3">
        <v>5.0</v>
      </c>
      <c r="D909" t="str">
        <f>VLOOKUP(B909,ERA_MOTIF_TYPES.csv!$A$1:$C$119,2,1)</f>
        <v>Cups Single</v>
      </c>
      <c r="E909" t="str">
        <f>VLOOKUP(A909,Panels!$A$1:$E$2104,5,0)</f>
        <v>Weetwood Moor</v>
      </c>
    </row>
    <row r="910">
      <c r="A910" s="3">
        <v>146.0</v>
      </c>
      <c r="B910" s="3">
        <v>13.0</v>
      </c>
      <c r="C910" s="3">
        <v>1.0</v>
      </c>
      <c r="D910" t="str">
        <f>VLOOKUP(B910,ERA_MOTIF_TYPES.csv!$A$1:$C$119,2,1)</f>
        <v>Single Ring + cup</v>
      </c>
      <c r="E910" t="str">
        <f>VLOOKUP(A910,Panels!$A$1:$E$2104,5,0)</f>
        <v>Weetwood Moor</v>
      </c>
    </row>
    <row r="911">
      <c r="A911" s="3">
        <v>146.0</v>
      </c>
      <c r="B911" s="3">
        <v>52.0</v>
      </c>
      <c r="C911" s="3">
        <v>3.0</v>
      </c>
      <c r="D911" t="str">
        <f>VLOOKUP(B911,ERA_MOTIF_TYPES.csv!$A$1:$C$119,2,1)</f>
        <v>Single or multiple cups</v>
      </c>
      <c r="E911" t="str">
        <f>VLOOKUP(A911,Panels!$A$1:$E$2104,5,0)</f>
        <v>Weetwood Moor</v>
      </c>
    </row>
    <row r="912">
      <c r="A912" s="3">
        <v>146.0</v>
      </c>
      <c r="B912" s="3">
        <v>57.0</v>
      </c>
      <c r="C912" s="3">
        <v>1.0</v>
      </c>
      <c r="D912" t="str">
        <f>VLOOKUP(B912,ERA_MOTIF_TYPES.csv!$A$1:$C$119,2,1)</f>
        <v>Cup and ring</v>
      </c>
      <c r="E912" t="str">
        <f>VLOOKUP(A912,Panels!$A$1:$E$2104,5,0)</f>
        <v>Weetwood Moor</v>
      </c>
    </row>
    <row r="913">
      <c r="A913" s="3">
        <v>146.0</v>
      </c>
      <c r="B913" s="3">
        <v>61.0</v>
      </c>
      <c r="C913" s="3">
        <v>2.0</v>
      </c>
      <c r="D913" t="str">
        <f>VLOOKUP(B913,ERA_MOTIF_TYPES.csv!$A$1:$C$119,2,1)</f>
        <v>Cup and arc (or semi-ovoid)</v>
      </c>
      <c r="E913" t="str">
        <f>VLOOKUP(A913,Panels!$A$1:$E$2104,5,0)</f>
        <v>Weetwood Moor</v>
      </c>
    </row>
    <row r="914">
      <c r="A914" s="3">
        <v>147.0</v>
      </c>
      <c r="B914" s="3">
        <v>1.0</v>
      </c>
      <c r="C914" s="3">
        <v>3.0</v>
      </c>
      <c r="D914" t="str">
        <f>VLOOKUP(B914,ERA_MOTIF_TYPES.csv!$A$1:$C$119,2,1)</f>
        <v>Cups Single</v>
      </c>
      <c r="E914" t="str">
        <f>VLOOKUP(A914,Panels!$A$1:$E$2104,5,0)</f>
        <v>Weetwood Moor</v>
      </c>
    </row>
    <row r="915">
      <c r="A915" s="3">
        <v>147.0</v>
      </c>
      <c r="B915" s="3">
        <v>13.0</v>
      </c>
      <c r="C915" s="3">
        <v>1.0</v>
      </c>
      <c r="D915" t="str">
        <f>VLOOKUP(B915,ERA_MOTIF_TYPES.csv!$A$1:$C$119,2,1)</f>
        <v>Single Ring + cup</v>
      </c>
      <c r="E915" t="str">
        <f>VLOOKUP(A915,Panels!$A$1:$E$2104,5,0)</f>
        <v>Weetwood Moor</v>
      </c>
    </row>
    <row r="916">
      <c r="A916" s="3">
        <v>147.0</v>
      </c>
      <c r="B916" s="3">
        <v>52.0</v>
      </c>
      <c r="C916" s="3">
        <v>2.0</v>
      </c>
      <c r="D916" t="str">
        <f>VLOOKUP(B916,ERA_MOTIF_TYPES.csv!$A$1:$C$119,2,1)</f>
        <v>Single or multiple cups</v>
      </c>
      <c r="E916" t="str">
        <f>VLOOKUP(A916,Panels!$A$1:$E$2104,5,0)</f>
        <v>Weetwood Moor</v>
      </c>
    </row>
    <row r="917">
      <c r="A917" s="3">
        <v>147.0</v>
      </c>
      <c r="B917" s="3">
        <v>57.0</v>
      </c>
      <c r="C917" s="3">
        <v>1.0</v>
      </c>
      <c r="D917" t="str">
        <f>VLOOKUP(B917,ERA_MOTIF_TYPES.csv!$A$1:$C$119,2,1)</f>
        <v>Cup and ring</v>
      </c>
      <c r="E917" t="str">
        <f>VLOOKUP(A917,Panels!$A$1:$E$2104,5,0)</f>
        <v>Weetwood Moor</v>
      </c>
    </row>
    <row r="918">
      <c r="A918" s="3">
        <v>147.0</v>
      </c>
      <c r="B918" s="3">
        <v>65.0</v>
      </c>
      <c r="C918" s="3">
        <v>1.0</v>
      </c>
      <c r="D918" t="str">
        <f>VLOOKUP(B918,ERA_MOTIF_TYPES.csv!$A$1:$C$119,2,1)</f>
        <v>Cup and groove with penannular</v>
      </c>
      <c r="E918" t="str">
        <f>VLOOKUP(A918,Panels!$A$1:$E$2104,5,0)</f>
        <v>Weetwood Moor</v>
      </c>
    </row>
    <row r="919">
      <c r="A919" s="3">
        <v>148.0</v>
      </c>
      <c r="B919" s="3">
        <v>1.0</v>
      </c>
      <c r="C919" s="3">
        <v>2.0</v>
      </c>
      <c r="D919" t="str">
        <f>VLOOKUP(B919,ERA_MOTIF_TYPES.csv!$A$1:$C$119,2,1)</f>
        <v>Cups Single</v>
      </c>
      <c r="E919" t="str">
        <f>VLOOKUP(A919,Panels!$A$1:$E$2104,5,0)</f>
        <v>Weetwood Moor</v>
      </c>
    </row>
    <row r="920">
      <c r="A920" s="3">
        <v>148.0</v>
      </c>
      <c r="B920" s="3">
        <v>13.0</v>
      </c>
      <c r="C920" s="3">
        <v>1.0</v>
      </c>
      <c r="D920" t="str">
        <f>VLOOKUP(B920,ERA_MOTIF_TYPES.csv!$A$1:$C$119,2,1)</f>
        <v>Single Ring + cup</v>
      </c>
      <c r="E920" t="str">
        <f>VLOOKUP(A920,Panels!$A$1:$E$2104,5,0)</f>
        <v>Weetwood Moor</v>
      </c>
    </row>
    <row r="921">
      <c r="A921" s="3">
        <v>148.0</v>
      </c>
      <c r="B921" s="3">
        <v>32.0</v>
      </c>
      <c r="C921" s="3">
        <v>2.0</v>
      </c>
      <c r="D921" t="str">
        <f>VLOOKUP(B921,ERA_MOTIF_TYPES.csv!$A$1:$C$119,2,1)</f>
        <v>Cup Groove and single ring</v>
      </c>
      <c r="E921" t="str">
        <f>VLOOKUP(A921,Panels!$A$1:$E$2104,5,0)</f>
        <v>Weetwood Moor</v>
      </c>
    </row>
    <row r="922">
      <c r="A922" s="3">
        <v>148.0</v>
      </c>
      <c r="B922" s="3">
        <v>52.0</v>
      </c>
      <c r="C922" s="3">
        <v>1.0</v>
      </c>
      <c r="D922" t="str">
        <f>VLOOKUP(B922,ERA_MOTIF_TYPES.csv!$A$1:$C$119,2,1)</f>
        <v>Single or multiple cups</v>
      </c>
      <c r="E922" t="str">
        <f>VLOOKUP(A922,Panels!$A$1:$E$2104,5,0)</f>
        <v>Weetwood Moor</v>
      </c>
    </row>
    <row r="923">
      <c r="A923" s="3">
        <v>148.0</v>
      </c>
      <c r="B923" s="3">
        <v>57.0</v>
      </c>
      <c r="C923" s="3">
        <v>1.0</v>
      </c>
      <c r="D923" t="str">
        <f>VLOOKUP(B923,ERA_MOTIF_TYPES.csv!$A$1:$C$119,2,1)</f>
        <v>Cup and ring</v>
      </c>
      <c r="E923" t="str">
        <f>VLOOKUP(A923,Panels!$A$1:$E$2104,5,0)</f>
        <v>Weetwood Moor</v>
      </c>
    </row>
    <row r="924">
      <c r="A924" s="3">
        <v>148.0</v>
      </c>
      <c r="B924" s="3">
        <v>58.0</v>
      </c>
      <c r="C924" s="3">
        <v>1.0</v>
      </c>
      <c r="D924" t="str">
        <f>VLOOKUP(B924,ERA_MOTIF_TYPES.csv!$A$1:$C$119,2,1)</f>
        <v>Cup and multiple rings</v>
      </c>
      <c r="E924" t="str">
        <f>VLOOKUP(A924,Panels!$A$1:$E$2104,5,0)</f>
        <v>Weetwood Moor</v>
      </c>
    </row>
    <row r="925">
      <c r="A925" s="3">
        <v>148.0</v>
      </c>
      <c r="B925" s="3">
        <v>63.0</v>
      </c>
      <c r="C925" s="3">
        <v>1.0</v>
      </c>
      <c r="D925" t="str">
        <f>VLOOKUP(B925,ERA_MOTIF_TYPES.csv!$A$1:$C$119,2,1)</f>
        <v>Cup with groove cutting through ring</v>
      </c>
      <c r="E925" t="str">
        <f>VLOOKUP(A925,Panels!$A$1:$E$2104,5,0)</f>
        <v>Weetwood Moor</v>
      </c>
    </row>
    <row r="926">
      <c r="A926" s="3">
        <v>148.0</v>
      </c>
      <c r="B926" s="3">
        <v>73.0</v>
      </c>
      <c r="C926" s="3">
        <v>1.0</v>
      </c>
      <c r="D926" t="str">
        <f>VLOOKUP(B926,ERA_MOTIF_TYPES.csv!$A$1:$C$119,2,1)</f>
        <v>Arc</v>
      </c>
      <c r="E926" t="str">
        <f>VLOOKUP(A926,Panels!$A$1:$E$2104,5,0)</f>
        <v>Weetwood Moor</v>
      </c>
    </row>
    <row r="927">
      <c r="A927" s="3">
        <v>148.0</v>
      </c>
      <c r="B927" s="3">
        <v>90.0</v>
      </c>
      <c r="C927" s="3">
        <v>1.0</v>
      </c>
      <c r="D927" t="str">
        <f>VLOOKUP(B927,ERA_MOTIF_TYPES.csv!$A$1:$C$119,2,1)</f>
        <v>Serpentine groove</v>
      </c>
      <c r="E927" t="str">
        <f>VLOOKUP(A927,Panels!$A$1:$E$2104,5,0)</f>
        <v>Weetwood Moor</v>
      </c>
    </row>
    <row r="928">
      <c r="A928" s="3">
        <v>149.0</v>
      </c>
      <c r="B928" s="3">
        <v>1.0</v>
      </c>
      <c r="C928" s="3">
        <v>1.0</v>
      </c>
      <c r="D928" t="str">
        <f>VLOOKUP(B928,ERA_MOTIF_TYPES.csv!$A$1:$C$119,2,1)</f>
        <v>Cups Single</v>
      </c>
      <c r="E928" t="str">
        <f>VLOOKUP(A928,Panels!$A$1:$E$2104,5,0)</f>
        <v>Weetwood Moor</v>
      </c>
    </row>
    <row r="929">
      <c r="A929" s="3">
        <v>149.0</v>
      </c>
      <c r="B929" s="3">
        <v>36.0</v>
      </c>
      <c r="C929" s="3">
        <v>1.0</v>
      </c>
      <c r="D929" t="str">
        <f>VLOOKUP(B929,ERA_MOTIF_TYPES.csv!$A$1:$C$119,2,1)</f>
        <v>Cup Groove and arc</v>
      </c>
      <c r="E929" t="str">
        <f>VLOOKUP(A929,Panels!$A$1:$E$2104,5,0)</f>
        <v>Weetwood Moor</v>
      </c>
    </row>
    <row r="930">
      <c r="A930" s="3">
        <v>149.0</v>
      </c>
      <c r="B930" s="3">
        <v>63.0</v>
      </c>
      <c r="C930" s="3">
        <v>1.0</v>
      </c>
      <c r="D930" t="str">
        <f>VLOOKUP(B930,ERA_MOTIF_TYPES.csv!$A$1:$C$119,2,1)</f>
        <v>Cup with groove cutting through ring</v>
      </c>
      <c r="E930" t="str">
        <f>VLOOKUP(A930,Panels!$A$1:$E$2104,5,0)</f>
        <v>Weetwood Moor</v>
      </c>
    </row>
    <row r="931">
      <c r="A931" s="3">
        <v>149.0</v>
      </c>
      <c r="B931" s="3">
        <v>65.0</v>
      </c>
      <c r="C931" s="3">
        <v>1.0</v>
      </c>
      <c r="D931" t="str">
        <f>VLOOKUP(B931,ERA_MOTIF_TYPES.csv!$A$1:$C$119,2,1)</f>
        <v>Cup and groove with penannular</v>
      </c>
      <c r="E931" t="str">
        <f>VLOOKUP(A931,Panels!$A$1:$E$2104,5,0)</f>
        <v>Weetwood Moor</v>
      </c>
    </row>
    <row r="932">
      <c r="A932" s="3">
        <v>149.0</v>
      </c>
      <c r="B932" s="3">
        <v>67.0</v>
      </c>
      <c r="C932" s="3">
        <v>1.0</v>
      </c>
      <c r="D932" t="str">
        <f>VLOOKUP(B932,ERA_MOTIF_TYPES.csv!$A$1:$C$119,2,1)</f>
        <v>Cup and groove with arc</v>
      </c>
      <c r="E932" t="str">
        <f>VLOOKUP(A932,Panels!$A$1:$E$2104,5,0)</f>
        <v>Weetwood Moor</v>
      </c>
    </row>
    <row r="933">
      <c r="A933" s="3">
        <v>149.0</v>
      </c>
      <c r="B933" s="3">
        <v>73.0</v>
      </c>
      <c r="C933" s="3">
        <v>2.0</v>
      </c>
      <c r="D933" t="str">
        <f>VLOOKUP(B933,ERA_MOTIF_TYPES.csv!$A$1:$C$119,2,1)</f>
        <v>Arc</v>
      </c>
      <c r="E933" t="str">
        <f>VLOOKUP(A933,Panels!$A$1:$E$2104,5,0)</f>
        <v>Weetwood Moor</v>
      </c>
    </row>
    <row r="934">
      <c r="A934" s="3">
        <v>149.0</v>
      </c>
      <c r="B934" s="3">
        <v>100.0</v>
      </c>
      <c r="C934" s="3">
        <v>1.0</v>
      </c>
      <c r="D934" t="str">
        <f>VLOOKUP(B934,ERA_MOTIF_TYPES.csv!$A$1:$C$119,2,1)</f>
        <v>Pick marks</v>
      </c>
      <c r="E934" t="str">
        <f>VLOOKUP(A934,Panels!$A$1:$E$2104,5,0)</f>
        <v>Weetwood Moor</v>
      </c>
    </row>
    <row r="935">
      <c r="A935" s="3">
        <v>149.0</v>
      </c>
      <c r="B935" s="3">
        <v>103.0</v>
      </c>
      <c r="C935" s="3">
        <v>2.0</v>
      </c>
      <c r="D935" t="str">
        <f>VLOOKUP(B935,ERA_MOTIF_TYPES.csv!$A$1:$C$119,2,1)</f>
        <v>Cup and groove</v>
      </c>
      <c r="E935" t="str">
        <f>VLOOKUP(A935,Panels!$A$1:$E$2104,5,0)</f>
        <v>Weetwood Moor</v>
      </c>
    </row>
    <row r="936">
      <c r="A936" s="3">
        <v>149.0</v>
      </c>
      <c r="B936" s="3">
        <v>110.0</v>
      </c>
      <c r="C936" s="3">
        <v>1.0</v>
      </c>
      <c r="D936" t="str">
        <f>VLOOKUP(B936,ERA_MOTIF_TYPES.csv!$A$1:$C$119,2,1)</f>
        <v>Curved groove</v>
      </c>
      <c r="E936" t="str">
        <f>VLOOKUP(A936,Panels!$A$1:$E$2104,5,0)</f>
        <v>Weetwood Moor</v>
      </c>
    </row>
    <row r="937">
      <c r="A937" s="3">
        <v>150.0</v>
      </c>
      <c r="B937" s="3">
        <v>16.0</v>
      </c>
      <c r="C937" s="3">
        <v>1.0</v>
      </c>
      <c r="D937" t="str">
        <f>VLOOKUP(B937,ERA_MOTIF_TYPES.csv!$A$1:$C$119,2,1)</f>
        <v>Single Arc + cup</v>
      </c>
      <c r="E937" t="str">
        <f>VLOOKUP(A937,Panels!$A$1:$E$2104,5,0)</f>
        <v>Weetwood Moor</v>
      </c>
    </row>
    <row r="938">
      <c r="A938" s="3">
        <v>150.0</v>
      </c>
      <c r="B938" s="3">
        <v>52.0</v>
      </c>
      <c r="C938" s="3">
        <v>2.0</v>
      </c>
      <c r="D938" t="str">
        <f>VLOOKUP(B938,ERA_MOTIF_TYPES.csv!$A$1:$C$119,2,1)</f>
        <v>Single or multiple cups</v>
      </c>
      <c r="E938" t="str">
        <f>VLOOKUP(A938,Panels!$A$1:$E$2104,5,0)</f>
        <v>Weetwood Moor</v>
      </c>
    </row>
    <row r="939">
      <c r="A939" s="3">
        <v>150.0</v>
      </c>
      <c r="B939" s="3">
        <v>57.0</v>
      </c>
      <c r="C939" s="3">
        <v>1.0</v>
      </c>
      <c r="D939" t="str">
        <f>VLOOKUP(B939,ERA_MOTIF_TYPES.csv!$A$1:$C$119,2,1)</f>
        <v>Cup and ring</v>
      </c>
      <c r="E939" t="str">
        <f>VLOOKUP(A939,Panels!$A$1:$E$2104,5,0)</f>
        <v>Weetwood Moor</v>
      </c>
    </row>
    <row r="940">
      <c r="A940" s="3">
        <v>150.0</v>
      </c>
      <c r="B940" s="3">
        <v>60.0</v>
      </c>
      <c r="C940" s="3">
        <v>1.0</v>
      </c>
      <c r="D940" t="str">
        <f>VLOOKUP(B940,ERA_MOTIF_TYPES.csv!$A$1:$C$119,2,1)</f>
        <v>Cup and multiple penannulars</v>
      </c>
      <c r="E940" t="str">
        <f>VLOOKUP(A940,Panels!$A$1:$E$2104,5,0)</f>
        <v>Weetwood Moor</v>
      </c>
    </row>
    <row r="941">
      <c r="A941" s="3">
        <v>150.0</v>
      </c>
      <c r="B941" s="3">
        <v>87.0</v>
      </c>
      <c r="C941" s="3">
        <v>1.0</v>
      </c>
      <c r="D941" t="str">
        <f>VLOOKUP(B941,ERA_MOTIF_TYPES.csv!$A$1:$C$119,2,1)</f>
        <v>Linear and angular groove</v>
      </c>
      <c r="E941" t="str">
        <f>VLOOKUP(A941,Panels!$A$1:$E$2104,5,0)</f>
        <v>Weetwood Moor</v>
      </c>
    </row>
    <row r="942">
      <c r="A942" s="3">
        <v>150.0</v>
      </c>
      <c r="B942" s="3">
        <v>93.0</v>
      </c>
      <c r="C942" s="3">
        <v>1.0</v>
      </c>
      <c r="D942" t="str">
        <f>VLOOKUP(B942,ERA_MOTIF_TYPES.csv!$A$1:$C$119,2,1)</f>
        <v>Midget cup</v>
      </c>
      <c r="E942" t="str">
        <f>VLOOKUP(A942,Panels!$A$1:$E$2104,5,0)</f>
        <v>Weetwood Moor</v>
      </c>
    </row>
    <row r="943">
      <c r="A943" s="3">
        <v>151.0</v>
      </c>
      <c r="B943" s="3">
        <v>1.0</v>
      </c>
      <c r="C943" s="3">
        <v>1.0</v>
      </c>
      <c r="D943" t="str">
        <f>VLOOKUP(B943,ERA_MOTIF_TYPES.csv!$A$1:$C$119,2,1)</f>
        <v>Cups Single</v>
      </c>
      <c r="E943" t="str">
        <f>VLOOKUP(A943,Panels!$A$1:$E$2104,5,0)</f>
        <v>Weetwood Moor</v>
      </c>
    </row>
    <row r="944">
      <c r="A944" s="3">
        <v>151.0</v>
      </c>
      <c r="B944" s="3">
        <v>16.0</v>
      </c>
      <c r="C944" s="3">
        <v>1.0</v>
      </c>
      <c r="D944" t="str">
        <f>VLOOKUP(B944,ERA_MOTIF_TYPES.csv!$A$1:$C$119,2,1)</f>
        <v>Single Arc + cup</v>
      </c>
      <c r="E944" t="str">
        <f>VLOOKUP(A944,Panels!$A$1:$E$2104,5,0)</f>
        <v>Weetwood Moor</v>
      </c>
    </row>
    <row r="945">
      <c r="A945" s="3">
        <v>151.0</v>
      </c>
      <c r="B945" s="3">
        <v>52.0</v>
      </c>
      <c r="C945" s="3">
        <v>1.0</v>
      </c>
      <c r="D945" t="str">
        <f>VLOOKUP(B945,ERA_MOTIF_TYPES.csv!$A$1:$C$119,2,1)</f>
        <v>Single or multiple cups</v>
      </c>
      <c r="E945" t="str">
        <f>VLOOKUP(A945,Panels!$A$1:$E$2104,5,0)</f>
        <v>Weetwood Moor</v>
      </c>
    </row>
    <row r="946">
      <c r="A946" s="3">
        <v>151.0</v>
      </c>
      <c r="B946" s="3">
        <v>57.0</v>
      </c>
      <c r="C946" s="3">
        <v>1.0</v>
      </c>
      <c r="D946" t="str">
        <f>VLOOKUP(B946,ERA_MOTIF_TYPES.csv!$A$1:$C$119,2,1)</f>
        <v>Cup and ring</v>
      </c>
      <c r="E946" t="str">
        <f>VLOOKUP(A946,Panels!$A$1:$E$2104,5,0)</f>
        <v>Weetwood Moor</v>
      </c>
    </row>
    <row r="947">
      <c r="A947" s="3">
        <v>152.0</v>
      </c>
      <c r="B947" s="3">
        <v>13.0</v>
      </c>
      <c r="C947" s="3">
        <v>1.0</v>
      </c>
      <c r="D947" t="str">
        <f>VLOOKUP(B947,ERA_MOTIF_TYPES.csv!$A$1:$C$119,2,1)</f>
        <v>Single Ring + cup</v>
      </c>
      <c r="E947" t="str">
        <f>VLOOKUP(A947,Panels!$A$1:$E$2104,5,0)</f>
        <v>Weetwood Moor</v>
      </c>
    </row>
    <row r="948">
      <c r="A948" s="3">
        <v>152.0</v>
      </c>
      <c r="B948" s="3">
        <v>31.0</v>
      </c>
      <c r="C948" s="3">
        <v>1.0</v>
      </c>
      <c r="D948" t="str">
        <f>VLOOKUP(B948,ERA_MOTIF_TYPES.csv!$A$1:$C$119,2,1)</f>
        <v>Cup and Groove</v>
      </c>
      <c r="E948" t="str">
        <f>VLOOKUP(A948,Panels!$A$1:$E$2104,5,0)</f>
        <v>Weetwood Moor</v>
      </c>
    </row>
    <row r="949">
      <c r="A949" s="3">
        <v>152.0</v>
      </c>
      <c r="B949" s="3">
        <v>57.0</v>
      </c>
      <c r="C949" s="3">
        <v>1.0</v>
      </c>
      <c r="D949" t="str">
        <f>VLOOKUP(B949,ERA_MOTIF_TYPES.csv!$A$1:$C$119,2,1)</f>
        <v>Cup and ring</v>
      </c>
      <c r="E949" t="str">
        <f>VLOOKUP(A949,Panels!$A$1:$E$2104,5,0)</f>
        <v>Weetwood Moor</v>
      </c>
    </row>
    <row r="950">
      <c r="A950" s="3">
        <v>152.0</v>
      </c>
      <c r="B950" s="3">
        <v>93.0</v>
      </c>
      <c r="C950" s="3">
        <v>1.0</v>
      </c>
      <c r="D950" t="str">
        <f>VLOOKUP(B950,ERA_MOTIF_TYPES.csv!$A$1:$C$119,2,1)</f>
        <v>Midget cup</v>
      </c>
      <c r="E950" t="str">
        <f>VLOOKUP(A950,Panels!$A$1:$E$2104,5,0)</f>
        <v>Weetwood Moor</v>
      </c>
    </row>
    <row r="951">
      <c r="A951" s="3">
        <v>152.0</v>
      </c>
      <c r="B951" s="3">
        <v>103.0</v>
      </c>
      <c r="C951" s="3">
        <v>1.0</v>
      </c>
      <c r="D951" t="str">
        <f>VLOOKUP(B951,ERA_MOTIF_TYPES.csv!$A$1:$C$119,2,1)</f>
        <v>Cup and groove</v>
      </c>
      <c r="E951" t="str">
        <f>VLOOKUP(A951,Panels!$A$1:$E$2104,5,0)</f>
        <v>Weetwood Moor</v>
      </c>
    </row>
    <row r="952">
      <c r="A952" s="3">
        <v>153.0</v>
      </c>
      <c r="B952" s="3">
        <v>31.0</v>
      </c>
      <c r="C952" s="3">
        <v>2.0</v>
      </c>
      <c r="D952" t="str">
        <f>VLOOKUP(B952,ERA_MOTIF_TYPES.csv!$A$1:$C$119,2,1)</f>
        <v>Cup and Groove</v>
      </c>
      <c r="E952" t="str">
        <f>VLOOKUP(A952,Panels!$A$1:$E$2104,5,0)</f>
        <v>Weetwood Moor</v>
      </c>
    </row>
    <row r="953">
      <c r="A953" s="3">
        <v>153.0</v>
      </c>
      <c r="B953" s="3">
        <v>52.0</v>
      </c>
      <c r="C953" s="3">
        <v>7.0</v>
      </c>
      <c r="D953" t="str">
        <f>VLOOKUP(B953,ERA_MOTIF_TYPES.csv!$A$1:$C$119,2,1)</f>
        <v>Single or multiple cups</v>
      </c>
      <c r="E953" t="str">
        <f>VLOOKUP(A953,Panels!$A$1:$E$2104,5,0)</f>
        <v>Weetwood Moor</v>
      </c>
    </row>
    <row r="954">
      <c r="A954" s="3">
        <v>153.0</v>
      </c>
      <c r="B954" s="3">
        <v>103.0</v>
      </c>
      <c r="C954" s="3">
        <v>3.0</v>
      </c>
      <c r="D954" t="str">
        <f>VLOOKUP(B954,ERA_MOTIF_TYPES.csv!$A$1:$C$119,2,1)</f>
        <v>Cup and groove</v>
      </c>
      <c r="E954" t="str">
        <f>VLOOKUP(A954,Panels!$A$1:$E$2104,5,0)</f>
        <v>Weetwood Moor</v>
      </c>
    </row>
    <row r="955">
      <c r="A955" s="3">
        <v>154.0</v>
      </c>
      <c r="B955" s="3">
        <v>1.0</v>
      </c>
      <c r="C955" s="3">
        <v>1.0</v>
      </c>
      <c r="D955" t="str">
        <f>VLOOKUP(B955,ERA_MOTIF_TYPES.csv!$A$1:$C$119,2,1)</f>
        <v>Cups Single</v>
      </c>
      <c r="E955" t="str">
        <f>VLOOKUP(A955,Panels!$A$1:$E$2104,5,0)</f>
        <v>Weetwood Moor</v>
      </c>
    </row>
    <row r="956">
      <c r="A956" s="3">
        <v>154.0</v>
      </c>
      <c r="B956" s="3">
        <v>16.0</v>
      </c>
      <c r="C956" s="3">
        <v>1.0</v>
      </c>
      <c r="D956" t="str">
        <f>VLOOKUP(B956,ERA_MOTIF_TYPES.csv!$A$1:$C$119,2,1)</f>
        <v>Single Arc + cup</v>
      </c>
      <c r="E956" t="str">
        <f>VLOOKUP(A956,Panels!$A$1:$E$2104,5,0)</f>
        <v>Weetwood Moor</v>
      </c>
    </row>
    <row r="957">
      <c r="A957" s="3">
        <v>154.0</v>
      </c>
      <c r="B957" s="3">
        <v>52.0</v>
      </c>
      <c r="C957" s="3">
        <v>1.0</v>
      </c>
      <c r="D957" t="str">
        <f>VLOOKUP(B957,ERA_MOTIF_TYPES.csv!$A$1:$C$119,2,1)</f>
        <v>Single or multiple cups</v>
      </c>
      <c r="E957" t="str">
        <f>VLOOKUP(A957,Panels!$A$1:$E$2104,5,0)</f>
        <v>Weetwood Moor</v>
      </c>
    </row>
    <row r="958">
      <c r="A958" s="3">
        <v>154.0</v>
      </c>
      <c r="B958" s="3">
        <v>57.0</v>
      </c>
      <c r="C958" s="3">
        <v>1.0</v>
      </c>
      <c r="D958" t="str">
        <f>VLOOKUP(B958,ERA_MOTIF_TYPES.csv!$A$1:$C$119,2,1)</f>
        <v>Cup and ring</v>
      </c>
      <c r="E958" t="str">
        <f>VLOOKUP(A958,Panels!$A$1:$E$2104,5,0)</f>
        <v>Weetwood Moor</v>
      </c>
    </row>
    <row r="959">
      <c r="A959" s="3">
        <v>155.0</v>
      </c>
      <c r="B959" s="3">
        <v>1.0</v>
      </c>
      <c r="C959" s="3">
        <v>7.0</v>
      </c>
      <c r="D959" t="str">
        <f>VLOOKUP(B959,ERA_MOTIF_TYPES.csv!$A$1:$C$119,2,1)</f>
        <v>Cups Single</v>
      </c>
      <c r="E959" t="str">
        <f>VLOOKUP(A959,Panels!$A$1:$E$2104,5,0)</f>
        <v>Weetwood Moor</v>
      </c>
    </row>
    <row r="960">
      <c r="A960" s="3">
        <v>155.0</v>
      </c>
      <c r="B960" s="3">
        <v>16.0</v>
      </c>
      <c r="C960" s="3">
        <v>2.0</v>
      </c>
      <c r="D960" t="str">
        <f>VLOOKUP(B960,ERA_MOTIF_TYPES.csv!$A$1:$C$119,2,1)</f>
        <v>Single Arc + cup</v>
      </c>
      <c r="E960" t="str">
        <f>VLOOKUP(A960,Panels!$A$1:$E$2104,5,0)</f>
        <v>Weetwood Moor</v>
      </c>
    </row>
    <row r="961">
      <c r="A961" s="3">
        <v>155.0</v>
      </c>
      <c r="B961" s="3">
        <v>31.0</v>
      </c>
      <c r="C961" s="3">
        <v>7.0</v>
      </c>
      <c r="D961" t="str">
        <f>VLOOKUP(B961,ERA_MOTIF_TYPES.csv!$A$1:$C$119,2,1)</f>
        <v>Cup and Groove</v>
      </c>
      <c r="E961" t="str">
        <f>VLOOKUP(A961,Panels!$A$1:$E$2104,5,0)</f>
        <v>Weetwood Moor</v>
      </c>
    </row>
    <row r="962">
      <c r="A962" s="3">
        <v>155.0</v>
      </c>
      <c r="B962" s="3">
        <v>52.0</v>
      </c>
      <c r="C962" s="3">
        <v>7.0</v>
      </c>
      <c r="D962" t="str">
        <f>VLOOKUP(B962,ERA_MOTIF_TYPES.csv!$A$1:$C$119,2,1)</f>
        <v>Single or multiple cups</v>
      </c>
      <c r="E962" t="str">
        <f>VLOOKUP(A962,Panels!$A$1:$E$2104,5,0)</f>
        <v>Weetwood Moor</v>
      </c>
    </row>
    <row r="963">
      <c r="A963" s="3">
        <v>155.0</v>
      </c>
      <c r="B963" s="3">
        <v>57.0</v>
      </c>
      <c r="C963" s="3">
        <v>3.0</v>
      </c>
      <c r="D963" t="str">
        <f>VLOOKUP(B963,ERA_MOTIF_TYPES.csv!$A$1:$C$119,2,1)</f>
        <v>Cup and ring</v>
      </c>
      <c r="E963" t="str">
        <f>VLOOKUP(A963,Panels!$A$1:$E$2104,5,0)</f>
        <v>Weetwood Moor</v>
      </c>
    </row>
    <row r="964">
      <c r="A964" s="3">
        <v>157.0</v>
      </c>
      <c r="B964" s="3">
        <v>1.0</v>
      </c>
      <c r="C964" s="3">
        <v>4.0</v>
      </c>
      <c r="D964" t="str">
        <f>VLOOKUP(B964,ERA_MOTIF_TYPES.csv!$A$1:$C$119,2,1)</f>
        <v>Cups Single</v>
      </c>
      <c r="E964" t="str">
        <f>VLOOKUP(A964,Panels!$A$1:$E$2104,5,0)</f>
        <v>Coldmartin</v>
      </c>
    </row>
    <row r="965">
      <c r="A965" s="3">
        <v>157.0</v>
      </c>
      <c r="B965" s="3">
        <v>52.0</v>
      </c>
      <c r="C965" s="3">
        <v>5.0</v>
      </c>
      <c r="D965" t="str">
        <f>VLOOKUP(B965,ERA_MOTIF_TYPES.csv!$A$1:$C$119,2,1)</f>
        <v>Single or multiple cups</v>
      </c>
      <c r="E965" t="str">
        <f>VLOOKUP(A965,Panels!$A$1:$E$2104,5,0)</f>
        <v>Coldmartin</v>
      </c>
    </row>
    <row r="966">
      <c r="A966" s="3">
        <v>157.0</v>
      </c>
      <c r="B966" s="3">
        <v>105.0</v>
      </c>
      <c r="C966" s="3">
        <v>1.0</v>
      </c>
      <c r="D966" t="str">
        <f>VLOOKUP(B966,ERA_MOTIF_TYPES.csv!$A$1:$C$119,2,1)</f>
        <v>Two cups linked by a groove</v>
      </c>
      <c r="E966" t="str">
        <f>VLOOKUP(A966,Panels!$A$1:$E$2104,5,0)</f>
        <v>Coldmartin</v>
      </c>
    </row>
    <row r="967">
      <c r="A967" s="3">
        <v>158.0</v>
      </c>
      <c r="B967" s="3">
        <v>1.0</v>
      </c>
      <c r="C967" s="3">
        <v>1.0</v>
      </c>
      <c r="D967" t="str">
        <f>VLOOKUP(B967,ERA_MOTIF_TYPES.csv!$A$1:$C$119,2,1)</f>
        <v>Cups Single</v>
      </c>
      <c r="E967" t="str">
        <f>VLOOKUP(A967,Panels!$A$1:$E$2104,5,0)</f>
        <v>Coldmartin</v>
      </c>
    </row>
    <row r="968">
      <c r="A968" s="3">
        <v>158.0</v>
      </c>
      <c r="B968" s="3">
        <v>10.0</v>
      </c>
      <c r="C968" s="3">
        <v>2.0</v>
      </c>
      <c r="D968" t="str">
        <f>VLOOKUP(B968,ERA_MOTIF_TYPES.csv!$A$1:$C$119,2,1)</f>
        <v>Single Arc</v>
      </c>
      <c r="E968" t="str">
        <f>VLOOKUP(A968,Panels!$A$1:$E$2104,5,0)</f>
        <v>Coldmartin</v>
      </c>
    </row>
    <row r="969">
      <c r="A969" s="3">
        <v>158.0</v>
      </c>
      <c r="B969" s="3">
        <v>13.0</v>
      </c>
      <c r="C969" s="3">
        <v>1.0</v>
      </c>
      <c r="D969" t="str">
        <f>VLOOKUP(B969,ERA_MOTIF_TYPES.csv!$A$1:$C$119,2,1)</f>
        <v>Single Ring + cup</v>
      </c>
      <c r="E969" t="str">
        <f>VLOOKUP(A969,Panels!$A$1:$E$2104,5,0)</f>
        <v>Coldmartin</v>
      </c>
    </row>
    <row r="970">
      <c r="A970" s="3">
        <v>158.0</v>
      </c>
      <c r="B970" s="3">
        <v>14.0</v>
      </c>
      <c r="C970" s="3">
        <v>1.0</v>
      </c>
      <c r="D970" t="str">
        <f>VLOOKUP(B970,ERA_MOTIF_TYPES.csv!$A$1:$C$119,2,1)</f>
        <v>Multi Ring + cup</v>
      </c>
      <c r="E970" t="str">
        <f>VLOOKUP(A970,Panels!$A$1:$E$2104,5,0)</f>
        <v>Coldmartin</v>
      </c>
    </row>
    <row r="971">
      <c r="A971" s="3">
        <v>158.0</v>
      </c>
      <c r="B971" s="3">
        <v>15.0</v>
      </c>
      <c r="C971" s="3">
        <v>1.0</v>
      </c>
      <c r="D971" t="str">
        <f>VLOOKUP(B971,ERA_MOTIF_TYPES.csv!$A$1:$C$119,2,1)</f>
        <v>Multi Penanular + cup</v>
      </c>
      <c r="E971" t="str">
        <f>VLOOKUP(A971,Panels!$A$1:$E$2104,5,0)</f>
        <v>Coldmartin</v>
      </c>
    </row>
    <row r="972">
      <c r="A972" s="3">
        <v>158.0</v>
      </c>
      <c r="B972" s="3">
        <v>16.0</v>
      </c>
      <c r="C972" s="3">
        <v>2.0</v>
      </c>
      <c r="D972" t="str">
        <f>VLOOKUP(B972,ERA_MOTIF_TYPES.csv!$A$1:$C$119,2,1)</f>
        <v>Single Arc + cup</v>
      </c>
      <c r="E972" t="str">
        <f>VLOOKUP(A972,Panels!$A$1:$E$2104,5,0)</f>
        <v>Coldmartin</v>
      </c>
    </row>
    <row r="973">
      <c r="A973" s="3">
        <v>158.0</v>
      </c>
      <c r="B973" s="3">
        <v>18.0</v>
      </c>
      <c r="C973" s="3">
        <v>1.0</v>
      </c>
      <c r="D973" t="str">
        <f>VLOOKUP(B973,ERA_MOTIF_TYPES.csv!$A$1:$C$119,2,1)</f>
        <v>Multi Arc + cup</v>
      </c>
      <c r="E973" t="str">
        <f>VLOOKUP(A973,Panels!$A$1:$E$2104,5,0)</f>
        <v>Coldmartin</v>
      </c>
    </row>
    <row r="974">
      <c r="A974" s="3">
        <v>158.0</v>
      </c>
      <c r="B974" s="3">
        <v>24.0</v>
      </c>
      <c r="C974" s="3">
        <v>1.0</v>
      </c>
      <c r="D974" t="str">
        <f>VLOOKUP(B974,ERA_MOTIF_TYPES.csv!$A$1:$C$119,2,1)</f>
        <v>Multi Keyhole and Cup</v>
      </c>
      <c r="E974" t="str">
        <f>VLOOKUP(A974,Panels!$A$1:$E$2104,5,0)</f>
        <v>Coldmartin</v>
      </c>
    </row>
    <row r="975">
      <c r="A975" s="3">
        <v>158.0</v>
      </c>
      <c r="B975" s="3">
        <v>35.0</v>
      </c>
      <c r="C975" s="3">
        <v>1.0</v>
      </c>
      <c r="D975" t="str">
        <f>VLOOKUP(B975,ERA_MOTIF_TYPES.csv!$A$1:$C$119,2,1)</f>
        <v>Cup Groove and multi penannular</v>
      </c>
      <c r="E975" t="str">
        <f>VLOOKUP(A975,Panels!$A$1:$E$2104,5,0)</f>
        <v>Coldmartin</v>
      </c>
    </row>
    <row r="976">
      <c r="A976" s="3">
        <v>158.0</v>
      </c>
      <c r="B976" s="3">
        <v>50.0</v>
      </c>
      <c r="C976" s="3">
        <v>1.0</v>
      </c>
      <c r="D976" t="str">
        <f>VLOOKUP(B976,ERA_MOTIF_TYPES.csv!$A$1:$C$119,2,1)</f>
        <v>Channels</v>
      </c>
      <c r="E976" t="str">
        <f>VLOOKUP(A976,Panels!$A$1:$E$2104,5,0)</f>
        <v>Coldmartin</v>
      </c>
    </row>
    <row r="977">
      <c r="A977" s="3">
        <v>158.0</v>
      </c>
      <c r="B977" s="3">
        <v>51.0</v>
      </c>
      <c r="C977" s="3">
        <v>1.0</v>
      </c>
      <c r="D977" t="str">
        <f>VLOOKUP(B977,ERA_MOTIF_TYPES.csv!$A$1:$C$119,2,1)</f>
        <v>Bowls</v>
      </c>
      <c r="E977" t="str">
        <f>VLOOKUP(A977,Panels!$A$1:$E$2104,5,0)</f>
        <v>Coldmartin</v>
      </c>
    </row>
    <row r="978">
      <c r="A978" s="3">
        <v>158.0</v>
      </c>
      <c r="B978" s="3">
        <v>52.0</v>
      </c>
      <c r="C978" s="3">
        <v>10.0</v>
      </c>
      <c r="D978" t="str">
        <f>VLOOKUP(B978,ERA_MOTIF_TYPES.csv!$A$1:$C$119,2,1)</f>
        <v>Single or multiple cups</v>
      </c>
      <c r="E978" t="str">
        <f>VLOOKUP(A978,Panels!$A$1:$E$2104,5,0)</f>
        <v>Coldmartin</v>
      </c>
    </row>
    <row r="979">
      <c r="A979" s="3">
        <v>158.0</v>
      </c>
      <c r="B979" s="3">
        <v>57.0</v>
      </c>
      <c r="C979" s="3">
        <v>2.0</v>
      </c>
      <c r="D979" t="str">
        <f>VLOOKUP(B979,ERA_MOTIF_TYPES.csv!$A$1:$C$119,2,1)</f>
        <v>Cup and ring</v>
      </c>
      <c r="E979" t="str">
        <f>VLOOKUP(A979,Panels!$A$1:$E$2104,5,0)</f>
        <v>Coldmartin</v>
      </c>
    </row>
    <row r="980">
      <c r="A980" s="3">
        <v>158.0</v>
      </c>
      <c r="B980" s="3">
        <v>58.0</v>
      </c>
      <c r="C980" s="3">
        <v>1.0</v>
      </c>
      <c r="D980" t="str">
        <f>VLOOKUP(B980,ERA_MOTIF_TYPES.csv!$A$1:$C$119,2,1)</f>
        <v>Cup and multiple rings</v>
      </c>
      <c r="E980" t="str">
        <f>VLOOKUP(A980,Panels!$A$1:$E$2104,5,0)</f>
        <v>Coldmartin</v>
      </c>
    </row>
    <row r="981">
      <c r="A981" s="3">
        <v>158.0</v>
      </c>
      <c r="B981" s="3">
        <v>59.0</v>
      </c>
      <c r="C981" s="3">
        <v>3.0</v>
      </c>
      <c r="D981" t="str">
        <f>VLOOKUP(B981,ERA_MOTIF_TYPES.csv!$A$1:$C$119,2,1)</f>
        <v>Cup and penannular</v>
      </c>
      <c r="E981" t="str">
        <f>VLOOKUP(A981,Panels!$A$1:$E$2104,5,0)</f>
        <v>Coldmartin</v>
      </c>
    </row>
    <row r="982">
      <c r="A982" s="3">
        <v>158.0</v>
      </c>
      <c r="B982" s="3">
        <v>61.0</v>
      </c>
      <c r="C982" s="3">
        <v>2.0</v>
      </c>
      <c r="D982" t="str">
        <f>VLOOKUP(B982,ERA_MOTIF_TYPES.csv!$A$1:$C$119,2,1)</f>
        <v>Cup and arc (or semi-ovoid)</v>
      </c>
      <c r="E982" t="str">
        <f>VLOOKUP(A982,Panels!$A$1:$E$2104,5,0)</f>
        <v>Coldmartin</v>
      </c>
    </row>
    <row r="983">
      <c r="A983" s="3">
        <v>158.0</v>
      </c>
      <c r="B983" s="3">
        <v>63.0</v>
      </c>
      <c r="C983" s="3">
        <v>1.0</v>
      </c>
      <c r="D983" t="str">
        <f>VLOOKUP(B983,ERA_MOTIF_TYPES.csv!$A$1:$C$119,2,1)</f>
        <v>Cup with groove cutting through ring</v>
      </c>
      <c r="E983" t="str">
        <f>VLOOKUP(A983,Panels!$A$1:$E$2104,5,0)</f>
        <v>Coldmartin</v>
      </c>
    </row>
    <row r="984">
      <c r="A984" s="3">
        <v>158.0</v>
      </c>
      <c r="B984" s="3">
        <v>64.0</v>
      </c>
      <c r="C984" s="3">
        <v>3.0</v>
      </c>
      <c r="D984" t="str">
        <f>VLOOKUP(B984,ERA_MOTIF_TYPES.csv!$A$1:$C$119,2,1)</f>
        <v>Cup with groove cutting through multiple rings</v>
      </c>
      <c r="E984" t="str">
        <f>VLOOKUP(A984,Panels!$A$1:$E$2104,5,0)</f>
        <v>Coldmartin</v>
      </c>
    </row>
    <row r="985">
      <c r="A985" s="3">
        <v>158.0</v>
      </c>
      <c r="B985" s="3">
        <v>65.0</v>
      </c>
      <c r="C985" s="3">
        <v>1.0</v>
      </c>
      <c r="D985" t="str">
        <f>VLOOKUP(B985,ERA_MOTIF_TYPES.csv!$A$1:$C$119,2,1)</f>
        <v>Cup and groove with penannular</v>
      </c>
      <c r="E985" t="str">
        <f>VLOOKUP(A985,Panels!$A$1:$E$2104,5,0)</f>
        <v>Coldmartin</v>
      </c>
    </row>
    <row r="986">
      <c r="A986" s="3">
        <v>158.0</v>
      </c>
      <c r="B986" s="3">
        <v>67.0</v>
      </c>
      <c r="C986" s="3">
        <v>1.0</v>
      </c>
      <c r="D986" t="str">
        <f>VLOOKUP(B986,ERA_MOTIF_TYPES.csv!$A$1:$C$119,2,1)</f>
        <v>Cup and groove with arc</v>
      </c>
      <c r="E986" t="str">
        <f>VLOOKUP(A986,Panels!$A$1:$E$2104,5,0)</f>
        <v>Coldmartin</v>
      </c>
    </row>
    <row r="987">
      <c r="A987" s="3">
        <v>158.0</v>
      </c>
      <c r="B987" s="3">
        <v>68.0</v>
      </c>
      <c r="C987" s="3">
        <v>1.0</v>
      </c>
      <c r="D987" t="str">
        <f>VLOOKUP(B987,ERA_MOTIF_TYPES.csv!$A$1:$C$119,2,1)</f>
        <v>Cup and groove with multiple arcs</v>
      </c>
      <c r="E987" t="str">
        <f>VLOOKUP(A987,Panels!$A$1:$E$2104,5,0)</f>
        <v>Coldmartin</v>
      </c>
    </row>
    <row r="988">
      <c r="A988" s="3">
        <v>158.0</v>
      </c>
      <c r="B988" s="3">
        <v>69.0</v>
      </c>
      <c r="C988" s="3">
        <v>1.0</v>
      </c>
      <c r="D988" t="str">
        <f>VLOOKUP(B988,ERA_MOTIF_TYPES.csv!$A$1:$C$119,2,1)</f>
        <v>Ring</v>
      </c>
      <c r="E988" t="str">
        <f>VLOOKUP(A988,Panels!$A$1:$E$2104,5,0)</f>
        <v>Coldmartin</v>
      </c>
    </row>
    <row r="989">
      <c r="A989" s="3">
        <v>158.0</v>
      </c>
      <c r="B989" s="3">
        <v>72.0</v>
      </c>
      <c r="C989" s="3">
        <v>1.0</v>
      </c>
      <c r="D989" t="str">
        <f>VLOOKUP(B989,ERA_MOTIF_TYPES.csv!$A$1:$C$119,2,1)</f>
        <v>Multiple penannulars</v>
      </c>
      <c r="E989" t="str">
        <f>VLOOKUP(A989,Panels!$A$1:$E$2104,5,0)</f>
        <v>Coldmartin</v>
      </c>
    </row>
    <row r="990">
      <c r="A990" s="3">
        <v>158.0</v>
      </c>
      <c r="B990" s="3">
        <v>73.0</v>
      </c>
      <c r="C990" s="3">
        <v>1.0</v>
      </c>
      <c r="D990" t="str">
        <f>VLOOKUP(B990,ERA_MOTIF_TYPES.csv!$A$1:$C$119,2,1)</f>
        <v>Arc</v>
      </c>
      <c r="E990" t="str">
        <f>VLOOKUP(A990,Panels!$A$1:$E$2104,5,0)</f>
        <v>Coldmartin</v>
      </c>
    </row>
    <row r="991">
      <c r="A991" s="3">
        <v>158.0</v>
      </c>
      <c r="B991" s="3">
        <v>81.0</v>
      </c>
      <c r="C991" s="3">
        <v>1.0</v>
      </c>
      <c r="D991" t="str">
        <f>VLOOKUP(B991,ERA_MOTIF_TYPES.csv!$A$1:$C$119,2,1)</f>
        <v>Cup and multiple keyholes</v>
      </c>
      <c r="E991" t="str">
        <f>VLOOKUP(A991,Panels!$A$1:$E$2104,5,0)</f>
        <v>Coldmartin</v>
      </c>
    </row>
    <row r="992">
      <c r="A992" s="3">
        <v>158.0</v>
      </c>
      <c r="B992" s="3">
        <v>87.0</v>
      </c>
      <c r="C992" s="3">
        <v>4.0</v>
      </c>
      <c r="D992" t="str">
        <f>VLOOKUP(B992,ERA_MOTIF_TYPES.csv!$A$1:$C$119,2,1)</f>
        <v>Linear and angular groove</v>
      </c>
      <c r="E992" t="str">
        <f>VLOOKUP(A992,Panels!$A$1:$E$2104,5,0)</f>
        <v>Coldmartin</v>
      </c>
    </row>
    <row r="993">
      <c r="A993" s="3">
        <v>158.0</v>
      </c>
      <c r="B993" s="3">
        <v>107.0</v>
      </c>
      <c r="C993" s="3">
        <v>1.0</v>
      </c>
      <c r="D993" t="str">
        <f>VLOOKUP(B993,ERA_MOTIF_TYPES.csv!$A$1:$C$119,2,1)</f>
        <v>Cup and ring with exterior groove</v>
      </c>
      <c r="E993" t="str">
        <f>VLOOKUP(A993,Panels!$A$1:$E$2104,5,0)</f>
        <v>Coldmartin</v>
      </c>
    </row>
    <row r="994">
      <c r="A994" s="3">
        <v>158.0</v>
      </c>
      <c r="B994" s="3">
        <v>110.0</v>
      </c>
      <c r="C994" s="3">
        <v>3.0</v>
      </c>
      <c r="D994" t="str">
        <f>VLOOKUP(B994,ERA_MOTIF_TYPES.csv!$A$1:$C$119,2,1)</f>
        <v>Curved groove</v>
      </c>
      <c r="E994" t="str">
        <f>VLOOKUP(A994,Panels!$A$1:$E$2104,5,0)</f>
        <v>Coldmartin</v>
      </c>
    </row>
    <row r="995">
      <c r="A995" s="3">
        <v>159.0</v>
      </c>
      <c r="B995" s="3">
        <v>52.0</v>
      </c>
      <c r="C995" s="3">
        <v>4.0</v>
      </c>
      <c r="D995" t="str">
        <f>VLOOKUP(B995,ERA_MOTIF_TYPES.csv!$A$1:$C$119,2,1)</f>
        <v>Single or multiple cups</v>
      </c>
      <c r="E995" t="str">
        <f>VLOOKUP(A995,Panels!$A$1:$E$2104,5,0)</f>
        <v>Green Castle</v>
      </c>
    </row>
    <row r="996">
      <c r="A996" s="3">
        <v>160.0</v>
      </c>
      <c r="B996" s="3">
        <v>4.0</v>
      </c>
      <c r="C996" s="3">
        <v>1.0</v>
      </c>
      <c r="D996" t="str">
        <f>VLOOKUP(B996,ERA_MOTIF_TYPES.csv!$A$1:$C$119,2,1)</f>
        <v>Counter-sunk</v>
      </c>
      <c r="E996" t="str">
        <f>VLOOKUP(A996,Panels!$A$1:$E$2104,5,0)</f>
        <v>Whitsunbank</v>
      </c>
    </row>
    <row r="997">
      <c r="A997" s="3">
        <v>160.0</v>
      </c>
      <c r="B997" s="3">
        <v>52.0</v>
      </c>
      <c r="C997" s="3">
        <v>3.0</v>
      </c>
      <c r="D997" t="str">
        <f>VLOOKUP(B997,ERA_MOTIF_TYPES.csv!$A$1:$C$119,2,1)</f>
        <v>Single or multiple cups</v>
      </c>
      <c r="E997" t="str">
        <f>VLOOKUP(A997,Panels!$A$1:$E$2104,5,0)</f>
        <v>Whitsunbank</v>
      </c>
    </row>
    <row r="998">
      <c r="A998" s="3">
        <v>160.0</v>
      </c>
      <c r="B998" s="3">
        <v>57.0</v>
      </c>
      <c r="C998" s="3">
        <v>1.0</v>
      </c>
      <c r="D998" t="str">
        <f>VLOOKUP(B998,ERA_MOTIF_TYPES.csv!$A$1:$C$119,2,1)</f>
        <v>Cup and ring</v>
      </c>
      <c r="E998" t="str">
        <f>VLOOKUP(A998,Panels!$A$1:$E$2104,5,0)</f>
        <v>Whitsunbank</v>
      </c>
    </row>
    <row r="999">
      <c r="A999" s="3">
        <v>160.0</v>
      </c>
      <c r="B999" s="3">
        <v>100.0</v>
      </c>
      <c r="C999" s="3">
        <v>1.0</v>
      </c>
      <c r="D999" t="str">
        <f>VLOOKUP(B999,ERA_MOTIF_TYPES.csv!$A$1:$C$119,2,1)</f>
        <v>Pick marks</v>
      </c>
      <c r="E999" t="str">
        <f>VLOOKUP(A999,Panels!$A$1:$E$2104,5,0)</f>
        <v>Whitsunbank</v>
      </c>
    </row>
    <row r="1000">
      <c r="A1000" s="3">
        <v>160.0</v>
      </c>
      <c r="B1000" s="3">
        <v>110.0</v>
      </c>
      <c r="C1000" s="3">
        <v>1.0</v>
      </c>
      <c r="D1000" t="str">
        <f>VLOOKUP(B1000,ERA_MOTIF_TYPES.csv!$A$1:$C$119,2,1)</f>
        <v>Curved groove</v>
      </c>
      <c r="E1000" t="str">
        <f>VLOOKUP(A1000,Panels!$A$1:$E$2104,5,0)</f>
        <v>Whitsunbank</v>
      </c>
    </row>
    <row r="1001">
      <c r="A1001" s="3">
        <v>161.0</v>
      </c>
      <c r="B1001" s="3">
        <v>1.0</v>
      </c>
      <c r="C1001" s="3">
        <v>7.0</v>
      </c>
      <c r="D1001" t="str">
        <f>VLOOKUP(B1001,ERA_MOTIF_TYPES.csv!$A$1:$C$119,2,1)</f>
        <v>Cups Single</v>
      </c>
      <c r="E1001" t="str">
        <f>VLOOKUP(A1001,Panels!$A$1:$E$2104,5,0)</f>
        <v>Whitsunbank</v>
      </c>
    </row>
    <row r="1002">
      <c r="A1002" s="3">
        <v>161.0</v>
      </c>
      <c r="B1002" s="3">
        <v>13.0</v>
      </c>
      <c r="C1002" s="3">
        <v>1.0</v>
      </c>
      <c r="D1002" t="str">
        <f>VLOOKUP(B1002,ERA_MOTIF_TYPES.csv!$A$1:$C$119,2,1)</f>
        <v>Single Ring + cup</v>
      </c>
      <c r="E1002" t="str">
        <f>VLOOKUP(A1002,Panels!$A$1:$E$2104,5,0)</f>
        <v>Whitsunbank</v>
      </c>
    </row>
    <row r="1003">
      <c r="A1003" s="3">
        <v>161.0</v>
      </c>
      <c r="B1003" s="3">
        <v>14.0</v>
      </c>
      <c r="C1003" s="3">
        <v>1.0</v>
      </c>
      <c r="D1003" t="str">
        <f>VLOOKUP(B1003,ERA_MOTIF_TYPES.csv!$A$1:$C$119,2,1)</f>
        <v>Multi Ring + cup</v>
      </c>
      <c r="E1003" t="str">
        <f>VLOOKUP(A1003,Panels!$A$1:$E$2104,5,0)</f>
        <v>Whitsunbank</v>
      </c>
    </row>
    <row r="1004">
      <c r="A1004" s="3">
        <v>161.0</v>
      </c>
      <c r="B1004" s="3">
        <v>15.0</v>
      </c>
      <c r="C1004" s="3">
        <v>2.0</v>
      </c>
      <c r="D1004" t="str">
        <f>VLOOKUP(B1004,ERA_MOTIF_TYPES.csv!$A$1:$C$119,2,1)</f>
        <v>Multi Penanular + cup</v>
      </c>
      <c r="E1004" t="str">
        <f>VLOOKUP(A1004,Panels!$A$1:$E$2104,5,0)</f>
        <v>Whitsunbank</v>
      </c>
    </row>
    <row r="1005">
      <c r="A1005" s="3">
        <v>161.0</v>
      </c>
      <c r="B1005" s="3">
        <v>52.0</v>
      </c>
      <c r="C1005" s="3">
        <v>7.0</v>
      </c>
      <c r="D1005" t="str">
        <f>VLOOKUP(B1005,ERA_MOTIF_TYPES.csv!$A$1:$C$119,2,1)</f>
        <v>Single or multiple cups</v>
      </c>
      <c r="E1005" t="str">
        <f>VLOOKUP(A1005,Panels!$A$1:$E$2104,5,0)</f>
        <v>Whitsunbank</v>
      </c>
    </row>
    <row r="1006">
      <c r="A1006" s="3">
        <v>161.0</v>
      </c>
      <c r="B1006" s="3">
        <v>58.0</v>
      </c>
      <c r="C1006" s="3">
        <v>1.0</v>
      </c>
      <c r="D1006" t="str">
        <f>VLOOKUP(B1006,ERA_MOTIF_TYPES.csv!$A$1:$C$119,2,1)</f>
        <v>Cup and multiple rings</v>
      </c>
      <c r="E1006" t="str">
        <f>VLOOKUP(A1006,Panels!$A$1:$E$2104,5,0)</f>
        <v>Whitsunbank</v>
      </c>
    </row>
    <row r="1007">
      <c r="A1007" s="3">
        <v>161.0</v>
      </c>
      <c r="B1007" s="3">
        <v>59.0</v>
      </c>
      <c r="C1007" s="3">
        <v>2.0</v>
      </c>
      <c r="D1007" t="str">
        <f>VLOOKUP(B1007,ERA_MOTIF_TYPES.csv!$A$1:$C$119,2,1)</f>
        <v>Cup and penannular</v>
      </c>
      <c r="E1007" t="str">
        <f>VLOOKUP(A1007,Panels!$A$1:$E$2104,5,0)</f>
        <v>Whitsunbank</v>
      </c>
    </row>
    <row r="1008">
      <c r="A1008" s="3">
        <v>161.0</v>
      </c>
      <c r="B1008" s="3">
        <v>60.0</v>
      </c>
      <c r="C1008" s="3">
        <v>1.0</v>
      </c>
      <c r="D1008" t="str">
        <f>VLOOKUP(B1008,ERA_MOTIF_TYPES.csv!$A$1:$C$119,2,1)</f>
        <v>Cup and multiple penannulars</v>
      </c>
      <c r="E1008" t="str">
        <f>VLOOKUP(A1008,Panels!$A$1:$E$2104,5,0)</f>
        <v>Whitsunbank</v>
      </c>
    </row>
    <row r="1009">
      <c r="A1009" s="3">
        <v>161.0</v>
      </c>
      <c r="B1009" s="3">
        <v>61.0</v>
      </c>
      <c r="C1009" s="3">
        <v>3.0</v>
      </c>
      <c r="D1009" t="str">
        <f>VLOOKUP(B1009,ERA_MOTIF_TYPES.csv!$A$1:$C$119,2,1)</f>
        <v>Cup and arc (or semi-ovoid)</v>
      </c>
      <c r="E1009" t="str">
        <f>VLOOKUP(A1009,Panels!$A$1:$E$2104,5,0)</f>
        <v>Whitsunbank</v>
      </c>
    </row>
    <row r="1010">
      <c r="A1010" s="3">
        <v>161.0</v>
      </c>
      <c r="B1010" s="3">
        <v>71.0</v>
      </c>
      <c r="C1010" s="3">
        <v>1.0</v>
      </c>
      <c r="D1010" t="str">
        <f>VLOOKUP(B1010,ERA_MOTIF_TYPES.csv!$A$1:$C$119,2,1)</f>
        <v>Penannular</v>
      </c>
      <c r="E1010" t="str">
        <f>VLOOKUP(A1010,Panels!$A$1:$E$2104,5,0)</f>
        <v>Whitsunbank</v>
      </c>
    </row>
    <row r="1011">
      <c r="A1011" s="3">
        <v>161.0</v>
      </c>
      <c r="B1011" s="3">
        <v>87.0</v>
      </c>
      <c r="C1011" s="3">
        <v>1.0</v>
      </c>
      <c r="D1011" t="str">
        <f>VLOOKUP(B1011,ERA_MOTIF_TYPES.csv!$A$1:$C$119,2,1)</f>
        <v>Linear and angular groove</v>
      </c>
      <c r="E1011" t="str">
        <f>VLOOKUP(A1011,Panels!$A$1:$E$2104,5,0)</f>
        <v>Whitsunbank</v>
      </c>
    </row>
    <row r="1012">
      <c r="A1012" s="3">
        <v>161.0</v>
      </c>
      <c r="B1012" s="3">
        <v>105.0</v>
      </c>
      <c r="C1012" s="3">
        <v>1.0</v>
      </c>
      <c r="D1012" t="str">
        <f>VLOOKUP(B1012,ERA_MOTIF_TYPES.csv!$A$1:$C$119,2,1)</f>
        <v>Two cups linked by a groove</v>
      </c>
      <c r="E1012" t="str">
        <f>VLOOKUP(A1012,Panels!$A$1:$E$2104,5,0)</f>
        <v>Whitsunbank</v>
      </c>
    </row>
    <row r="1013">
      <c r="A1013" s="3">
        <v>162.0</v>
      </c>
      <c r="B1013" s="3">
        <v>52.0</v>
      </c>
      <c r="C1013" s="3">
        <v>1.0</v>
      </c>
      <c r="D1013" t="str">
        <f>VLOOKUP(B1013,ERA_MOTIF_TYPES.csv!$A$1:$C$119,2,1)</f>
        <v>Single or multiple cups</v>
      </c>
      <c r="E1013" t="str">
        <f>VLOOKUP(A1013,Panels!$A$1:$E$2104,5,0)</f>
        <v>Whitsunbank</v>
      </c>
    </row>
    <row r="1014">
      <c r="A1014" s="3">
        <v>162.0</v>
      </c>
      <c r="B1014" s="3">
        <v>58.0</v>
      </c>
      <c r="C1014" s="3">
        <v>2.0</v>
      </c>
      <c r="D1014" t="str">
        <f>VLOOKUP(B1014,ERA_MOTIF_TYPES.csv!$A$1:$C$119,2,1)</f>
        <v>Cup and multiple rings</v>
      </c>
      <c r="E1014" t="str">
        <f>VLOOKUP(A1014,Panels!$A$1:$E$2104,5,0)</f>
        <v>Whitsunbank</v>
      </c>
    </row>
    <row r="1015">
      <c r="A1015" s="3">
        <v>162.0</v>
      </c>
      <c r="B1015" s="3">
        <v>73.0</v>
      </c>
      <c r="C1015" s="3">
        <v>1.0</v>
      </c>
      <c r="D1015" t="str">
        <f>VLOOKUP(B1015,ERA_MOTIF_TYPES.csv!$A$1:$C$119,2,1)</f>
        <v>Arc</v>
      </c>
      <c r="E1015" t="str">
        <f>VLOOKUP(A1015,Panels!$A$1:$E$2104,5,0)</f>
        <v>Whitsunbank</v>
      </c>
    </row>
    <row r="1016">
      <c r="A1016" s="3">
        <v>163.0</v>
      </c>
      <c r="B1016" s="3">
        <v>1.0</v>
      </c>
      <c r="C1016" s="3">
        <v>6.0</v>
      </c>
      <c r="D1016" t="str">
        <f>VLOOKUP(B1016,ERA_MOTIF_TYPES.csv!$A$1:$C$119,2,1)</f>
        <v>Cups Single</v>
      </c>
      <c r="E1016" t="str">
        <f>VLOOKUP(A1016,Panels!$A$1:$E$2104,5,0)</f>
        <v>Green Castle</v>
      </c>
    </row>
    <row r="1017">
      <c r="A1017" s="3">
        <v>163.0</v>
      </c>
      <c r="B1017" s="3">
        <v>52.0</v>
      </c>
      <c r="C1017" s="3">
        <v>2.0</v>
      </c>
      <c r="D1017" t="str">
        <f>VLOOKUP(B1017,ERA_MOTIF_TYPES.csv!$A$1:$C$119,2,1)</f>
        <v>Single or multiple cups</v>
      </c>
      <c r="E1017" t="str">
        <f>VLOOKUP(A1017,Panels!$A$1:$E$2104,5,0)</f>
        <v>Green Castle</v>
      </c>
    </row>
    <row r="1018">
      <c r="A1018" s="3">
        <v>163.0</v>
      </c>
      <c r="B1018" s="3">
        <v>57.0</v>
      </c>
      <c r="C1018" s="3">
        <v>2.0</v>
      </c>
      <c r="D1018" t="str">
        <f>VLOOKUP(B1018,ERA_MOTIF_TYPES.csv!$A$1:$C$119,2,1)</f>
        <v>Cup and ring</v>
      </c>
      <c r="E1018" t="str">
        <f>VLOOKUP(A1018,Panels!$A$1:$E$2104,5,0)</f>
        <v>Green Castle</v>
      </c>
    </row>
    <row r="1019">
      <c r="A1019" s="3">
        <v>163.0</v>
      </c>
      <c r="B1019" s="3">
        <v>107.0</v>
      </c>
      <c r="C1019" s="3">
        <v>1.0</v>
      </c>
      <c r="D1019" t="str">
        <f>VLOOKUP(B1019,ERA_MOTIF_TYPES.csv!$A$1:$C$119,2,1)</f>
        <v>Cup and ring with exterior groove</v>
      </c>
      <c r="E1019" t="str">
        <f>VLOOKUP(A1019,Panels!$A$1:$E$2104,5,0)</f>
        <v>Green Castle</v>
      </c>
    </row>
    <row r="1020">
      <c r="A1020" s="3">
        <v>164.0</v>
      </c>
      <c r="B1020" s="3">
        <v>16.0</v>
      </c>
      <c r="C1020" s="3">
        <v>1.0</v>
      </c>
      <c r="D1020" t="str">
        <f>VLOOKUP(B1020,ERA_MOTIF_TYPES.csv!$A$1:$C$119,2,1)</f>
        <v>Single Arc + cup</v>
      </c>
      <c r="E1020" t="str">
        <f>VLOOKUP(A1020,Panels!$A$1:$E$2104,5,0)</f>
        <v>Whitsunbank</v>
      </c>
    </row>
    <row r="1021">
      <c r="A1021" s="3">
        <v>165.0</v>
      </c>
      <c r="B1021" s="3">
        <v>14.0</v>
      </c>
      <c r="C1021" s="3">
        <v>1.0</v>
      </c>
      <c r="D1021" t="str">
        <f>VLOOKUP(B1021,ERA_MOTIF_TYPES.csv!$A$1:$C$119,2,1)</f>
        <v>Multi Ring + cup</v>
      </c>
      <c r="E1021" t="str">
        <f>VLOOKUP(A1021,Panels!$A$1:$E$2104,5,0)</f>
        <v>Whitsunbank</v>
      </c>
    </row>
    <row r="1022">
      <c r="A1022" s="3">
        <v>165.0</v>
      </c>
      <c r="B1022" s="3">
        <v>18.0</v>
      </c>
      <c r="C1022" s="3">
        <v>3.0</v>
      </c>
      <c r="D1022" t="str">
        <f>VLOOKUP(B1022,ERA_MOTIF_TYPES.csv!$A$1:$C$119,2,1)</f>
        <v>Multi Arc + cup</v>
      </c>
      <c r="E1022" t="str">
        <f>VLOOKUP(A1022,Panels!$A$1:$E$2104,5,0)</f>
        <v>Whitsunbank</v>
      </c>
    </row>
    <row r="1023">
      <c r="A1023" s="3">
        <v>165.0</v>
      </c>
      <c r="B1023" s="3">
        <v>31.0</v>
      </c>
      <c r="C1023" s="3">
        <v>1.0</v>
      </c>
      <c r="D1023" t="str">
        <f>VLOOKUP(B1023,ERA_MOTIF_TYPES.csv!$A$1:$C$119,2,1)</f>
        <v>Cup and Groove</v>
      </c>
      <c r="E1023" t="str">
        <f>VLOOKUP(A1023,Panels!$A$1:$E$2104,5,0)</f>
        <v>Whitsunbank</v>
      </c>
    </row>
    <row r="1024">
      <c r="A1024" s="3">
        <v>165.0</v>
      </c>
      <c r="B1024" s="3">
        <v>32.0</v>
      </c>
      <c r="C1024" s="3">
        <v>1.0</v>
      </c>
      <c r="D1024" t="str">
        <f>VLOOKUP(B1024,ERA_MOTIF_TYPES.csv!$A$1:$C$119,2,1)</f>
        <v>Cup Groove and single ring</v>
      </c>
      <c r="E1024" t="str">
        <f>VLOOKUP(A1024,Panels!$A$1:$E$2104,5,0)</f>
        <v>Whitsunbank</v>
      </c>
    </row>
    <row r="1025">
      <c r="A1025" s="3">
        <v>165.0</v>
      </c>
      <c r="B1025" s="3">
        <v>35.0</v>
      </c>
      <c r="C1025" s="3">
        <v>1.0</v>
      </c>
      <c r="D1025" t="str">
        <f>VLOOKUP(B1025,ERA_MOTIF_TYPES.csv!$A$1:$C$119,2,1)</f>
        <v>Cup Groove and multi penannular</v>
      </c>
      <c r="E1025" t="str">
        <f>VLOOKUP(A1025,Panels!$A$1:$E$2104,5,0)</f>
        <v>Whitsunbank</v>
      </c>
    </row>
    <row r="1026">
      <c r="A1026" s="3">
        <v>165.0</v>
      </c>
      <c r="B1026" s="3">
        <v>52.0</v>
      </c>
      <c r="C1026" s="3">
        <v>8.0</v>
      </c>
      <c r="D1026" t="str">
        <f>VLOOKUP(B1026,ERA_MOTIF_TYPES.csv!$A$1:$C$119,2,1)</f>
        <v>Single or multiple cups</v>
      </c>
      <c r="E1026" t="str">
        <f>VLOOKUP(A1026,Panels!$A$1:$E$2104,5,0)</f>
        <v>Whitsunbank</v>
      </c>
    </row>
    <row r="1027">
      <c r="A1027" s="3">
        <v>165.0</v>
      </c>
      <c r="B1027" s="3">
        <v>57.0</v>
      </c>
      <c r="C1027" s="3">
        <v>2.0</v>
      </c>
      <c r="D1027" t="str">
        <f>VLOOKUP(B1027,ERA_MOTIF_TYPES.csv!$A$1:$C$119,2,1)</f>
        <v>Cup and ring</v>
      </c>
      <c r="E1027" t="str">
        <f>VLOOKUP(A1027,Panels!$A$1:$E$2104,5,0)</f>
        <v>Whitsunbank</v>
      </c>
    </row>
    <row r="1028">
      <c r="A1028" s="3">
        <v>165.0</v>
      </c>
      <c r="B1028" s="3">
        <v>58.0</v>
      </c>
      <c r="C1028" s="3">
        <v>1.0</v>
      </c>
      <c r="D1028" t="str">
        <f>VLOOKUP(B1028,ERA_MOTIF_TYPES.csv!$A$1:$C$119,2,1)</f>
        <v>Cup and multiple rings</v>
      </c>
      <c r="E1028" t="str">
        <f>VLOOKUP(A1028,Panels!$A$1:$E$2104,5,0)</f>
        <v>Whitsunbank</v>
      </c>
    </row>
    <row r="1029">
      <c r="A1029" s="3">
        <v>165.0</v>
      </c>
      <c r="B1029" s="3">
        <v>67.0</v>
      </c>
      <c r="C1029" s="3">
        <v>1.0</v>
      </c>
      <c r="D1029" t="str">
        <f>VLOOKUP(B1029,ERA_MOTIF_TYPES.csv!$A$1:$C$119,2,1)</f>
        <v>Cup and groove with arc</v>
      </c>
      <c r="E1029" t="str">
        <f>VLOOKUP(A1029,Panels!$A$1:$E$2104,5,0)</f>
        <v>Whitsunbank</v>
      </c>
    </row>
    <row r="1030">
      <c r="A1030" s="3">
        <v>165.0</v>
      </c>
      <c r="B1030" s="3">
        <v>70.0</v>
      </c>
      <c r="C1030" s="3">
        <v>1.0</v>
      </c>
      <c r="D1030" t="str">
        <f>VLOOKUP(B1030,ERA_MOTIF_TYPES.csv!$A$1:$C$119,2,1)</f>
        <v>Concentric rings</v>
      </c>
      <c r="E1030" t="str">
        <f>VLOOKUP(A1030,Panels!$A$1:$E$2104,5,0)</f>
        <v>Whitsunbank</v>
      </c>
    </row>
    <row r="1031">
      <c r="A1031" s="3">
        <v>165.0</v>
      </c>
      <c r="B1031" s="3">
        <v>87.0</v>
      </c>
      <c r="C1031" s="3">
        <v>2.0</v>
      </c>
      <c r="D1031" t="str">
        <f>VLOOKUP(B1031,ERA_MOTIF_TYPES.csv!$A$1:$C$119,2,1)</f>
        <v>Linear and angular groove</v>
      </c>
      <c r="E1031" t="str">
        <f>VLOOKUP(A1031,Panels!$A$1:$E$2104,5,0)</f>
        <v>Whitsunbank</v>
      </c>
    </row>
    <row r="1032">
      <c r="A1032" s="3">
        <v>165.0</v>
      </c>
      <c r="B1032" s="3">
        <v>100.0</v>
      </c>
      <c r="C1032" s="3">
        <v>1.0</v>
      </c>
      <c r="D1032" t="str">
        <f>VLOOKUP(B1032,ERA_MOTIF_TYPES.csv!$A$1:$C$119,2,1)</f>
        <v>Pick marks</v>
      </c>
      <c r="E1032" t="str">
        <f>VLOOKUP(A1032,Panels!$A$1:$E$2104,5,0)</f>
        <v>Whitsunbank</v>
      </c>
    </row>
    <row r="1033">
      <c r="A1033" s="3">
        <v>165.0</v>
      </c>
      <c r="B1033" s="3">
        <v>105.0</v>
      </c>
      <c r="C1033" s="3">
        <v>1.0</v>
      </c>
      <c r="D1033" t="str">
        <f>VLOOKUP(B1033,ERA_MOTIF_TYPES.csv!$A$1:$C$119,2,1)</f>
        <v>Two cups linked by a groove</v>
      </c>
      <c r="E1033" t="str">
        <f>VLOOKUP(A1033,Panels!$A$1:$E$2104,5,0)</f>
        <v>Whitsunbank</v>
      </c>
    </row>
    <row r="1034">
      <c r="A1034" s="3">
        <v>166.0</v>
      </c>
      <c r="B1034" s="3">
        <v>1.0</v>
      </c>
      <c r="C1034" s="3">
        <v>11.0</v>
      </c>
      <c r="D1034" t="str">
        <f>VLOOKUP(B1034,ERA_MOTIF_TYPES.csv!$A$1:$C$119,2,1)</f>
        <v>Cups Single</v>
      </c>
      <c r="E1034" t="str">
        <f>VLOOKUP(A1034,Panels!$A$1:$E$2104,5,0)</f>
        <v>Fowberry Excavation Site</v>
      </c>
    </row>
    <row r="1035">
      <c r="A1035" s="3">
        <v>166.0</v>
      </c>
      <c r="B1035" s="3">
        <v>25.0</v>
      </c>
      <c r="C1035" s="3">
        <v>1.0</v>
      </c>
      <c r="D1035" t="str">
        <f>VLOOKUP(B1035,ERA_MOTIF_TYPES.csv!$A$1:$C$119,2,1)</f>
        <v>Linear</v>
      </c>
      <c r="E1035" t="str">
        <f>VLOOKUP(A1035,Panels!$A$1:$E$2104,5,0)</f>
        <v>Fowberry Excavation Site</v>
      </c>
    </row>
    <row r="1036">
      <c r="A1036" s="3">
        <v>166.0</v>
      </c>
      <c r="B1036" s="3">
        <v>52.0</v>
      </c>
      <c r="C1036" s="3">
        <v>16.0</v>
      </c>
      <c r="D1036" t="str">
        <f>VLOOKUP(B1036,ERA_MOTIF_TYPES.csv!$A$1:$C$119,2,1)</f>
        <v>Single or multiple cups</v>
      </c>
      <c r="E1036" t="str">
        <f>VLOOKUP(A1036,Panels!$A$1:$E$2104,5,0)</f>
        <v>Fowberry Excavation Site</v>
      </c>
    </row>
    <row r="1037">
      <c r="A1037" s="3">
        <v>166.0</v>
      </c>
      <c r="B1037" s="3">
        <v>55.0</v>
      </c>
      <c r="C1037" s="3">
        <v>2.0</v>
      </c>
      <c r="D1037" t="str">
        <f>VLOOKUP(B1037,ERA_MOTIF_TYPES.csv!$A$1:$C$119,2,1)</f>
        <v>Cups in a straight or curved line</v>
      </c>
      <c r="E1037" t="str">
        <f>VLOOKUP(A1037,Panels!$A$1:$E$2104,5,0)</f>
        <v>Fowberry Excavation Site</v>
      </c>
    </row>
    <row r="1038">
      <c r="A1038" s="3">
        <v>166.0</v>
      </c>
      <c r="B1038" s="3">
        <v>57.0</v>
      </c>
      <c r="C1038" s="3">
        <v>1.0</v>
      </c>
      <c r="D1038" t="str">
        <f>VLOOKUP(B1038,ERA_MOTIF_TYPES.csv!$A$1:$C$119,2,1)</f>
        <v>Cup and ring</v>
      </c>
      <c r="E1038" t="str">
        <f>VLOOKUP(A1038,Panels!$A$1:$E$2104,5,0)</f>
        <v>Fowberry Excavation Site</v>
      </c>
    </row>
    <row r="1039">
      <c r="A1039" s="3">
        <v>166.0</v>
      </c>
      <c r="B1039" s="3">
        <v>88.0</v>
      </c>
      <c r="C1039" s="3">
        <v>1.0</v>
      </c>
      <c r="D1039" t="str">
        <f>VLOOKUP(B1039,ERA_MOTIF_TYPES.csv!$A$1:$C$119,2,1)</f>
        <v>Parallel grooves</v>
      </c>
      <c r="E1039" t="str">
        <f>VLOOKUP(A1039,Panels!$A$1:$E$2104,5,0)</f>
        <v>Fowberry Excavation Site</v>
      </c>
    </row>
    <row r="1040">
      <c r="A1040" s="3">
        <v>166.0</v>
      </c>
      <c r="B1040" s="3">
        <v>100.0</v>
      </c>
      <c r="C1040" s="3">
        <v>1.0</v>
      </c>
      <c r="D1040" t="str">
        <f>VLOOKUP(B1040,ERA_MOTIF_TYPES.csv!$A$1:$C$119,2,1)</f>
        <v>Pick marks</v>
      </c>
      <c r="E1040" t="str">
        <f>VLOOKUP(A1040,Panels!$A$1:$E$2104,5,0)</f>
        <v>Fowberry Excavation Site</v>
      </c>
    </row>
    <row r="1041">
      <c r="A1041" s="3">
        <v>166.0</v>
      </c>
      <c r="B1041" s="3">
        <v>103.0</v>
      </c>
      <c r="C1041" s="3">
        <v>1.0</v>
      </c>
      <c r="D1041" t="str">
        <f>VLOOKUP(B1041,ERA_MOTIF_TYPES.csv!$A$1:$C$119,2,1)</f>
        <v>Cup and groove</v>
      </c>
      <c r="E1041" t="str">
        <f>VLOOKUP(A1041,Panels!$A$1:$E$2104,5,0)</f>
        <v>Fowberry Excavation Site</v>
      </c>
    </row>
    <row r="1042">
      <c r="A1042" s="3">
        <v>167.0</v>
      </c>
      <c r="B1042" s="3">
        <v>13.0</v>
      </c>
      <c r="C1042" s="3">
        <v>1.0</v>
      </c>
      <c r="D1042" t="str">
        <f>VLOOKUP(B1042,ERA_MOTIF_TYPES.csv!$A$1:$C$119,2,1)</f>
        <v>Single Ring + cup</v>
      </c>
      <c r="E1042" t="str">
        <f>VLOOKUP(A1042,Panels!$A$1:$E$2104,5,0)</f>
        <v>Fowberry Excavation Site</v>
      </c>
    </row>
    <row r="1043">
      <c r="A1043" s="3">
        <v>167.0</v>
      </c>
      <c r="B1043" s="3">
        <v>17.0</v>
      </c>
      <c r="C1043" s="3">
        <v>1.0</v>
      </c>
      <c r="D1043" t="str">
        <f>VLOOKUP(B1043,ERA_MOTIF_TYPES.csv!$A$1:$C$119,2,1)</f>
        <v>Single Penannular + cup</v>
      </c>
      <c r="E1043" t="str">
        <f>VLOOKUP(A1043,Panels!$A$1:$E$2104,5,0)</f>
        <v>Fowberry Excavation Site</v>
      </c>
    </row>
    <row r="1044">
      <c r="A1044" s="3">
        <v>167.0</v>
      </c>
      <c r="B1044" s="3">
        <v>52.0</v>
      </c>
      <c r="C1044" s="3">
        <v>5.0</v>
      </c>
      <c r="D1044" t="str">
        <f>VLOOKUP(B1044,ERA_MOTIF_TYPES.csv!$A$1:$C$119,2,1)</f>
        <v>Single or multiple cups</v>
      </c>
      <c r="E1044" t="str">
        <f>VLOOKUP(A1044,Panels!$A$1:$E$2104,5,0)</f>
        <v>Fowberry Excavation Site</v>
      </c>
    </row>
    <row r="1045">
      <c r="A1045" s="3">
        <v>167.0</v>
      </c>
      <c r="B1045" s="3">
        <v>57.0</v>
      </c>
      <c r="C1045" s="3">
        <v>1.0</v>
      </c>
      <c r="D1045" t="str">
        <f>VLOOKUP(B1045,ERA_MOTIF_TYPES.csv!$A$1:$C$119,2,1)</f>
        <v>Cup and ring</v>
      </c>
      <c r="E1045" t="str">
        <f>VLOOKUP(A1045,Panels!$A$1:$E$2104,5,0)</f>
        <v>Fowberry Excavation Site</v>
      </c>
    </row>
    <row r="1046">
      <c r="A1046" s="3">
        <v>167.0</v>
      </c>
      <c r="B1046" s="3">
        <v>59.0</v>
      </c>
      <c r="C1046" s="3">
        <v>1.0</v>
      </c>
      <c r="D1046" t="str">
        <f>VLOOKUP(B1046,ERA_MOTIF_TYPES.csv!$A$1:$C$119,2,1)</f>
        <v>Cup and penannular</v>
      </c>
      <c r="E1046" t="str">
        <f>VLOOKUP(A1046,Panels!$A$1:$E$2104,5,0)</f>
        <v>Fowberry Excavation Site</v>
      </c>
    </row>
    <row r="1047">
      <c r="A1047" s="3">
        <v>167.0</v>
      </c>
      <c r="B1047" s="3">
        <v>100.0</v>
      </c>
      <c r="C1047" s="3">
        <v>1.0</v>
      </c>
      <c r="D1047" t="str">
        <f>VLOOKUP(B1047,ERA_MOTIF_TYPES.csv!$A$1:$C$119,2,1)</f>
        <v>Pick marks</v>
      </c>
      <c r="E1047" t="str">
        <f>VLOOKUP(A1047,Panels!$A$1:$E$2104,5,0)</f>
        <v>Fowberry Excavation Site</v>
      </c>
    </row>
    <row r="1048">
      <c r="A1048" s="3">
        <v>167.0</v>
      </c>
      <c r="B1048" s="3">
        <v>105.0</v>
      </c>
      <c r="C1048" s="3">
        <v>1.0</v>
      </c>
      <c r="D1048" t="str">
        <f>VLOOKUP(B1048,ERA_MOTIF_TYPES.csv!$A$1:$C$119,2,1)</f>
        <v>Two cups linked by a groove</v>
      </c>
      <c r="E1048" t="str">
        <f>VLOOKUP(A1048,Panels!$A$1:$E$2104,5,0)</f>
        <v>Fowberry Excavation Site</v>
      </c>
    </row>
    <row r="1049">
      <c r="A1049" s="3">
        <v>168.0</v>
      </c>
      <c r="B1049" s="3">
        <v>60.0</v>
      </c>
      <c r="C1049" s="3">
        <v>1.0</v>
      </c>
      <c r="D1049" t="str">
        <f>VLOOKUP(B1049,ERA_MOTIF_TYPES.csv!$A$1:$C$119,2,1)</f>
        <v>Cup and multiple penannulars</v>
      </c>
      <c r="E1049" t="str">
        <f>VLOOKUP(A1049,Panels!$A$1:$E$2104,5,0)</f>
        <v>Fowberry Excavation Site</v>
      </c>
    </row>
    <row r="1050">
      <c r="A1050" s="3">
        <v>169.0</v>
      </c>
      <c r="B1050" s="3">
        <v>1.0</v>
      </c>
      <c r="C1050" s="3">
        <v>2.0</v>
      </c>
      <c r="D1050" t="str">
        <f>VLOOKUP(B1050,ERA_MOTIF_TYPES.csv!$A$1:$C$119,2,1)</f>
        <v>Cups Single</v>
      </c>
      <c r="E1050" t="str">
        <f>VLOOKUP(A1050,Panels!$A$1:$E$2104,5,0)</f>
        <v>North Plantation</v>
      </c>
    </row>
    <row r="1051">
      <c r="A1051" s="3">
        <v>169.0</v>
      </c>
      <c r="B1051" s="3">
        <v>2.0</v>
      </c>
      <c r="C1051" s="3">
        <v>1.0</v>
      </c>
      <c r="D1051" t="str">
        <f>VLOOKUP(B1051,ERA_MOTIF_TYPES.csv!$A$1:$C$119,2,1)</f>
        <v>Random Cluster</v>
      </c>
      <c r="E1051" t="str">
        <f>VLOOKUP(A1051,Panels!$A$1:$E$2104,5,0)</f>
        <v>North Plantation</v>
      </c>
    </row>
    <row r="1052">
      <c r="A1052" s="3">
        <v>169.0</v>
      </c>
      <c r="B1052" s="3">
        <v>6.0</v>
      </c>
      <c r="C1052" s="3">
        <v>1.0</v>
      </c>
      <c r="D1052" t="str">
        <f>VLOOKUP(B1052,ERA_MOTIF_TYPES.csv!$A$1:$C$119,2,1)</f>
        <v>curved or straight line</v>
      </c>
      <c r="E1052" t="str">
        <f>VLOOKUP(A1052,Panels!$A$1:$E$2104,5,0)</f>
        <v>North Plantation</v>
      </c>
    </row>
    <row r="1053">
      <c r="A1053" s="3">
        <v>169.0</v>
      </c>
      <c r="B1053" s="3">
        <v>14.0</v>
      </c>
      <c r="C1053" s="3">
        <v>1.0</v>
      </c>
      <c r="D1053" t="str">
        <f>VLOOKUP(B1053,ERA_MOTIF_TYPES.csv!$A$1:$C$119,2,1)</f>
        <v>Multi Ring + cup</v>
      </c>
      <c r="E1053" t="str">
        <f>VLOOKUP(A1053,Panels!$A$1:$E$2104,5,0)</f>
        <v>North Plantation</v>
      </c>
    </row>
    <row r="1054">
      <c r="A1054" s="3">
        <v>169.0</v>
      </c>
      <c r="B1054" s="3">
        <v>16.0</v>
      </c>
      <c r="C1054" s="3">
        <v>2.0</v>
      </c>
      <c r="D1054" t="str">
        <f>VLOOKUP(B1054,ERA_MOTIF_TYPES.csv!$A$1:$C$119,2,1)</f>
        <v>Single Arc + cup</v>
      </c>
      <c r="E1054" t="str">
        <f>VLOOKUP(A1054,Panels!$A$1:$E$2104,5,0)</f>
        <v>North Plantation</v>
      </c>
    </row>
    <row r="1055">
      <c r="A1055" s="3">
        <v>169.0</v>
      </c>
      <c r="B1055" s="3">
        <v>17.0</v>
      </c>
      <c r="C1055" s="3">
        <v>2.0</v>
      </c>
      <c r="D1055" t="str">
        <f>VLOOKUP(B1055,ERA_MOTIF_TYPES.csv!$A$1:$C$119,2,1)</f>
        <v>Single Penannular + cup</v>
      </c>
      <c r="E1055" t="str">
        <f>VLOOKUP(A1055,Panels!$A$1:$E$2104,5,0)</f>
        <v>North Plantation</v>
      </c>
    </row>
    <row r="1056">
      <c r="A1056" s="3">
        <v>169.0</v>
      </c>
      <c r="B1056" s="3">
        <v>33.0</v>
      </c>
      <c r="C1056" s="3">
        <v>1.0</v>
      </c>
      <c r="D1056" t="str">
        <f>VLOOKUP(B1056,ERA_MOTIF_TYPES.csv!$A$1:$C$119,2,1)</f>
        <v>Cup Groove and multi ring</v>
      </c>
      <c r="E1056" t="str">
        <f>VLOOKUP(A1056,Panels!$A$1:$E$2104,5,0)</f>
        <v>North Plantation</v>
      </c>
    </row>
    <row r="1057">
      <c r="A1057" s="3">
        <v>169.0</v>
      </c>
      <c r="B1057" s="3">
        <v>34.0</v>
      </c>
      <c r="C1057" s="3">
        <v>1.0</v>
      </c>
      <c r="D1057" t="str">
        <f>VLOOKUP(B1057,ERA_MOTIF_TYPES.csv!$A$1:$C$119,2,1)</f>
        <v>Cup Groove and penannular</v>
      </c>
      <c r="E1057" t="str">
        <f>VLOOKUP(A1057,Panels!$A$1:$E$2104,5,0)</f>
        <v>North Plantation</v>
      </c>
    </row>
    <row r="1058">
      <c r="A1058" s="3">
        <v>169.0</v>
      </c>
      <c r="B1058" s="3">
        <v>35.0</v>
      </c>
      <c r="C1058" s="3">
        <v>1.0</v>
      </c>
      <c r="D1058" t="str">
        <f>VLOOKUP(B1058,ERA_MOTIF_TYPES.csv!$A$1:$C$119,2,1)</f>
        <v>Cup Groove and multi penannular</v>
      </c>
      <c r="E1058" t="str">
        <f>VLOOKUP(A1058,Panels!$A$1:$E$2104,5,0)</f>
        <v>North Plantation</v>
      </c>
    </row>
    <row r="1059">
      <c r="A1059" s="3">
        <v>169.0</v>
      </c>
      <c r="B1059" s="3">
        <v>52.0</v>
      </c>
      <c r="C1059" s="3">
        <v>8.0</v>
      </c>
      <c r="D1059" t="str">
        <f>VLOOKUP(B1059,ERA_MOTIF_TYPES.csv!$A$1:$C$119,2,1)</f>
        <v>Single or multiple cups</v>
      </c>
      <c r="E1059" t="str">
        <f>VLOOKUP(A1059,Panels!$A$1:$E$2104,5,0)</f>
        <v>North Plantation</v>
      </c>
    </row>
    <row r="1060">
      <c r="A1060" s="3">
        <v>169.0</v>
      </c>
      <c r="B1060" s="3">
        <v>55.0</v>
      </c>
      <c r="C1060" s="3">
        <v>1.0</v>
      </c>
      <c r="D1060" t="str">
        <f>VLOOKUP(B1060,ERA_MOTIF_TYPES.csv!$A$1:$C$119,2,1)</f>
        <v>Cups in a straight or curved line</v>
      </c>
      <c r="E1060" t="str">
        <f>VLOOKUP(A1060,Panels!$A$1:$E$2104,5,0)</f>
        <v>North Plantation</v>
      </c>
    </row>
    <row r="1061">
      <c r="A1061" s="3">
        <v>169.0</v>
      </c>
      <c r="B1061" s="3">
        <v>57.0</v>
      </c>
      <c r="C1061" s="3">
        <v>1.0</v>
      </c>
      <c r="D1061" t="str">
        <f>VLOOKUP(B1061,ERA_MOTIF_TYPES.csv!$A$1:$C$119,2,1)</f>
        <v>Cup and ring</v>
      </c>
      <c r="E1061" t="str">
        <f>VLOOKUP(A1061,Panels!$A$1:$E$2104,5,0)</f>
        <v>North Plantation</v>
      </c>
    </row>
    <row r="1062">
      <c r="A1062" s="3">
        <v>169.0</v>
      </c>
      <c r="B1062" s="3">
        <v>59.0</v>
      </c>
      <c r="C1062" s="3">
        <v>1.0</v>
      </c>
      <c r="D1062" t="str">
        <f>VLOOKUP(B1062,ERA_MOTIF_TYPES.csv!$A$1:$C$119,2,1)</f>
        <v>Cup and penannular</v>
      </c>
      <c r="E1062" t="str">
        <f>VLOOKUP(A1062,Panels!$A$1:$E$2104,5,0)</f>
        <v>North Plantation</v>
      </c>
    </row>
    <row r="1063">
      <c r="A1063" s="3">
        <v>169.0</v>
      </c>
      <c r="B1063" s="3">
        <v>60.0</v>
      </c>
      <c r="C1063" s="3">
        <v>3.0</v>
      </c>
      <c r="D1063" t="str">
        <f>VLOOKUP(B1063,ERA_MOTIF_TYPES.csv!$A$1:$C$119,2,1)</f>
        <v>Cup and multiple penannulars</v>
      </c>
      <c r="E1063" t="str">
        <f>VLOOKUP(A1063,Panels!$A$1:$E$2104,5,0)</f>
        <v>North Plantation</v>
      </c>
    </row>
    <row r="1064">
      <c r="A1064" s="3">
        <v>169.0</v>
      </c>
      <c r="B1064" s="3">
        <v>61.0</v>
      </c>
      <c r="C1064" s="3">
        <v>4.0</v>
      </c>
      <c r="D1064" t="str">
        <f>VLOOKUP(B1064,ERA_MOTIF_TYPES.csv!$A$1:$C$119,2,1)</f>
        <v>Cup and arc (or semi-ovoid)</v>
      </c>
      <c r="E1064" t="str">
        <f>VLOOKUP(A1064,Panels!$A$1:$E$2104,5,0)</f>
        <v>North Plantation</v>
      </c>
    </row>
    <row r="1065">
      <c r="A1065" s="3">
        <v>169.0</v>
      </c>
      <c r="B1065" s="3">
        <v>63.0</v>
      </c>
      <c r="C1065" s="3">
        <v>1.0</v>
      </c>
      <c r="D1065" t="str">
        <f>VLOOKUP(B1065,ERA_MOTIF_TYPES.csv!$A$1:$C$119,2,1)</f>
        <v>Cup with groove cutting through ring</v>
      </c>
      <c r="E1065" t="str">
        <f>VLOOKUP(A1065,Panels!$A$1:$E$2104,5,0)</f>
        <v>North Plantation</v>
      </c>
    </row>
    <row r="1066">
      <c r="A1066" s="3">
        <v>169.0</v>
      </c>
      <c r="B1066" s="3">
        <v>65.0</v>
      </c>
      <c r="C1066" s="3">
        <v>2.0</v>
      </c>
      <c r="D1066" t="str">
        <f>VLOOKUP(B1066,ERA_MOTIF_TYPES.csv!$A$1:$C$119,2,1)</f>
        <v>Cup and groove with penannular</v>
      </c>
      <c r="E1066" t="str">
        <f>VLOOKUP(A1066,Panels!$A$1:$E$2104,5,0)</f>
        <v>North Plantation</v>
      </c>
    </row>
    <row r="1067">
      <c r="A1067" s="3">
        <v>169.0</v>
      </c>
      <c r="B1067" s="3">
        <v>66.0</v>
      </c>
      <c r="C1067" s="3">
        <v>1.0</v>
      </c>
      <c r="D1067" t="str">
        <f>VLOOKUP(B1067,ERA_MOTIF_TYPES.csv!$A$1:$C$119,2,1)</f>
        <v>Cup and groove with multiple penannulars</v>
      </c>
      <c r="E1067" t="str">
        <f>VLOOKUP(A1067,Panels!$A$1:$E$2104,5,0)</f>
        <v>North Plantation</v>
      </c>
    </row>
    <row r="1068">
      <c r="A1068" s="3">
        <v>169.0</v>
      </c>
      <c r="B1068" s="3">
        <v>71.0</v>
      </c>
      <c r="C1068" s="3">
        <v>1.0</v>
      </c>
      <c r="D1068" t="str">
        <f>VLOOKUP(B1068,ERA_MOTIF_TYPES.csv!$A$1:$C$119,2,1)</f>
        <v>Penannular</v>
      </c>
      <c r="E1068" t="str">
        <f>VLOOKUP(A1068,Panels!$A$1:$E$2104,5,0)</f>
        <v>North Plantation</v>
      </c>
    </row>
    <row r="1069">
      <c r="A1069" s="3">
        <v>169.0</v>
      </c>
      <c r="B1069" s="3">
        <v>73.0</v>
      </c>
      <c r="C1069" s="3">
        <v>1.0</v>
      </c>
      <c r="D1069" t="str">
        <f>VLOOKUP(B1069,ERA_MOTIF_TYPES.csv!$A$1:$C$119,2,1)</f>
        <v>Arc</v>
      </c>
      <c r="E1069" t="str">
        <f>VLOOKUP(A1069,Panels!$A$1:$E$2104,5,0)</f>
        <v>North Plantation</v>
      </c>
    </row>
    <row r="1070">
      <c r="A1070" s="3">
        <v>169.0</v>
      </c>
      <c r="B1070" s="3">
        <v>94.0</v>
      </c>
      <c r="C1070" s="3">
        <v>1.0</v>
      </c>
      <c r="D1070" t="str">
        <f>VLOOKUP(B1070,ERA_MOTIF_TYPES.csv!$A$1:$C$119,2,1)</f>
        <v>Basin</v>
      </c>
      <c r="E1070" t="str">
        <f>VLOOKUP(A1070,Panels!$A$1:$E$2104,5,0)</f>
        <v>North Plantation</v>
      </c>
    </row>
    <row r="1071">
      <c r="A1071" s="3">
        <v>169.0</v>
      </c>
      <c r="B1071" s="3">
        <v>107.0</v>
      </c>
      <c r="C1071" s="3">
        <v>1.0</v>
      </c>
      <c r="D1071" t="str">
        <f>VLOOKUP(B1071,ERA_MOTIF_TYPES.csv!$A$1:$C$119,2,1)</f>
        <v>Cup and ring with exterior groove</v>
      </c>
      <c r="E1071" t="str">
        <f>VLOOKUP(A1071,Panels!$A$1:$E$2104,5,0)</f>
        <v>North Plantation</v>
      </c>
    </row>
    <row r="1072">
      <c r="A1072" s="3">
        <v>170.0</v>
      </c>
      <c r="B1072" s="3">
        <v>1.0</v>
      </c>
      <c r="C1072" s="3">
        <v>4.0</v>
      </c>
      <c r="D1072" t="str">
        <f>VLOOKUP(B1072,ERA_MOTIF_TYPES.csv!$A$1:$C$119,2,1)</f>
        <v>Cups Single</v>
      </c>
      <c r="E1072" t="str">
        <f>VLOOKUP(A1072,Panels!$A$1:$E$2104,5,0)</f>
        <v>Fowberry Excavation Site</v>
      </c>
    </row>
    <row r="1073">
      <c r="A1073" s="3">
        <v>170.0</v>
      </c>
      <c r="B1073" s="3">
        <v>13.0</v>
      </c>
      <c r="C1073" s="3">
        <v>1.0</v>
      </c>
      <c r="D1073" t="str">
        <f>VLOOKUP(B1073,ERA_MOTIF_TYPES.csv!$A$1:$C$119,2,1)</f>
        <v>Single Ring + cup</v>
      </c>
      <c r="E1073" t="str">
        <f>VLOOKUP(A1073,Panels!$A$1:$E$2104,5,0)</f>
        <v>Fowberry Excavation Site</v>
      </c>
    </row>
    <row r="1074">
      <c r="A1074" s="3">
        <v>170.0</v>
      </c>
      <c r="B1074" s="3">
        <v>36.0</v>
      </c>
      <c r="C1074" s="3">
        <v>1.0</v>
      </c>
      <c r="D1074" t="str">
        <f>VLOOKUP(B1074,ERA_MOTIF_TYPES.csv!$A$1:$C$119,2,1)</f>
        <v>Cup Groove and arc</v>
      </c>
      <c r="E1074" t="str">
        <f>VLOOKUP(A1074,Panels!$A$1:$E$2104,5,0)</f>
        <v>Fowberry Excavation Site</v>
      </c>
    </row>
    <row r="1075">
      <c r="A1075" s="3">
        <v>170.0</v>
      </c>
      <c r="B1075" s="3">
        <v>52.0</v>
      </c>
      <c r="C1075" s="3">
        <v>15.0</v>
      </c>
      <c r="D1075" t="str">
        <f>VLOOKUP(B1075,ERA_MOTIF_TYPES.csv!$A$1:$C$119,2,1)</f>
        <v>Single or multiple cups</v>
      </c>
      <c r="E1075" t="str">
        <f>VLOOKUP(A1075,Panels!$A$1:$E$2104,5,0)</f>
        <v>Fowberry Excavation Site</v>
      </c>
    </row>
    <row r="1076">
      <c r="A1076" s="3">
        <v>170.0</v>
      </c>
      <c r="B1076" s="3">
        <v>57.0</v>
      </c>
      <c r="C1076" s="3">
        <v>1.0</v>
      </c>
      <c r="D1076" t="str">
        <f>VLOOKUP(B1076,ERA_MOTIF_TYPES.csv!$A$1:$C$119,2,1)</f>
        <v>Cup and ring</v>
      </c>
      <c r="E1076" t="str">
        <f>VLOOKUP(A1076,Panels!$A$1:$E$2104,5,0)</f>
        <v>Fowberry Excavation Site</v>
      </c>
    </row>
    <row r="1077">
      <c r="A1077" s="3">
        <v>170.0</v>
      </c>
      <c r="B1077" s="3">
        <v>58.0</v>
      </c>
      <c r="C1077" s="3">
        <v>1.0</v>
      </c>
      <c r="D1077" t="str">
        <f>VLOOKUP(B1077,ERA_MOTIF_TYPES.csv!$A$1:$C$119,2,1)</f>
        <v>Cup and multiple rings</v>
      </c>
      <c r="E1077" t="str">
        <f>VLOOKUP(A1077,Panels!$A$1:$E$2104,5,0)</f>
        <v>Fowberry Excavation Site</v>
      </c>
    </row>
    <row r="1078">
      <c r="A1078" s="3">
        <v>170.0</v>
      </c>
      <c r="B1078" s="3">
        <v>61.0</v>
      </c>
      <c r="C1078" s="3">
        <v>1.0</v>
      </c>
      <c r="D1078" t="str">
        <f>VLOOKUP(B1078,ERA_MOTIF_TYPES.csv!$A$1:$C$119,2,1)</f>
        <v>Cup and arc (or semi-ovoid)</v>
      </c>
      <c r="E1078" t="str">
        <f>VLOOKUP(A1078,Panels!$A$1:$E$2104,5,0)</f>
        <v>Fowberry Excavation Site</v>
      </c>
    </row>
    <row r="1079">
      <c r="A1079" s="3">
        <v>170.0</v>
      </c>
      <c r="B1079" s="3">
        <v>66.0</v>
      </c>
      <c r="C1079" s="3">
        <v>1.0</v>
      </c>
      <c r="D1079" t="str">
        <f>VLOOKUP(B1079,ERA_MOTIF_TYPES.csv!$A$1:$C$119,2,1)</f>
        <v>Cup and groove with multiple penannulars</v>
      </c>
      <c r="E1079" t="str">
        <f>VLOOKUP(A1079,Panels!$A$1:$E$2104,5,0)</f>
        <v>Fowberry Excavation Site</v>
      </c>
    </row>
    <row r="1080">
      <c r="A1080" s="3">
        <v>170.0</v>
      </c>
      <c r="B1080" s="3">
        <v>73.0</v>
      </c>
      <c r="C1080" s="3">
        <v>1.0</v>
      </c>
      <c r="D1080" t="str">
        <f>VLOOKUP(B1080,ERA_MOTIF_TYPES.csv!$A$1:$C$119,2,1)</f>
        <v>Arc</v>
      </c>
      <c r="E1080" t="str">
        <f>VLOOKUP(A1080,Panels!$A$1:$E$2104,5,0)</f>
        <v>Fowberry Excavation Site</v>
      </c>
    </row>
    <row r="1081">
      <c r="A1081" s="3">
        <v>171.0</v>
      </c>
      <c r="B1081" s="3">
        <v>1.0</v>
      </c>
      <c r="C1081" s="3">
        <v>8.0</v>
      </c>
      <c r="D1081" t="str">
        <f>VLOOKUP(B1081,ERA_MOTIF_TYPES.csv!$A$1:$C$119,2,1)</f>
        <v>Cups Single</v>
      </c>
      <c r="E1081" t="str">
        <f>VLOOKUP(A1081,Panels!$A$1:$E$2104,5,0)</f>
        <v>Fowberry Excavation Site</v>
      </c>
    </row>
    <row r="1082">
      <c r="A1082" s="3">
        <v>171.0</v>
      </c>
      <c r="B1082" s="3">
        <v>2.0</v>
      </c>
      <c r="C1082" s="3">
        <v>1.0</v>
      </c>
      <c r="D1082" t="str">
        <f>VLOOKUP(B1082,ERA_MOTIF_TYPES.csv!$A$1:$C$119,2,1)</f>
        <v>Random Cluster</v>
      </c>
      <c r="E1082" t="str">
        <f>VLOOKUP(A1082,Panels!$A$1:$E$2104,5,0)</f>
        <v>Fowberry Excavation Site</v>
      </c>
    </row>
    <row r="1083">
      <c r="A1083" s="3">
        <v>171.0</v>
      </c>
      <c r="B1083" s="3">
        <v>3.0</v>
      </c>
      <c r="C1083" s="3">
        <v>1.0</v>
      </c>
      <c r="D1083" t="str">
        <f>VLOOKUP(B1083,ERA_MOTIF_TYPES.csv!$A$1:$C$119,2,1)</f>
        <v>Parallel Domino</v>
      </c>
      <c r="E1083" t="str">
        <f>VLOOKUP(A1083,Panels!$A$1:$E$2104,5,0)</f>
        <v>Fowberry Excavation Site</v>
      </c>
    </row>
    <row r="1084">
      <c r="A1084" s="3">
        <v>171.0</v>
      </c>
      <c r="B1084" s="3">
        <v>52.0</v>
      </c>
      <c r="C1084" s="3">
        <v>18.0</v>
      </c>
      <c r="D1084" t="str">
        <f>VLOOKUP(B1084,ERA_MOTIF_TYPES.csv!$A$1:$C$119,2,1)</f>
        <v>Single or multiple cups</v>
      </c>
      <c r="E1084" t="str">
        <f>VLOOKUP(A1084,Panels!$A$1:$E$2104,5,0)</f>
        <v>Fowberry Excavation Site</v>
      </c>
    </row>
    <row r="1085">
      <c r="A1085" s="3">
        <v>171.0</v>
      </c>
      <c r="B1085" s="3">
        <v>53.0</v>
      </c>
      <c r="C1085" s="3">
        <v>1.0</v>
      </c>
      <c r="D1085" t="str">
        <f>VLOOKUP(B1085,ERA_MOTIF_TYPES.csv!$A$1:$C$119,2,1)</f>
        <v>Domino patterns and parallel lines</v>
      </c>
      <c r="E1085" t="str">
        <f>VLOOKUP(A1085,Panels!$A$1:$E$2104,5,0)</f>
        <v>Fowberry Excavation Site</v>
      </c>
    </row>
    <row r="1086">
      <c r="A1086" s="3">
        <v>171.0</v>
      </c>
      <c r="B1086" s="3">
        <v>57.0</v>
      </c>
      <c r="C1086" s="3">
        <v>2.0</v>
      </c>
      <c r="D1086" t="str">
        <f>VLOOKUP(B1086,ERA_MOTIF_TYPES.csv!$A$1:$C$119,2,1)</f>
        <v>Cup and ring</v>
      </c>
      <c r="E1086" t="str">
        <f>VLOOKUP(A1086,Panels!$A$1:$E$2104,5,0)</f>
        <v>Fowberry Excavation Site</v>
      </c>
    </row>
    <row r="1087">
      <c r="A1087" s="3">
        <v>171.0</v>
      </c>
      <c r="B1087" s="3">
        <v>84.0</v>
      </c>
      <c r="C1087" s="3">
        <v>2.0</v>
      </c>
      <c r="D1087" t="str">
        <f>VLOOKUP(B1087,ERA_MOTIF_TYPES.csv!$A$1:$C$119,2,1)</f>
        <v>Oval groove enclosing cups</v>
      </c>
      <c r="E1087" t="str">
        <f>VLOOKUP(A1087,Panels!$A$1:$E$2104,5,0)</f>
        <v>Fowberry Excavation Site</v>
      </c>
    </row>
    <row r="1088">
      <c r="A1088" s="3">
        <v>171.0</v>
      </c>
      <c r="B1088" s="3">
        <v>100.0</v>
      </c>
      <c r="C1088" s="3">
        <v>1.0</v>
      </c>
      <c r="D1088" t="str">
        <f>VLOOKUP(B1088,ERA_MOTIF_TYPES.csv!$A$1:$C$119,2,1)</f>
        <v>Pick marks</v>
      </c>
      <c r="E1088" t="str">
        <f>VLOOKUP(A1088,Panels!$A$1:$E$2104,5,0)</f>
        <v>Fowberry Excavation Site</v>
      </c>
    </row>
    <row r="1089">
      <c r="A1089" s="3">
        <v>171.0</v>
      </c>
      <c r="B1089" s="3">
        <v>103.0</v>
      </c>
      <c r="C1089" s="3">
        <v>1.0</v>
      </c>
      <c r="D1089" t="str">
        <f>VLOOKUP(B1089,ERA_MOTIF_TYPES.csv!$A$1:$C$119,2,1)</f>
        <v>Cup and groove</v>
      </c>
      <c r="E1089" t="str">
        <f>VLOOKUP(A1089,Panels!$A$1:$E$2104,5,0)</f>
        <v>Fowberry Excavation Site</v>
      </c>
    </row>
    <row r="1090">
      <c r="A1090" s="3">
        <v>171.0</v>
      </c>
      <c r="B1090" s="3">
        <v>105.0</v>
      </c>
      <c r="C1090" s="3">
        <v>2.0</v>
      </c>
      <c r="D1090" t="str">
        <f>VLOOKUP(B1090,ERA_MOTIF_TYPES.csv!$A$1:$C$119,2,1)</f>
        <v>Two cups linked by a groove</v>
      </c>
      <c r="E1090" t="str">
        <f>VLOOKUP(A1090,Panels!$A$1:$E$2104,5,0)</f>
        <v>Fowberry Excavation Site</v>
      </c>
    </row>
    <row r="1091">
      <c r="A1091" s="3">
        <v>171.0</v>
      </c>
      <c r="B1091" s="3">
        <v>110.0</v>
      </c>
      <c r="C1091" s="3">
        <v>2.0</v>
      </c>
      <c r="D1091" t="str">
        <f>VLOOKUP(B1091,ERA_MOTIF_TYPES.csv!$A$1:$C$119,2,1)</f>
        <v>Curved groove</v>
      </c>
      <c r="E1091" t="str">
        <f>VLOOKUP(A1091,Panels!$A$1:$E$2104,5,0)</f>
        <v>Fowberry Excavation Site</v>
      </c>
    </row>
    <row r="1092">
      <c r="A1092" s="3">
        <v>172.0</v>
      </c>
      <c r="B1092" s="3">
        <v>1.0</v>
      </c>
      <c r="C1092" s="3">
        <v>3.0</v>
      </c>
      <c r="D1092" t="str">
        <f>VLOOKUP(B1092,ERA_MOTIF_TYPES.csv!$A$1:$C$119,2,1)</f>
        <v>Cups Single</v>
      </c>
      <c r="E1092" t="str">
        <f>VLOOKUP(A1092,Panels!$A$1:$E$2104,5,0)</f>
        <v>Fowberry Excavation Site</v>
      </c>
    </row>
    <row r="1093">
      <c r="A1093" s="3">
        <v>172.0</v>
      </c>
      <c r="B1093" s="3">
        <v>10.0</v>
      </c>
      <c r="C1093" s="3">
        <v>1.0</v>
      </c>
      <c r="D1093" t="str">
        <f>VLOOKUP(B1093,ERA_MOTIF_TYPES.csv!$A$1:$C$119,2,1)</f>
        <v>Single Arc</v>
      </c>
      <c r="E1093" t="str">
        <f>VLOOKUP(A1093,Panels!$A$1:$E$2104,5,0)</f>
        <v>Fowberry Excavation Site</v>
      </c>
    </row>
    <row r="1094">
      <c r="A1094" s="3">
        <v>172.0</v>
      </c>
      <c r="B1094" s="3">
        <v>52.0</v>
      </c>
      <c r="C1094" s="3">
        <v>7.0</v>
      </c>
      <c r="D1094" t="str">
        <f>VLOOKUP(B1094,ERA_MOTIF_TYPES.csv!$A$1:$C$119,2,1)</f>
        <v>Single or multiple cups</v>
      </c>
      <c r="E1094" t="str">
        <f>VLOOKUP(A1094,Panels!$A$1:$E$2104,5,0)</f>
        <v>Fowberry Excavation Site</v>
      </c>
    </row>
    <row r="1095">
      <c r="A1095" s="3">
        <v>172.0</v>
      </c>
      <c r="B1095" s="3">
        <v>61.0</v>
      </c>
      <c r="C1095" s="3">
        <v>1.0</v>
      </c>
      <c r="D1095" t="str">
        <f>VLOOKUP(B1095,ERA_MOTIF_TYPES.csv!$A$1:$C$119,2,1)</f>
        <v>Cup and arc (or semi-ovoid)</v>
      </c>
      <c r="E1095" t="str">
        <f>VLOOKUP(A1095,Panels!$A$1:$E$2104,5,0)</f>
        <v>Fowberry Excavation Site</v>
      </c>
    </row>
    <row r="1096">
      <c r="A1096" s="3">
        <v>172.0</v>
      </c>
      <c r="B1096" s="3">
        <v>110.0</v>
      </c>
      <c r="C1096" s="3">
        <v>2.0</v>
      </c>
      <c r="D1096" t="str">
        <f>VLOOKUP(B1096,ERA_MOTIF_TYPES.csv!$A$1:$C$119,2,1)</f>
        <v>Curved groove</v>
      </c>
      <c r="E1096" t="str">
        <f>VLOOKUP(A1096,Panels!$A$1:$E$2104,5,0)</f>
        <v>Fowberry Excavation Site</v>
      </c>
    </row>
    <row r="1097">
      <c r="A1097" s="3">
        <v>173.0</v>
      </c>
      <c r="B1097" s="3">
        <v>1.0</v>
      </c>
      <c r="C1097" s="3">
        <v>15.0</v>
      </c>
      <c r="D1097" t="str">
        <f>VLOOKUP(B1097,ERA_MOTIF_TYPES.csv!$A$1:$C$119,2,1)</f>
        <v>Cups Single</v>
      </c>
      <c r="E1097" t="str">
        <f>VLOOKUP(A1097,Panels!$A$1:$E$2104,5,0)</f>
        <v>North Plantation</v>
      </c>
    </row>
    <row r="1098">
      <c r="A1098" s="3">
        <v>173.0</v>
      </c>
      <c r="B1098" s="3">
        <v>5.0</v>
      </c>
      <c r="C1098" s="3">
        <v>1.0</v>
      </c>
      <c r="D1098" t="str">
        <f>VLOOKUP(B1098,ERA_MOTIF_TYPES.csv!$A$1:$C$119,2,1)</f>
        <v>Rosette</v>
      </c>
      <c r="E1098" t="str">
        <f>VLOOKUP(A1098,Panels!$A$1:$E$2104,5,0)</f>
        <v>North Plantation</v>
      </c>
    </row>
    <row r="1099">
      <c r="A1099" s="3">
        <v>173.0</v>
      </c>
      <c r="B1099" s="3">
        <v>16.0</v>
      </c>
      <c r="C1099" s="3">
        <v>1.0</v>
      </c>
      <c r="D1099" t="str">
        <f>VLOOKUP(B1099,ERA_MOTIF_TYPES.csv!$A$1:$C$119,2,1)</f>
        <v>Single Arc + cup</v>
      </c>
      <c r="E1099" t="str">
        <f>VLOOKUP(A1099,Panels!$A$1:$E$2104,5,0)</f>
        <v>North Plantation</v>
      </c>
    </row>
    <row r="1100">
      <c r="A1100" s="3">
        <v>173.0</v>
      </c>
      <c r="B1100" s="3">
        <v>25.0</v>
      </c>
      <c r="C1100" s="3">
        <v>1.0</v>
      </c>
      <c r="D1100" t="str">
        <f>VLOOKUP(B1100,ERA_MOTIF_TYPES.csv!$A$1:$C$119,2,1)</f>
        <v>Linear</v>
      </c>
      <c r="E1100" t="str">
        <f>VLOOKUP(A1100,Panels!$A$1:$E$2104,5,0)</f>
        <v>North Plantation</v>
      </c>
    </row>
    <row r="1101">
      <c r="A1101" s="3">
        <v>173.0</v>
      </c>
      <c r="B1101" s="3">
        <v>52.0</v>
      </c>
      <c r="C1101" s="3">
        <v>38.0</v>
      </c>
      <c r="D1101" t="str">
        <f>VLOOKUP(B1101,ERA_MOTIF_TYPES.csv!$A$1:$C$119,2,1)</f>
        <v>Single or multiple cups</v>
      </c>
      <c r="E1101" t="str">
        <f>VLOOKUP(A1101,Panels!$A$1:$E$2104,5,0)</f>
        <v>North Plantation</v>
      </c>
    </row>
    <row r="1102">
      <c r="A1102" s="3">
        <v>173.0</v>
      </c>
      <c r="B1102" s="3">
        <v>57.0</v>
      </c>
      <c r="C1102" s="3">
        <v>1.0</v>
      </c>
      <c r="D1102" t="str">
        <f>VLOOKUP(B1102,ERA_MOTIF_TYPES.csv!$A$1:$C$119,2,1)</f>
        <v>Cup and ring</v>
      </c>
      <c r="E1102" t="str">
        <f>VLOOKUP(A1102,Panels!$A$1:$E$2104,5,0)</f>
        <v>North Plantation</v>
      </c>
    </row>
    <row r="1103">
      <c r="A1103" s="3">
        <v>173.0</v>
      </c>
      <c r="B1103" s="3">
        <v>87.0</v>
      </c>
      <c r="C1103" s="3">
        <v>4.0</v>
      </c>
      <c r="D1103" t="str">
        <f>VLOOKUP(B1103,ERA_MOTIF_TYPES.csv!$A$1:$C$119,2,1)</f>
        <v>Linear and angular groove</v>
      </c>
      <c r="E1103" t="str">
        <f>VLOOKUP(A1103,Panels!$A$1:$E$2104,5,0)</f>
        <v>North Plantation</v>
      </c>
    </row>
    <row r="1104">
      <c r="A1104" s="3">
        <v>173.0</v>
      </c>
      <c r="B1104" s="3">
        <v>90.0</v>
      </c>
      <c r="C1104" s="3">
        <v>1.0</v>
      </c>
      <c r="D1104" t="str">
        <f>VLOOKUP(B1104,ERA_MOTIF_TYPES.csv!$A$1:$C$119,2,1)</f>
        <v>Serpentine groove</v>
      </c>
      <c r="E1104" t="str">
        <f>VLOOKUP(A1104,Panels!$A$1:$E$2104,5,0)</f>
        <v>North Plantation</v>
      </c>
    </row>
    <row r="1105">
      <c r="A1105" s="3">
        <v>173.0</v>
      </c>
      <c r="B1105" s="3">
        <v>101.0</v>
      </c>
      <c r="C1105" s="3">
        <v>1.0</v>
      </c>
      <c r="D1105" t="str">
        <f>VLOOKUP(B1105,ERA_MOTIF_TYPES.csv!$A$1:$C$119,2,1)</f>
        <v>Occulus</v>
      </c>
      <c r="E1105" t="str">
        <f>VLOOKUP(A1105,Panels!$A$1:$E$2104,5,0)</f>
        <v>North Plantation</v>
      </c>
    </row>
    <row r="1106">
      <c r="A1106" s="3">
        <v>173.0</v>
      </c>
      <c r="B1106" s="3">
        <v>103.0</v>
      </c>
      <c r="C1106" s="3">
        <v>1.0</v>
      </c>
      <c r="D1106" t="str">
        <f>VLOOKUP(B1106,ERA_MOTIF_TYPES.csv!$A$1:$C$119,2,1)</f>
        <v>Cup and groove</v>
      </c>
      <c r="E1106" t="str">
        <f>VLOOKUP(A1106,Panels!$A$1:$E$2104,5,0)</f>
        <v>North Plantation</v>
      </c>
    </row>
    <row r="1107">
      <c r="A1107" s="3">
        <v>173.0</v>
      </c>
      <c r="B1107" s="3">
        <v>107.0</v>
      </c>
      <c r="C1107" s="3">
        <v>1.0</v>
      </c>
      <c r="D1107" t="str">
        <f>VLOOKUP(B1107,ERA_MOTIF_TYPES.csv!$A$1:$C$119,2,1)</f>
        <v>Cup and ring with exterior groove</v>
      </c>
      <c r="E1107" t="str">
        <f>VLOOKUP(A1107,Panels!$A$1:$E$2104,5,0)</f>
        <v>North Plantation</v>
      </c>
    </row>
    <row r="1108">
      <c r="A1108" s="3">
        <v>174.0</v>
      </c>
      <c r="B1108" s="3">
        <v>1.0</v>
      </c>
      <c r="C1108" s="3">
        <v>1.0</v>
      </c>
      <c r="D1108" t="str">
        <f>VLOOKUP(B1108,ERA_MOTIF_TYPES.csv!$A$1:$C$119,2,1)</f>
        <v>Cups Single</v>
      </c>
      <c r="E1108" t="str">
        <f>VLOOKUP(A1108,Panels!$A$1:$E$2104,5,0)</f>
        <v>Fowberry Excavation Site</v>
      </c>
    </row>
    <row r="1109">
      <c r="A1109" s="3">
        <v>174.0</v>
      </c>
      <c r="B1109" s="3">
        <v>33.0</v>
      </c>
      <c r="C1109" s="3">
        <v>2.0</v>
      </c>
      <c r="D1109" t="str">
        <f>VLOOKUP(B1109,ERA_MOTIF_TYPES.csv!$A$1:$C$119,2,1)</f>
        <v>Cup Groove and multi ring</v>
      </c>
      <c r="E1109" t="str">
        <f>VLOOKUP(A1109,Panels!$A$1:$E$2104,5,0)</f>
        <v>Fowberry Excavation Site</v>
      </c>
    </row>
    <row r="1110">
      <c r="A1110" s="3">
        <v>174.0</v>
      </c>
      <c r="B1110" s="3">
        <v>52.0</v>
      </c>
      <c r="C1110" s="3">
        <v>1.0</v>
      </c>
      <c r="D1110" t="str">
        <f>VLOOKUP(B1110,ERA_MOTIF_TYPES.csv!$A$1:$C$119,2,1)</f>
        <v>Single or multiple cups</v>
      </c>
      <c r="E1110" t="str">
        <f>VLOOKUP(A1110,Panels!$A$1:$E$2104,5,0)</f>
        <v>Fowberry Excavation Site</v>
      </c>
    </row>
    <row r="1111">
      <c r="A1111" s="3">
        <v>174.0</v>
      </c>
      <c r="B1111" s="3">
        <v>66.0</v>
      </c>
      <c r="C1111" s="3">
        <v>2.0</v>
      </c>
      <c r="D1111" t="str">
        <f>VLOOKUP(B1111,ERA_MOTIF_TYPES.csv!$A$1:$C$119,2,1)</f>
        <v>Cup and groove with multiple penannulars</v>
      </c>
      <c r="E1111" t="str">
        <f>VLOOKUP(A1111,Panels!$A$1:$E$2104,5,0)</f>
        <v>Fowberry Excavation Site</v>
      </c>
    </row>
    <row r="1112">
      <c r="A1112" s="3">
        <v>174.0</v>
      </c>
      <c r="B1112" s="3">
        <v>87.0</v>
      </c>
      <c r="C1112" s="3">
        <v>1.0</v>
      </c>
      <c r="D1112" t="str">
        <f>VLOOKUP(B1112,ERA_MOTIF_TYPES.csv!$A$1:$C$119,2,1)</f>
        <v>Linear and angular groove</v>
      </c>
      <c r="E1112" t="str">
        <f>VLOOKUP(A1112,Panels!$A$1:$E$2104,5,0)</f>
        <v>Fowberry Excavation Site</v>
      </c>
    </row>
    <row r="1113">
      <c r="A1113" s="3">
        <v>175.0</v>
      </c>
      <c r="B1113" s="3">
        <v>1.0</v>
      </c>
      <c r="C1113" s="3">
        <v>3.0</v>
      </c>
      <c r="D1113" t="str">
        <f>VLOOKUP(B1113,ERA_MOTIF_TYPES.csv!$A$1:$C$119,2,1)</f>
        <v>Cups Single</v>
      </c>
      <c r="E1113" t="str">
        <f>VLOOKUP(A1113,Panels!$A$1:$E$2104,5,0)</f>
        <v>Fowberry Excavation Site</v>
      </c>
    </row>
    <row r="1114">
      <c r="A1114" s="3">
        <v>175.0</v>
      </c>
      <c r="B1114" s="3">
        <v>15.0</v>
      </c>
      <c r="C1114" s="3">
        <v>1.0</v>
      </c>
      <c r="D1114" t="str">
        <f>VLOOKUP(B1114,ERA_MOTIF_TYPES.csv!$A$1:$C$119,2,1)</f>
        <v>Multi Penanular + cup</v>
      </c>
      <c r="E1114" t="str">
        <f>VLOOKUP(A1114,Panels!$A$1:$E$2104,5,0)</f>
        <v>Fowberry Excavation Site</v>
      </c>
    </row>
    <row r="1115">
      <c r="A1115" s="3">
        <v>175.0</v>
      </c>
      <c r="B1115" s="3">
        <v>52.0</v>
      </c>
      <c r="C1115" s="3">
        <v>3.0</v>
      </c>
      <c r="D1115" t="str">
        <f>VLOOKUP(B1115,ERA_MOTIF_TYPES.csv!$A$1:$C$119,2,1)</f>
        <v>Single or multiple cups</v>
      </c>
      <c r="E1115" t="str">
        <f>VLOOKUP(A1115,Panels!$A$1:$E$2104,5,0)</f>
        <v>Fowberry Excavation Site</v>
      </c>
    </row>
    <row r="1116">
      <c r="A1116" s="3">
        <v>175.0</v>
      </c>
      <c r="B1116" s="3">
        <v>61.0</v>
      </c>
      <c r="C1116" s="3">
        <v>1.0</v>
      </c>
      <c r="D1116" t="str">
        <f>VLOOKUP(B1116,ERA_MOTIF_TYPES.csv!$A$1:$C$119,2,1)</f>
        <v>Cup and arc (or semi-ovoid)</v>
      </c>
      <c r="E1116" t="str">
        <f>VLOOKUP(A1116,Panels!$A$1:$E$2104,5,0)</f>
        <v>Fowberry Excavation Site</v>
      </c>
    </row>
    <row r="1117">
      <c r="A1117" s="3">
        <v>175.0</v>
      </c>
      <c r="B1117" s="3">
        <v>73.0</v>
      </c>
      <c r="C1117" s="3">
        <v>1.0</v>
      </c>
      <c r="D1117" t="str">
        <f>VLOOKUP(B1117,ERA_MOTIF_TYPES.csv!$A$1:$C$119,2,1)</f>
        <v>Arc</v>
      </c>
      <c r="E1117" t="str">
        <f>VLOOKUP(A1117,Panels!$A$1:$E$2104,5,0)</f>
        <v>Fowberry Excavation Site</v>
      </c>
    </row>
    <row r="1118">
      <c r="A1118" s="3">
        <v>175.0</v>
      </c>
      <c r="B1118" s="3">
        <v>74.0</v>
      </c>
      <c r="C1118" s="3">
        <v>1.0</v>
      </c>
      <c r="D1118" t="str">
        <f>VLOOKUP(B1118,ERA_MOTIF_TYPES.csv!$A$1:$C$119,2,1)</f>
        <v>Multiple arcs</v>
      </c>
      <c r="E1118" t="str">
        <f>VLOOKUP(A1118,Panels!$A$1:$E$2104,5,0)</f>
        <v>Fowberry Excavation Site</v>
      </c>
    </row>
    <row r="1119">
      <c r="A1119" s="3">
        <v>178.0</v>
      </c>
      <c r="B1119" s="3">
        <v>1.0</v>
      </c>
      <c r="C1119" s="3">
        <v>29.0</v>
      </c>
      <c r="D1119" t="str">
        <f>VLOOKUP(B1119,ERA_MOTIF_TYPES.csv!$A$1:$C$119,2,1)</f>
        <v>Cups Single</v>
      </c>
      <c r="E1119" t="str">
        <f>VLOOKUP(A1119,Panels!$A$1:$E$2104,5,0)</f>
        <v>Fowberry Excavation Site</v>
      </c>
    </row>
    <row r="1120">
      <c r="A1120" s="3">
        <v>178.0</v>
      </c>
      <c r="B1120" s="3">
        <v>14.0</v>
      </c>
      <c r="C1120" s="3">
        <v>1.0</v>
      </c>
      <c r="D1120" t="str">
        <f>VLOOKUP(B1120,ERA_MOTIF_TYPES.csv!$A$1:$C$119,2,1)</f>
        <v>Multi Ring + cup</v>
      </c>
      <c r="E1120" t="str">
        <f>VLOOKUP(A1120,Panels!$A$1:$E$2104,5,0)</f>
        <v>Fowberry Excavation Site</v>
      </c>
    </row>
    <row r="1121">
      <c r="A1121" s="3">
        <v>178.0</v>
      </c>
      <c r="B1121" s="3">
        <v>16.0</v>
      </c>
      <c r="C1121" s="3">
        <v>6.0</v>
      </c>
      <c r="D1121" t="str">
        <f>VLOOKUP(B1121,ERA_MOTIF_TYPES.csv!$A$1:$C$119,2,1)</f>
        <v>Single Arc + cup</v>
      </c>
      <c r="E1121" t="str">
        <f>VLOOKUP(A1121,Panels!$A$1:$E$2104,5,0)</f>
        <v>Fowberry Excavation Site</v>
      </c>
    </row>
    <row r="1122">
      <c r="A1122" s="3">
        <v>178.0</v>
      </c>
      <c r="B1122" s="3">
        <v>18.0</v>
      </c>
      <c r="C1122" s="3">
        <v>1.0</v>
      </c>
      <c r="D1122" t="str">
        <f>VLOOKUP(B1122,ERA_MOTIF_TYPES.csv!$A$1:$C$119,2,1)</f>
        <v>Multi Arc + cup</v>
      </c>
      <c r="E1122" t="str">
        <f>VLOOKUP(A1122,Panels!$A$1:$E$2104,5,0)</f>
        <v>Fowberry Excavation Site</v>
      </c>
    </row>
    <row r="1123">
      <c r="A1123" s="3">
        <v>178.0</v>
      </c>
      <c r="B1123" s="3">
        <v>25.0</v>
      </c>
      <c r="C1123" s="3">
        <v>3.0</v>
      </c>
      <c r="D1123" t="str">
        <f>VLOOKUP(B1123,ERA_MOTIF_TYPES.csv!$A$1:$C$119,2,1)</f>
        <v>Linear</v>
      </c>
      <c r="E1123" t="str">
        <f>VLOOKUP(A1123,Panels!$A$1:$E$2104,5,0)</f>
        <v>Fowberry Excavation Site</v>
      </c>
    </row>
    <row r="1124">
      <c r="A1124" s="3">
        <v>178.0</v>
      </c>
      <c r="B1124" s="3">
        <v>31.0</v>
      </c>
      <c r="C1124" s="3">
        <v>3.0</v>
      </c>
      <c r="D1124" t="str">
        <f>VLOOKUP(B1124,ERA_MOTIF_TYPES.csv!$A$1:$C$119,2,1)</f>
        <v>Cup and Groove</v>
      </c>
      <c r="E1124" t="str">
        <f>VLOOKUP(A1124,Panels!$A$1:$E$2104,5,0)</f>
        <v>Fowberry Excavation Site</v>
      </c>
    </row>
    <row r="1125">
      <c r="A1125" s="3">
        <v>178.0</v>
      </c>
      <c r="B1125" s="3">
        <v>33.0</v>
      </c>
      <c r="C1125" s="3">
        <v>1.0</v>
      </c>
      <c r="D1125" t="str">
        <f>VLOOKUP(B1125,ERA_MOTIF_TYPES.csv!$A$1:$C$119,2,1)</f>
        <v>Cup Groove and multi ring</v>
      </c>
      <c r="E1125" t="str">
        <f>VLOOKUP(A1125,Panels!$A$1:$E$2104,5,0)</f>
        <v>Fowberry Excavation Site</v>
      </c>
    </row>
    <row r="1126">
      <c r="A1126" s="3">
        <v>178.0</v>
      </c>
      <c r="B1126" s="3">
        <v>34.0</v>
      </c>
      <c r="C1126" s="3">
        <v>1.0</v>
      </c>
      <c r="D1126" t="str">
        <f>VLOOKUP(B1126,ERA_MOTIF_TYPES.csv!$A$1:$C$119,2,1)</f>
        <v>Cup Groove and penannular</v>
      </c>
      <c r="E1126" t="str">
        <f>VLOOKUP(A1126,Panels!$A$1:$E$2104,5,0)</f>
        <v>Fowberry Excavation Site</v>
      </c>
    </row>
    <row r="1127">
      <c r="A1127" s="3">
        <v>178.0</v>
      </c>
      <c r="B1127" s="3">
        <v>35.0</v>
      </c>
      <c r="C1127" s="3">
        <v>2.0</v>
      </c>
      <c r="D1127" t="str">
        <f>VLOOKUP(B1127,ERA_MOTIF_TYPES.csv!$A$1:$C$119,2,1)</f>
        <v>Cup Groove and multi penannular</v>
      </c>
      <c r="E1127" t="str">
        <f>VLOOKUP(A1127,Panels!$A$1:$E$2104,5,0)</f>
        <v>Fowberry Excavation Site</v>
      </c>
    </row>
    <row r="1128">
      <c r="A1128" s="3">
        <v>178.0</v>
      </c>
      <c r="B1128" s="3">
        <v>36.0</v>
      </c>
      <c r="C1128" s="3">
        <v>3.0</v>
      </c>
      <c r="D1128" t="str">
        <f>VLOOKUP(B1128,ERA_MOTIF_TYPES.csv!$A$1:$C$119,2,1)</f>
        <v>Cup Groove and arc</v>
      </c>
      <c r="E1128" t="str">
        <f>VLOOKUP(A1128,Panels!$A$1:$E$2104,5,0)</f>
        <v>Fowberry Excavation Site</v>
      </c>
    </row>
    <row r="1129">
      <c r="A1129" s="3">
        <v>178.0</v>
      </c>
      <c r="B1129" s="3">
        <v>52.0</v>
      </c>
      <c r="C1129" s="3">
        <v>38.0</v>
      </c>
      <c r="D1129" t="str">
        <f>VLOOKUP(B1129,ERA_MOTIF_TYPES.csv!$A$1:$C$119,2,1)</f>
        <v>Single or multiple cups</v>
      </c>
      <c r="E1129" t="str">
        <f>VLOOKUP(A1129,Panels!$A$1:$E$2104,5,0)</f>
        <v>Fowberry Excavation Site</v>
      </c>
    </row>
    <row r="1130">
      <c r="A1130" s="3">
        <v>178.0</v>
      </c>
      <c r="B1130" s="3">
        <v>57.0</v>
      </c>
      <c r="C1130" s="3">
        <v>1.0</v>
      </c>
      <c r="D1130" t="str">
        <f>VLOOKUP(B1130,ERA_MOTIF_TYPES.csv!$A$1:$C$119,2,1)</f>
        <v>Cup and ring</v>
      </c>
      <c r="E1130" t="str">
        <f>VLOOKUP(A1130,Panels!$A$1:$E$2104,5,0)</f>
        <v>Fowberry Excavation Site</v>
      </c>
    </row>
    <row r="1131">
      <c r="A1131" s="3">
        <v>178.0</v>
      </c>
      <c r="B1131" s="3">
        <v>58.0</v>
      </c>
      <c r="C1131" s="3">
        <v>1.0</v>
      </c>
      <c r="D1131" t="str">
        <f>VLOOKUP(B1131,ERA_MOTIF_TYPES.csv!$A$1:$C$119,2,1)</f>
        <v>Cup and multiple rings</v>
      </c>
      <c r="E1131" t="str">
        <f>VLOOKUP(A1131,Panels!$A$1:$E$2104,5,0)</f>
        <v>Fowberry Excavation Site</v>
      </c>
    </row>
    <row r="1132">
      <c r="A1132" s="3">
        <v>178.0</v>
      </c>
      <c r="B1132" s="3">
        <v>62.0</v>
      </c>
      <c r="C1132" s="3">
        <v>2.0</v>
      </c>
      <c r="D1132" t="str">
        <f>VLOOKUP(B1132,ERA_MOTIF_TYPES.csv!$A$1:$C$119,2,1)</f>
        <v>Cup and multiple arcs</v>
      </c>
      <c r="E1132" t="str">
        <f>VLOOKUP(A1132,Panels!$A$1:$E$2104,5,0)</f>
        <v>Fowberry Excavation Site</v>
      </c>
    </row>
    <row r="1133">
      <c r="A1133" s="3">
        <v>178.0</v>
      </c>
      <c r="B1133" s="3">
        <v>65.0</v>
      </c>
      <c r="C1133" s="3">
        <v>6.0</v>
      </c>
      <c r="D1133" t="str">
        <f>VLOOKUP(B1133,ERA_MOTIF_TYPES.csv!$A$1:$C$119,2,1)</f>
        <v>Cup and groove with penannular</v>
      </c>
      <c r="E1133" t="str">
        <f>VLOOKUP(A1133,Panels!$A$1:$E$2104,5,0)</f>
        <v>Fowberry Excavation Site</v>
      </c>
    </row>
    <row r="1134">
      <c r="A1134" s="3">
        <v>178.0</v>
      </c>
      <c r="B1134" s="3">
        <v>66.0</v>
      </c>
      <c r="C1134" s="3">
        <v>4.0</v>
      </c>
      <c r="D1134" t="str">
        <f>VLOOKUP(B1134,ERA_MOTIF_TYPES.csv!$A$1:$C$119,2,1)</f>
        <v>Cup and groove with multiple penannulars</v>
      </c>
      <c r="E1134" t="str">
        <f>VLOOKUP(A1134,Panels!$A$1:$E$2104,5,0)</f>
        <v>Fowberry Excavation Site</v>
      </c>
    </row>
    <row r="1135">
      <c r="A1135" s="3">
        <v>178.0</v>
      </c>
      <c r="B1135" s="3">
        <v>67.0</v>
      </c>
      <c r="C1135" s="3">
        <v>2.0</v>
      </c>
      <c r="D1135" t="str">
        <f>VLOOKUP(B1135,ERA_MOTIF_TYPES.csv!$A$1:$C$119,2,1)</f>
        <v>Cup and groove with arc</v>
      </c>
      <c r="E1135" t="str">
        <f>VLOOKUP(A1135,Panels!$A$1:$E$2104,5,0)</f>
        <v>Fowberry Excavation Site</v>
      </c>
    </row>
    <row r="1136">
      <c r="A1136" s="3">
        <v>178.0</v>
      </c>
      <c r="B1136" s="3">
        <v>68.0</v>
      </c>
      <c r="C1136" s="3">
        <v>1.0</v>
      </c>
      <c r="D1136" t="str">
        <f>VLOOKUP(B1136,ERA_MOTIF_TYPES.csv!$A$1:$C$119,2,1)</f>
        <v>Cup and groove with multiple arcs</v>
      </c>
      <c r="E1136" t="str">
        <f>VLOOKUP(A1136,Panels!$A$1:$E$2104,5,0)</f>
        <v>Fowberry Excavation Site</v>
      </c>
    </row>
    <row r="1137">
      <c r="A1137" s="3">
        <v>178.0</v>
      </c>
      <c r="B1137" s="3">
        <v>73.0</v>
      </c>
      <c r="C1137" s="3">
        <v>1.0</v>
      </c>
      <c r="D1137" t="str">
        <f>VLOOKUP(B1137,ERA_MOTIF_TYPES.csv!$A$1:$C$119,2,1)</f>
        <v>Arc</v>
      </c>
      <c r="E1137" t="str">
        <f>VLOOKUP(A1137,Panels!$A$1:$E$2104,5,0)</f>
        <v>Fowberry Excavation Site</v>
      </c>
    </row>
    <row r="1138">
      <c r="A1138" s="3">
        <v>178.0</v>
      </c>
      <c r="B1138" s="3">
        <v>87.0</v>
      </c>
      <c r="C1138" s="3">
        <v>3.0</v>
      </c>
      <c r="D1138" t="str">
        <f>VLOOKUP(B1138,ERA_MOTIF_TYPES.csv!$A$1:$C$119,2,1)</f>
        <v>Linear and angular groove</v>
      </c>
      <c r="E1138" t="str">
        <f>VLOOKUP(A1138,Panels!$A$1:$E$2104,5,0)</f>
        <v>Fowberry Excavation Site</v>
      </c>
    </row>
    <row r="1139">
      <c r="A1139" s="3">
        <v>178.0</v>
      </c>
      <c r="B1139" s="3">
        <v>103.0</v>
      </c>
      <c r="C1139" s="3">
        <v>9.0</v>
      </c>
      <c r="D1139" t="str">
        <f>VLOOKUP(B1139,ERA_MOTIF_TYPES.csv!$A$1:$C$119,2,1)</f>
        <v>Cup and groove</v>
      </c>
      <c r="E1139" t="str">
        <f>VLOOKUP(A1139,Panels!$A$1:$E$2104,5,0)</f>
        <v>Fowberry Excavation Site</v>
      </c>
    </row>
    <row r="1140">
      <c r="A1140" s="3">
        <v>178.0</v>
      </c>
      <c r="B1140" s="3">
        <v>105.0</v>
      </c>
      <c r="C1140" s="3">
        <v>2.0</v>
      </c>
      <c r="D1140" t="str">
        <f>VLOOKUP(B1140,ERA_MOTIF_TYPES.csv!$A$1:$C$119,2,1)</f>
        <v>Two cups linked by a groove</v>
      </c>
      <c r="E1140" t="str">
        <f>VLOOKUP(A1140,Panels!$A$1:$E$2104,5,0)</f>
        <v>Fowberry Excavation Site</v>
      </c>
    </row>
    <row r="1141">
      <c r="A1141" s="3">
        <v>178.0</v>
      </c>
      <c r="B1141" s="3">
        <v>108.0</v>
      </c>
      <c r="C1141" s="3">
        <v>1.0</v>
      </c>
      <c r="D1141" t="str">
        <f>VLOOKUP(B1141,ERA_MOTIF_TYPES.csv!$A$1:$C$119,2,1)</f>
        <v>Cup and ring with interior groove</v>
      </c>
      <c r="E1141" t="str">
        <f>VLOOKUP(A1141,Panels!$A$1:$E$2104,5,0)</f>
        <v>Fowberry Excavation Site</v>
      </c>
    </row>
    <row r="1142">
      <c r="A1142" s="3">
        <v>178.0</v>
      </c>
      <c r="B1142" s="3">
        <v>110.0</v>
      </c>
      <c r="C1142" s="3">
        <v>2.0</v>
      </c>
      <c r="D1142" t="str">
        <f>VLOOKUP(B1142,ERA_MOTIF_TYPES.csv!$A$1:$C$119,2,1)</f>
        <v>Curved groove</v>
      </c>
      <c r="E1142" t="str">
        <f>VLOOKUP(A1142,Panels!$A$1:$E$2104,5,0)</f>
        <v>Fowberry Excavation Site</v>
      </c>
    </row>
    <row r="1143">
      <c r="A1143" s="3">
        <v>179.0</v>
      </c>
      <c r="B1143" s="3">
        <v>1.0</v>
      </c>
      <c r="C1143" s="3">
        <v>19.0</v>
      </c>
      <c r="D1143" t="str">
        <f>VLOOKUP(B1143,ERA_MOTIF_TYPES.csv!$A$1:$C$119,2,1)</f>
        <v>Cups Single</v>
      </c>
      <c r="E1143" t="str">
        <f>VLOOKUP(A1143,Panels!$A$1:$E$2104,5,0)</f>
        <v>Fowberry Excavation Site</v>
      </c>
    </row>
    <row r="1144">
      <c r="A1144" s="3">
        <v>179.0</v>
      </c>
      <c r="B1144" s="3">
        <v>10.0</v>
      </c>
      <c r="C1144" s="3">
        <v>3.0</v>
      </c>
      <c r="D1144" t="str">
        <f>VLOOKUP(B1144,ERA_MOTIF_TYPES.csv!$A$1:$C$119,2,1)</f>
        <v>Single Arc</v>
      </c>
      <c r="E1144" t="str">
        <f>VLOOKUP(A1144,Panels!$A$1:$E$2104,5,0)</f>
        <v>Fowberry Excavation Site</v>
      </c>
    </row>
    <row r="1145">
      <c r="A1145" s="3">
        <v>179.0</v>
      </c>
      <c r="B1145" s="3">
        <v>52.0</v>
      </c>
      <c r="C1145" s="3">
        <v>16.0</v>
      </c>
      <c r="D1145" t="str">
        <f>VLOOKUP(B1145,ERA_MOTIF_TYPES.csv!$A$1:$C$119,2,1)</f>
        <v>Single or multiple cups</v>
      </c>
      <c r="E1145" t="str">
        <f>VLOOKUP(A1145,Panels!$A$1:$E$2104,5,0)</f>
        <v>Fowberry Excavation Site</v>
      </c>
    </row>
    <row r="1146">
      <c r="A1146" s="3">
        <v>179.0</v>
      </c>
      <c r="B1146" s="3">
        <v>87.0</v>
      </c>
      <c r="C1146" s="3">
        <v>1.0</v>
      </c>
      <c r="D1146" t="str">
        <f>VLOOKUP(B1146,ERA_MOTIF_TYPES.csv!$A$1:$C$119,2,1)</f>
        <v>Linear and angular groove</v>
      </c>
      <c r="E1146" t="str">
        <f>VLOOKUP(A1146,Panels!$A$1:$E$2104,5,0)</f>
        <v>Fowberry Excavation Site</v>
      </c>
    </row>
    <row r="1147">
      <c r="A1147" s="3">
        <v>179.0</v>
      </c>
      <c r="B1147" s="3">
        <v>103.0</v>
      </c>
      <c r="C1147" s="3">
        <v>9.0</v>
      </c>
      <c r="D1147" t="str">
        <f>VLOOKUP(B1147,ERA_MOTIF_TYPES.csv!$A$1:$C$119,2,1)</f>
        <v>Cup and groove</v>
      </c>
      <c r="E1147" t="str">
        <f>VLOOKUP(A1147,Panels!$A$1:$E$2104,5,0)</f>
        <v>Fowberry Excavation Site</v>
      </c>
    </row>
    <row r="1148">
      <c r="A1148" s="3">
        <v>180.0</v>
      </c>
      <c r="B1148" s="3">
        <v>1.0</v>
      </c>
      <c r="C1148" s="3">
        <v>2.0</v>
      </c>
      <c r="D1148" t="str">
        <f>VLOOKUP(B1148,ERA_MOTIF_TYPES.csv!$A$1:$C$119,2,1)</f>
        <v>Cups Single</v>
      </c>
      <c r="E1148" t="str">
        <f>VLOOKUP(A1148,Panels!$A$1:$E$2104,5,0)</f>
        <v>Coldmartin</v>
      </c>
    </row>
    <row r="1149">
      <c r="A1149" s="3">
        <v>180.0</v>
      </c>
      <c r="B1149" s="3">
        <v>18.0</v>
      </c>
      <c r="C1149" s="3">
        <v>1.0</v>
      </c>
      <c r="D1149" t="str">
        <f>VLOOKUP(B1149,ERA_MOTIF_TYPES.csv!$A$1:$C$119,2,1)</f>
        <v>Multi Arc + cup</v>
      </c>
      <c r="E1149" t="str">
        <f>VLOOKUP(A1149,Panels!$A$1:$E$2104,5,0)</f>
        <v>Coldmartin</v>
      </c>
    </row>
    <row r="1150">
      <c r="A1150" s="3">
        <v>180.0</v>
      </c>
      <c r="B1150" s="3">
        <v>52.0</v>
      </c>
      <c r="C1150" s="3">
        <v>4.0</v>
      </c>
      <c r="D1150" t="str">
        <f>VLOOKUP(B1150,ERA_MOTIF_TYPES.csv!$A$1:$C$119,2,1)</f>
        <v>Single or multiple cups</v>
      </c>
      <c r="E1150" t="str">
        <f>VLOOKUP(A1150,Panels!$A$1:$E$2104,5,0)</f>
        <v>Coldmartin</v>
      </c>
    </row>
    <row r="1151">
      <c r="A1151" s="3">
        <v>180.0</v>
      </c>
      <c r="B1151" s="3">
        <v>57.0</v>
      </c>
      <c r="C1151" s="3">
        <v>1.0</v>
      </c>
      <c r="D1151" t="str">
        <f>VLOOKUP(B1151,ERA_MOTIF_TYPES.csv!$A$1:$C$119,2,1)</f>
        <v>Cup and ring</v>
      </c>
      <c r="E1151" t="str">
        <f>VLOOKUP(A1151,Panels!$A$1:$E$2104,5,0)</f>
        <v>Coldmartin</v>
      </c>
    </row>
    <row r="1152">
      <c r="A1152" s="3">
        <v>180.0</v>
      </c>
      <c r="B1152" s="3">
        <v>73.0</v>
      </c>
      <c r="C1152" s="3">
        <v>5.0</v>
      </c>
      <c r="D1152" t="str">
        <f>VLOOKUP(B1152,ERA_MOTIF_TYPES.csv!$A$1:$C$119,2,1)</f>
        <v>Arc</v>
      </c>
      <c r="E1152" t="str">
        <f>VLOOKUP(A1152,Panels!$A$1:$E$2104,5,0)</f>
        <v>Coldmartin</v>
      </c>
    </row>
    <row r="1153">
      <c r="A1153" s="3">
        <v>180.0</v>
      </c>
      <c r="B1153" s="3">
        <v>87.0</v>
      </c>
      <c r="C1153" s="3">
        <v>1.0</v>
      </c>
      <c r="D1153" t="str">
        <f>VLOOKUP(B1153,ERA_MOTIF_TYPES.csv!$A$1:$C$119,2,1)</f>
        <v>Linear and angular groove</v>
      </c>
      <c r="E1153" t="str">
        <f>VLOOKUP(A1153,Panels!$A$1:$E$2104,5,0)</f>
        <v>Coldmartin</v>
      </c>
    </row>
    <row r="1154">
      <c r="A1154" s="3">
        <v>181.0</v>
      </c>
      <c r="B1154" s="3">
        <v>1.0</v>
      </c>
      <c r="C1154" s="3">
        <v>11.0</v>
      </c>
      <c r="D1154" t="str">
        <f>VLOOKUP(B1154,ERA_MOTIF_TYPES.csv!$A$1:$C$119,2,1)</f>
        <v>Cups Single</v>
      </c>
      <c r="E1154" t="str">
        <f>VLOOKUP(A1154,Panels!$A$1:$E$2104,5,0)</f>
        <v>Fowberry Excavation Site</v>
      </c>
    </row>
    <row r="1155">
      <c r="A1155" s="3">
        <v>181.0</v>
      </c>
      <c r="B1155" s="3">
        <v>13.0</v>
      </c>
      <c r="C1155" s="3">
        <v>2.0</v>
      </c>
      <c r="D1155" t="str">
        <f>VLOOKUP(B1155,ERA_MOTIF_TYPES.csv!$A$1:$C$119,2,1)</f>
        <v>Single Ring + cup</v>
      </c>
      <c r="E1155" t="str">
        <f>VLOOKUP(A1155,Panels!$A$1:$E$2104,5,0)</f>
        <v>Fowberry Excavation Site</v>
      </c>
    </row>
    <row r="1156">
      <c r="A1156" s="3">
        <v>181.0</v>
      </c>
      <c r="B1156" s="3">
        <v>52.0</v>
      </c>
      <c r="C1156" s="3">
        <v>15.0</v>
      </c>
      <c r="D1156" t="str">
        <f>VLOOKUP(B1156,ERA_MOTIF_TYPES.csv!$A$1:$C$119,2,1)</f>
        <v>Single or multiple cups</v>
      </c>
      <c r="E1156" t="str">
        <f>VLOOKUP(A1156,Panels!$A$1:$E$2104,5,0)</f>
        <v>Fowberry Excavation Site</v>
      </c>
    </row>
    <row r="1157">
      <c r="A1157" s="3">
        <v>181.0</v>
      </c>
      <c r="B1157" s="3">
        <v>57.0</v>
      </c>
      <c r="C1157" s="3">
        <v>2.0</v>
      </c>
      <c r="D1157" t="str">
        <f>VLOOKUP(B1157,ERA_MOTIF_TYPES.csv!$A$1:$C$119,2,1)</f>
        <v>Cup and ring</v>
      </c>
      <c r="E1157" t="str">
        <f>VLOOKUP(A1157,Panels!$A$1:$E$2104,5,0)</f>
        <v>Fowberry Excavation Site</v>
      </c>
    </row>
    <row r="1158">
      <c r="A1158" s="3">
        <v>181.0</v>
      </c>
      <c r="B1158" s="3">
        <v>62.0</v>
      </c>
      <c r="C1158" s="3">
        <v>2.0</v>
      </c>
      <c r="D1158" t="str">
        <f>VLOOKUP(B1158,ERA_MOTIF_TYPES.csv!$A$1:$C$119,2,1)</f>
        <v>Cup and multiple arcs</v>
      </c>
      <c r="E1158" t="str">
        <f>VLOOKUP(A1158,Panels!$A$1:$E$2104,5,0)</f>
        <v>Fowberry Excavation Site</v>
      </c>
    </row>
    <row r="1159">
      <c r="A1159" s="3">
        <v>181.0</v>
      </c>
      <c r="B1159" s="3">
        <v>65.0</v>
      </c>
      <c r="C1159" s="3">
        <v>1.0</v>
      </c>
      <c r="D1159" t="str">
        <f>VLOOKUP(B1159,ERA_MOTIF_TYPES.csv!$A$1:$C$119,2,1)</f>
        <v>Cup and groove with penannular</v>
      </c>
      <c r="E1159" t="str">
        <f>VLOOKUP(A1159,Panels!$A$1:$E$2104,5,0)</f>
        <v>Fowberry Excavation Site</v>
      </c>
    </row>
    <row r="1160">
      <c r="A1160" s="3">
        <v>181.0</v>
      </c>
      <c r="B1160" s="3">
        <v>69.0</v>
      </c>
      <c r="C1160" s="3">
        <v>1.0</v>
      </c>
      <c r="D1160" t="str">
        <f>VLOOKUP(B1160,ERA_MOTIF_TYPES.csv!$A$1:$C$119,2,1)</f>
        <v>Ring</v>
      </c>
      <c r="E1160" t="str">
        <f>VLOOKUP(A1160,Panels!$A$1:$E$2104,5,0)</f>
        <v>Fowberry Excavation Site</v>
      </c>
    </row>
    <row r="1161">
      <c r="A1161" s="3">
        <v>181.0</v>
      </c>
      <c r="B1161" s="3">
        <v>87.0</v>
      </c>
      <c r="C1161" s="3">
        <v>1.0</v>
      </c>
      <c r="D1161" t="str">
        <f>VLOOKUP(B1161,ERA_MOTIF_TYPES.csv!$A$1:$C$119,2,1)</f>
        <v>Linear and angular groove</v>
      </c>
      <c r="E1161" t="str">
        <f>VLOOKUP(A1161,Panels!$A$1:$E$2104,5,0)</f>
        <v>Fowberry Excavation Site</v>
      </c>
    </row>
    <row r="1162">
      <c r="A1162" s="3">
        <v>181.0</v>
      </c>
      <c r="B1162" s="3">
        <v>100.0</v>
      </c>
      <c r="C1162" s="3">
        <v>1.0</v>
      </c>
      <c r="D1162" t="str">
        <f>VLOOKUP(B1162,ERA_MOTIF_TYPES.csv!$A$1:$C$119,2,1)</f>
        <v>Pick marks</v>
      </c>
      <c r="E1162" t="str">
        <f>VLOOKUP(A1162,Panels!$A$1:$E$2104,5,0)</f>
        <v>Fowberry Excavation Site</v>
      </c>
    </row>
    <row r="1163">
      <c r="A1163" s="3">
        <v>181.0</v>
      </c>
      <c r="B1163" s="3">
        <v>103.0</v>
      </c>
      <c r="C1163" s="3">
        <v>1.0</v>
      </c>
      <c r="D1163" t="str">
        <f>VLOOKUP(B1163,ERA_MOTIF_TYPES.csv!$A$1:$C$119,2,1)</f>
        <v>Cup and groove</v>
      </c>
      <c r="E1163" t="str">
        <f>VLOOKUP(A1163,Panels!$A$1:$E$2104,5,0)</f>
        <v>Fowberry Excavation Site</v>
      </c>
    </row>
    <row r="1164">
      <c r="A1164" s="3">
        <v>181.0</v>
      </c>
      <c r="B1164" s="3">
        <v>105.0</v>
      </c>
      <c r="C1164" s="3">
        <v>1.0</v>
      </c>
      <c r="D1164" t="str">
        <f>VLOOKUP(B1164,ERA_MOTIF_TYPES.csv!$A$1:$C$119,2,1)</f>
        <v>Two cups linked by a groove</v>
      </c>
      <c r="E1164" t="str">
        <f>VLOOKUP(A1164,Panels!$A$1:$E$2104,5,0)</f>
        <v>Fowberry Excavation Site</v>
      </c>
    </row>
    <row r="1165">
      <c r="A1165" s="3">
        <v>182.0</v>
      </c>
      <c r="B1165" s="3">
        <v>1.0</v>
      </c>
      <c r="C1165" s="3">
        <v>13.0</v>
      </c>
      <c r="D1165" t="str">
        <f>VLOOKUP(B1165,ERA_MOTIF_TYPES.csv!$A$1:$C$119,2,1)</f>
        <v>Cups Single</v>
      </c>
      <c r="E1165" t="str">
        <f>VLOOKUP(A1165,Panels!$A$1:$E$2104,5,0)</f>
        <v>Fowberry Excavation Site</v>
      </c>
    </row>
    <row r="1166">
      <c r="A1166" s="3">
        <v>182.0</v>
      </c>
      <c r="B1166" s="3">
        <v>37.0</v>
      </c>
      <c r="C1166" s="3">
        <v>1.0</v>
      </c>
      <c r="D1166" t="str">
        <f>VLOOKUP(B1166,ERA_MOTIF_TYPES.csv!$A$1:$C$119,2,1)</f>
        <v>Cup Groove and multi arc</v>
      </c>
      <c r="E1166" t="str">
        <f>VLOOKUP(A1166,Panels!$A$1:$E$2104,5,0)</f>
        <v>Fowberry Excavation Site</v>
      </c>
    </row>
    <row r="1167">
      <c r="A1167" s="3">
        <v>182.0</v>
      </c>
      <c r="B1167" s="3">
        <v>52.0</v>
      </c>
      <c r="C1167" s="3">
        <v>12.0</v>
      </c>
      <c r="D1167" t="str">
        <f>VLOOKUP(B1167,ERA_MOTIF_TYPES.csv!$A$1:$C$119,2,1)</f>
        <v>Single or multiple cups</v>
      </c>
      <c r="E1167" t="str">
        <f>VLOOKUP(A1167,Panels!$A$1:$E$2104,5,0)</f>
        <v>Fowberry Excavation Site</v>
      </c>
    </row>
    <row r="1168">
      <c r="A1168" s="3">
        <v>182.0</v>
      </c>
      <c r="B1168" s="3">
        <v>66.0</v>
      </c>
      <c r="C1168" s="3">
        <v>1.0</v>
      </c>
      <c r="D1168" t="str">
        <f>VLOOKUP(B1168,ERA_MOTIF_TYPES.csv!$A$1:$C$119,2,1)</f>
        <v>Cup and groove with multiple penannulars</v>
      </c>
      <c r="E1168" t="str">
        <f>VLOOKUP(A1168,Panels!$A$1:$E$2104,5,0)</f>
        <v>Fowberry Excavation Site</v>
      </c>
    </row>
    <row r="1169">
      <c r="A1169" s="3">
        <v>183.0</v>
      </c>
      <c r="B1169" s="3">
        <v>1.0</v>
      </c>
      <c r="C1169" s="3">
        <v>8.0</v>
      </c>
      <c r="D1169" t="str">
        <f>VLOOKUP(B1169,ERA_MOTIF_TYPES.csv!$A$1:$C$119,2,1)</f>
        <v>Cups Single</v>
      </c>
      <c r="E1169" t="str">
        <f>VLOOKUP(A1169,Panels!$A$1:$E$2104,5,0)</f>
        <v>Fowberry Excavation Site</v>
      </c>
    </row>
    <row r="1170">
      <c r="A1170" s="3">
        <v>183.0</v>
      </c>
      <c r="B1170" s="3">
        <v>31.0</v>
      </c>
      <c r="C1170" s="3">
        <v>1.0</v>
      </c>
      <c r="D1170" t="str">
        <f>VLOOKUP(B1170,ERA_MOTIF_TYPES.csv!$A$1:$C$119,2,1)</f>
        <v>Cup and Groove</v>
      </c>
      <c r="E1170" t="str">
        <f>VLOOKUP(A1170,Panels!$A$1:$E$2104,5,0)</f>
        <v>Fowberry Excavation Site</v>
      </c>
    </row>
    <row r="1171">
      <c r="A1171" s="3">
        <v>183.0</v>
      </c>
      <c r="B1171" s="3">
        <v>37.0</v>
      </c>
      <c r="C1171" s="3">
        <v>3.0</v>
      </c>
      <c r="D1171" t="str">
        <f>VLOOKUP(B1171,ERA_MOTIF_TYPES.csv!$A$1:$C$119,2,1)</f>
        <v>Cup Groove and multi arc</v>
      </c>
      <c r="E1171" t="str">
        <f>VLOOKUP(A1171,Panels!$A$1:$E$2104,5,0)</f>
        <v>Fowberry Excavation Site</v>
      </c>
    </row>
    <row r="1172">
      <c r="A1172" s="3">
        <v>183.0</v>
      </c>
      <c r="B1172" s="3">
        <v>52.0</v>
      </c>
      <c r="C1172" s="3">
        <v>10.0</v>
      </c>
      <c r="D1172" t="str">
        <f>VLOOKUP(B1172,ERA_MOTIF_TYPES.csv!$A$1:$C$119,2,1)</f>
        <v>Single or multiple cups</v>
      </c>
      <c r="E1172" t="str">
        <f>VLOOKUP(A1172,Panels!$A$1:$E$2104,5,0)</f>
        <v>Fowberry Excavation Site</v>
      </c>
    </row>
    <row r="1173">
      <c r="A1173" s="3">
        <v>183.0</v>
      </c>
      <c r="B1173" s="3">
        <v>57.0</v>
      </c>
      <c r="C1173" s="3">
        <v>1.0</v>
      </c>
      <c r="D1173" t="str">
        <f>VLOOKUP(B1173,ERA_MOTIF_TYPES.csv!$A$1:$C$119,2,1)</f>
        <v>Cup and ring</v>
      </c>
      <c r="E1173" t="str">
        <f>VLOOKUP(A1173,Panels!$A$1:$E$2104,5,0)</f>
        <v>Fowberry Excavation Site</v>
      </c>
    </row>
    <row r="1174">
      <c r="A1174" s="3">
        <v>183.0</v>
      </c>
      <c r="B1174" s="3">
        <v>59.0</v>
      </c>
      <c r="C1174" s="3">
        <v>1.0</v>
      </c>
      <c r="D1174" t="str">
        <f>VLOOKUP(B1174,ERA_MOTIF_TYPES.csv!$A$1:$C$119,2,1)</f>
        <v>Cup and penannular</v>
      </c>
      <c r="E1174" t="str">
        <f>VLOOKUP(A1174,Panels!$A$1:$E$2104,5,0)</f>
        <v>Fowberry Excavation Site</v>
      </c>
    </row>
    <row r="1175">
      <c r="A1175" s="3">
        <v>183.0</v>
      </c>
      <c r="B1175" s="3">
        <v>61.0</v>
      </c>
      <c r="C1175" s="3">
        <v>1.0</v>
      </c>
      <c r="D1175" t="str">
        <f>VLOOKUP(B1175,ERA_MOTIF_TYPES.csv!$A$1:$C$119,2,1)</f>
        <v>Cup and arc (or semi-ovoid)</v>
      </c>
      <c r="E1175" t="str">
        <f>VLOOKUP(A1175,Panels!$A$1:$E$2104,5,0)</f>
        <v>Fowberry Excavation Site</v>
      </c>
    </row>
    <row r="1176">
      <c r="A1176" s="3">
        <v>183.0</v>
      </c>
      <c r="B1176" s="3">
        <v>65.0</v>
      </c>
      <c r="C1176" s="3">
        <v>1.0</v>
      </c>
      <c r="D1176" t="str">
        <f>VLOOKUP(B1176,ERA_MOTIF_TYPES.csv!$A$1:$C$119,2,1)</f>
        <v>Cup and groove with penannular</v>
      </c>
      <c r="E1176" t="str">
        <f>VLOOKUP(A1176,Panels!$A$1:$E$2104,5,0)</f>
        <v>Fowberry Excavation Site</v>
      </c>
    </row>
    <row r="1177">
      <c r="A1177" s="3">
        <v>183.0</v>
      </c>
      <c r="B1177" s="3">
        <v>66.0</v>
      </c>
      <c r="C1177" s="3">
        <v>4.0</v>
      </c>
      <c r="D1177" t="str">
        <f>VLOOKUP(B1177,ERA_MOTIF_TYPES.csv!$A$1:$C$119,2,1)</f>
        <v>Cup and groove with multiple penannulars</v>
      </c>
      <c r="E1177" t="str">
        <f>VLOOKUP(A1177,Panels!$A$1:$E$2104,5,0)</f>
        <v>Fowberry Excavation Site</v>
      </c>
    </row>
    <row r="1178">
      <c r="A1178" s="3">
        <v>184.0</v>
      </c>
      <c r="B1178" s="3">
        <v>1.0</v>
      </c>
      <c r="C1178" s="3">
        <v>20.0</v>
      </c>
      <c r="D1178" t="str">
        <f>VLOOKUP(B1178,ERA_MOTIF_TYPES.csv!$A$1:$C$119,2,1)</f>
        <v>Cups Single</v>
      </c>
      <c r="E1178" t="str">
        <f>VLOOKUP(A1178,Panels!$A$1:$E$2104,5,0)</f>
        <v>Fowberry Excavation Site</v>
      </c>
    </row>
    <row r="1179">
      <c r="A1179" s="3">
        <v>184.0</v>
      </c>
      <c r="B1179" s="3">
        <v>52.0</v>
      </c>
      <c r="C1179" s="3">
        <v>16.0</v>
      </c>
      <c r="D1179" t="str">
        <f>VLOOKUP(B1179,ERA_MOTIF_TYPES.csv!$A$1:$C$119,2,1)</f>
        <v>Single or multiple cups</v>
      </c>
      <c r="E1179" t="str">
        <f>VLOOKUP(A1179,Panels!$A$1:$E$2104,5,0)</f>
        <v>Fowberry Excavation Site</v>
      </c>
    </row>
    <row r="1180">
      <c r="A1180" s="3">
        <v>184.0</v>
      </c>
      <c r="B1180" s="3">
        <v>55.0</v>
      </c>
      <c r="C1180" s="3">
        <v>2.0</v>
      </c>
      <c r="D1180" t="str">
        <f>VLOOKUP(B1180,ERA_MOTIF_TYPES.csv!$A$1:$C$119,2,1)</f>
        <v>Cups in a straight or curved line</v>
      </c>
      <c r="E1180" t="str">
        <f>VLOOKUP(A1180,Panels!$A$1:$E$2104,5,0)</f>
        <v>Fowberry Excavation Site</v>
      </c>
    </row>
    <row r="1181">
      <c r="A1181" s="3">
        <v>185.0</v>
      </c>
      <c r="B1181" s="3">
        <v>1.0</v>
      </c>
      <c r="C1181" s="3">
        <v>1.0</v>
      </c>
      <c r="D1181" t="str">
        <f>VLOOKUP(B1181,ERA_MOTIF_TYPES.csv!$A$1:$C$119,2,1)</f>
        <v>Cups Single</v>
      </c>
      <c r="E1181" t="str">
        <f>VLOOKUP(A1181,Panels!$A$1:$E$2104,5,0)</f>
        <v>Fowberry Excavation Site</v>
      </c>
    </row>
    <row r="1182">
      <c r="A1182" s="3">
        <v>186.0</v>
      </c>
      <c r="B1182" s="3">
        <v>1.0</v>
      </c>
      <c r="C1182" s="3">
        <v>12.0</v>
      </c>
      <c r="D1182" t="str">
        <f>VLOOKUP(B1182,ERA_MOTIF_TYPES.csv!$A$1:$C$119,2,1)</f>
        <v>Cups Single</v>
      </c>
      <c r="E1182" t="str">
        <f>VLOOKUP(A1182,Panels!$A$1:$E$2104,5,0)</f>
        <v>Fowberry Excavation Site</v>
      </c>
    </row>
    <row r="1183">
      <c r="A1183" s="3">
        <v>186.0</v>
      </c>
      <c r="B1183" s="3">
        <v>31.0</v>
      </c>
      <c r="C1183" s="3">
        <v>3.0</v>
      </c>
      <c r="D1183" t="str">
        <f>VLOOKUP(B1183,ERA_MOTIF_TYPES.csv!$A$1:$C$119,2,1)</f>
        <v>Cup and Groove</v>
      </c>
      <c r="E1183" t="str">
        <f>VLOOKUP(A1183,Panels!$A$1:$E$2104,5,0)</f>
        <v>Fowberry Excavation Site</v>
      </c>
    </row>
    <row r="1184">
      <c r="A1184" s="3">
        <v>186.0</v>
      </c>
      <c r="B1184" s="3">
        <v>52.0</v>
      </c>
      <c r="C1184" s="3">
        <v>15.0</v>
      </c>
      <c r="D1184" t="str">
        <f>VLOOKUP(B1184,ERA_MOTIF_TYPES.csv!$A$1:$C$119,2,1)</f>
        <v>Single or multiple cups</v>
      </c>
      <c r="E1184" t="str">
        <f>VLOOKUP(A1184,Panels!$A$1:$E$2104,5,0)</f>
        <v>Fowberry Excavation Site</v>
      </c>
    </row>
    <row r="1185">
      <c r="A1185" s="3">
        <v>186.0</v>
      </c>
      <c r="B1185" s="3">
        <v>105.0</v>
      </c>
      <c r="C1185" s="3">
        <v>1.0</v>
      </c>
      <c r="D1185" t="str">
        <f>VLOOKUP(B1185,ERA_MOTIF_TYPES.csv!$A$1:$C$119,2,1)</f>
        <v>Two cups linked by a groove</v>
      </c>
      <c r="E1185" t="str">
        <f>VLOOKUP(A1185,Panels!$A$1:$E$2104,5,0)</f>
        <v>Fowberry Excavation Site</v>
      </c>
    </row>
    <row r="1186">
      <c r="A1186" s="3">
        <v>187.0</v>
      </c>
      <c r="B1186" s="3">
        <v>52.0</v>
      </c>
      <c r="C1186" s="3">
        <v>3.0</v>
      </c>
      <c r="D1186" t="str">
        <f>VLOOKUP(B1186,ERA_MOTIF_TYPES.csv!$A$1:$C$119,2,1)</f>
        <v>Single or multiple cups</v>
      </c>
      <c r="E1186" t="str">
        <f>VLOOKUP(A1186,Panels!$A$1:$E$2104,5,0)</f>
        <v>Coldmartin</v>
      </c>
    </row>
    <row r="1187">
      <c r="A1187" s="3">
        <v>187.0</v>
      </c>
      <c r="B1187" s="3">
        <v>103.0</v>
      </c>
      <c r="C1187" s="3">
        <v>1.0</v>
      </c>
      <c r="D1187" t="str">
        <f>VLOOKUP(B1187,ERA_MOTIF_TYPES.csv!$A$1:$C$119,2,1)</f>
        <v>Cup and groove</v>
      </c>
      <c r="E1187" t="str">
        <f>VLOOKUP(A1187,Panels!$A$1:$E$2104,5,0)</f>
        <v>Coldmartin</v>
      </c>
    </row>
    <row r="1188">
      <c r="A1188" s="3">
        <v>187.0</v>
      </c>
      <c r="B1188" s="3">
        <v>108.0</v>
      </c>
      <c r="C1188" s="3">
        <v>1.0</v>
      </c>
      <c r="D1188" t="str">
        <f>VLOOKUP(B1188,ERA_MOTIF_TYPES.csv!$A$1:$C$119,2,1)</f>
        <v>Cup and ring with interior groove</v>
      </c>
      <c r="E1188" t="str">
        <f>VLOOKUP(A1188,Panels!$A$1:$E$2104,5,0)</f>
        <v>Coldmartin</v>
      </c>
    </row>
    <row r="1189">
      <c r="A1189" s="3">
        <v>187.0</v>
      </c>
      <c r="B1189" s="3">
        <v>110.0</v>
      </c>
      <c r="C1189" s="3">
        <v>1.0</v>
      </c>
      <c r="D1189" t="str">
        <f>VLOOKUP(B1189,ERA_MOTIF_TYPES.csv!$A$1:$C$119,2,1)</f>
        <v>Curved groove</v>
      </c>
      <c r="E1189" t="str">
        <f>VLOOKUP(A1189,Panels!$A$1:$E$2104,5,0)</f>
        <v>Coldmartin</v>
      </c>
    </row>
    <row r="1190">
      <c r="A1190" s="3">
        <v>188.0</v>
      </c>
      <c r="B1190" s="3">
        <v>52.0</v>
      </c>
      <c r="C1190" s="3">
        <v>3.0</v>
      </c>
      <c r="D1190" t="str">
        <f>VLOOKUP(B1190,ERA_MOTIF_TYPES.csv!$A$1:$C$119,2,1)</f>
        <v>Single or multiple cups</v>
      </c>
      <c r="E1190" t="str">
        <f>VLOOKUP(A1190,Panels!$A$1:$E$2104,5,0)</f>
        <v>Fowberry Mains/Fowberry Park</v>
      </c>
    </row>
    <row r="1191">
      <c r="A1191" s="3">
        <v>189.0</v>
      </c>
      <c r="B1191" s="3">
        <v>13.0</v>
      </c>
      <c r="C1191" s="3">
        <v>1.0</v>
      </c>
      <c r="D1191" t="str">
        <f>VLOOKUP(B1191,ERA_MOTIF_TYPES.csv!$A$1:$C$119,2,1)</f>
        <v>Single Ring + cup</v>
      </c>
      <c r="E1191" t="str">
        <f>VLOOKUP(A1191,Panels!$A$1:$E$2104,5,0)</f>
        <v>Fowberry Mains/Fowberry Park</v>
      </c>
    </row>
    <row r="1192">
      <c r="A1192" s="3">
        <v>189.0</v>
      </c>
      <c r="B1192" s="3">
        <v>52.0</v>
      </c>
      <c r="C1192" s="3">
        <v>1.0</v>
      </c>
      <c r="D1192" t="str">
        <f>VLOOKUP(B1192,ERA_MOTIF_TYPES.csv!$A$1:$C$119,2,1)</f>
        <v>Single or multiple cups</v>
      </c>
      <c r="E1192" t="str">
        <f>VLOOKUP(A1192,Panels!$A$1:$E$2104,5,0)</f>
        <v>Fowberry Mains/Fowberry Park</v>
      </c>
    </row>
    <row r="1193">
      <c r="A1193" s="3">
        <v>190.0</v>
      </c>
      <c r="B1193" s="3">
        <v>1.0</v>
      </c>
      <c r="C1193" s="3">
        <v>1.0</v>
      </c>
      <c r="D1193" t="str">
        <f>VLOOKUP(B1193,ERA_MOTIF_TYPES.csv!$A$1:$C$119,2,1)</f>
        <v>Cups Single</v>
      </c>
      <c r="E1193" t="str">
        <f>VLOOKUP(A1193,Panels!$A$1:$E$2104,5,0)</f>
        <v>Fowberry Mains/Fowberry Park</v>
      </c>
    </row>
    <row r="1194">
      <c r="A1194" s="3">
        <v>190.0</v>
      </c>
      <c r="B1194" s="3">
        <v>13.0</v>
      </c>
      <c r="C1194" s="3">
        <v>2.0</v>
      </c>
      <c r="D1194" t="str">
        <f>VLOOKUP(B1194,ERA_MOTIF_TYPES.csv!$A$1:$C$119,2,1)</f>
        <v>Single Ring + cup</v>
      </c>
      <c r="E1194" t="str">
        <f>VLOOKUP(A1194,Panels!$A$1:$E$2104,5,0)</f>
        <v>Fowberry Mains/Fowberry Park</v>
      </c>
    </row>
    <row r="1195">
      <c r="A1195" s="3">
        <v>190.0</v>
      </c>
      <c r="B1195" s="3">
        <v>52.0</v>
      </c>
      <c r="C1195" s="3">
        <v>1.0</v>
      </c>
      <c r="D1195" t="str">
        <f>VLOOKUP(B1195,ERA_MOTIF_TYPES.csv!$A$1:$C$119,2,1)</f>
        <v>Single or multiple cups</v>
      </c>
      <c r="E1195" t="str">
        <f>VLOOKUP(A1195,Panels!$A$1:$E$2104,5,0)</f>
        <v>Fowberry Mains/Fowberry Park</v>
      </c>
    </row>
    <row r="1196">
      <c r="A1196" s="3">
        <v>190.0</v>
      </c>
      <c r="B1196" s="3">
        <v>57.0</v>
      </c>
      <c r="C1196" s="3">
        <v>2.0</v>
      </c>
      <c r="D1196" t="str">
        <f>VLOOKUP(B1196,ERA_MOTIF_TYPES.csv!$A$1:$C$119,2,1)</f>
        <v>Cup and ring</v>
      </c>
      <c r="E1196" t="str">
        <f>VLOOKUP(A1196,Panels!$A$1:$E$2104,5,0)</f>
        <v>Fowberry Mains/Fowberry Park</v>
      </c>
    </row>
    <row r="1197">
      <c r="A1197" s="3">
        <v>190.0</v>
      </c>
      <c r="B1197" s="3">
        <v>58.0</v>
      </c>
      <c r="C1197" s="3">
        <v>2.0</v>
      </c>
      <c r="D1197" t="str">
        <f>VLOOKUP(B1197,ERA_MOTIF_TYPES.csv!$A$1:$C$119,2,1)</f>
        <v>Cup and multiple rings</v>
      </c>
      <c r="E1197" t="str">
        <f>VLOOKUP(A1197,Panels!$A$1:$E$2104,5,0)</f>
        <v>Fowberry Mains/Fowberry Park</v>
      </c>
    </row>
    <row r="1198">
      <c r="A1198" s="3">
        <v>190.0</v>
      </c>
      <c r="B1198" s="3">
        <v>73.0</v>
      </c>
      <c r="C1198" s="3">
        <v>1.0</v>
      </c>
      <c r="D1198" t="str">
        <f>VLOOKUP(B1198,ERA_MOTIF_TYPES.csv!$A$1:$C$119,2,1)</f>
        <v>Arc</v>
      </c>
      <c r="E1198" t="str">
        <f>VLOOKUP(A1198,Panels!$A$1:$E$2104,5,0)</f>
        <v>Fowberry Mains/Fowberry Park</v>
      </c>
    </row>
    <row r="1199">
      <c r="A1199" s="3">
        <v>192.0</v>
      </c>
      <c r="B1199" s="3">
        <v>84.0</v>
      </c>
      <c r="C1199" s="3">
        <v>1.0</v>
      </c>
      <c r="D1199" t="str">
        <f>VLOOKUP(B1199,ERA_MOTIF_TYPES.csv!$A$1:$C$119,2,1)</f>
        <v>Oval groove enclosing cups</v>
      </c>
      <c r="E1199" t="str">
        <f>VLOOKUP(A1199,Panels!$A$1:$E$2104,5,0)</f>
        <v>Fowberry Mains/Fowberry Park</v>
      </c>
    </row>
    <row r="1200">
      <c r="A1200" s="3">
        <v>192.0</v>
      </c>
      <c r="B1200" s="3">
        <v>90.0</v>
      </c>
      <c r="C1200" s="3">
        <v>1.0</v>
      </c>
      <c r="D1200" t="str">
        <f>VLOOKUP(B1200,ERA_MOTIF_TYPES.csv!$A$1:$C$119,2,1)</f>
        <v>Serpentine groove</v>
      </c>
      <c r="E1200" t="str">
        <f>VLOOKUP(A1200,Panels!$A$1:$E$2104,5,0)</f>
        <v>Fowberry Mains/Fowberry Park</v>
      </c>
    </row>
    <row r="1201">
      <c r="A1201" s="3">
        <v>192.0</v>
      </c>
      <c r="B1201" s="3">
        <v>95.0</v>
      </c>
      <c r="C1201" s="3">
        <v>1.0</v>
      </c>
      <c r="D1201" t="str">
        <f>VLOOKUP(B1201,ERA_MOTIF_TYPES.csv!$A$1:$C$119,2,1)</f>
        <v>Three parallel grooves</v>
      </c>
      <c r="E1201" t="str">
        <f>VLOOKUP(A1201,Panels!$A$1:$E$2104,5,0)</f>
        <v>Fowberry Mains/Fowberry Park</v>
      </c>
    </row>
    <row r="1202">
      <c r="A1202" s="3">
        <v>193.0</v>
      </c>
      <c r="B1202" s="3">
        <v>1.0</v>
      </c>
      <c r="C1202" s="3">
        <v>1.0</v>
      </c>
      <c r="D1202" t="str">
        <f>VLOOKUP(B1202,ERA_MOTIF_TYPES.csv!$A$1:$C$119,2,1)</f>
        <v>Cups Single</v>
      </c>
      <c r="E1202" t="str">
        <f>VLOOKUP(A1202,Panels!$A$1:$E$2104,5,0)</f>
        <v>Fowberry Mains/Fowberry Park</v>
      </c>
    </row>
    <row r="1203">
      <c r="A1203" s="3">
        <v>193.0</v>
      </c>
      <c r="B1203" s="3">
        <v>2.0</v>
      </c>
      <c r="C1203" s="3">
        <v>1.0</v>
      </c>
      <c r="D1203" t="str">
        <f>VLOOKUP(B1203,ERA_MOTIF_TYPES.csv!$A$1:$C$119,2,1)</f>
        <v>Random Cluster</v>
      </c>
      <c r="E1203" t="str">
        <f>VLOOKUP(A1203,Panels!$A$1:$E$2104,5,0)</f>
        <v>Fowberry Mains/Fowberry Park</v>
      </c>
    </row>
    <row r="1204">
      <c r="A1204" s="3">
        <v>193.0</v>
      </c>
      <c r="B1204" s="3">
        <v>52.0</v>
      </c>
      <c r="C1204" s="3">
        <v>2.0</v>
      </c>
      <c r="D1204" t="str">
        <f>VLOOKUP(B1204,ERA_MOTIF_TYPES.csv!$A$1:$C$119,2,1)</f>
        <v>Single or multiple cups</v>
      </c>
      <c r="E1204" t="str">
        <f>VLOOKUP(A1204,Panels!$A$1:$E$2104,5,0)</f>
        <v>Fowberry Mains/Fowberry Park</v>
      </c>
    </row>
    <row r="1205">
      <c r="A1205" s="3">
        <v>193.0</v>
      </c>
      <c r="B1205" s="3">
        <v>53.0</v>
      </c>
      <c r="C1205" s="3">
        <v>1.0</v>
      </c>
      <c r="D1205" t="str">
        <f>VLOOKUP(B1205,ERA_MOTIF_TYPES.csv!$A$1:$C$119,2,1)</f>
        <v>Domino patterns and parallel lines</v>
      </c>
      <c r="E1205" t="str">
        <f>VLOOKUP(A1205,Panels!$A$1:$E$2104,5,0)</f>
        <v>Fowberry Mains/Fowberry Park</v>
      </c>
    </row>
    <row r="1206">
      <c r="A1206" s="3">
        <v>194.0</v>
      </c>
      <c r="B1206" s="3">
        <v>6.0</v>
      </c>
      <c r="C1206" s="3">
        <v>3.0</v>
      </c>
      <c r="D1206" t="str">
        <f>VLOOKUP(B1206,ERA_MOTIF_TYPES.csv!$A$1:$C$119,2,1)</f>
        <v>curved or straight line</v>
      </c>
      <c r="E1206" t="str">
        <f>VLOOKUP(A1206,Panels!$A$1:$E$2104,5,0)</f>
        <v>Fowberry Mains/Fowberry Park</v>
      </c>
    </row>
    <row r="1207">
      <c r="A1207" s="3">
        <v>194.0</v>
      </c>
      <c r="B1207" s="3">
        <v>52.0</v>
      </c>
      <c r="C1207" s="3">
        <v>1.0</v>
      </c>
      <c r="D1207" t="str">
        <f>VLOOKUP(B1207,ERA_MOTIF_TYPES.csv!$A$1:$C$119,2,1)</f>
        <v>Single or multiple cups</v>
      </c>
      <c r="E1207" t="str">
        <f>VLOOKUP(A1207,Panels!$A$1:$E$2104,5,0)</f>
        <v>Fowberry Mains/Fowberry Park</v>
      </c>
    </row>
    <row r="1208">
      <c r="A1208" s="3">
        <v>194.0</v>
      </c>
      <c r="B1208" s="3">
        <v>55.0</v>
      </c>
      <c r="C1208" s="3">
        <v>2.0</v>
      </c>
      <c r="D1208" t="str">
        <f>VLOOKUP(B1208,ERA_MOTIF_TYPES.csv!$A$1:$C$119,2,1)</f>
        <v>Cups in a straight or curved line</v>
      </c>
      <c r="E1208" t="str">
        <f>VLOOKUP(A1208,Panels!$A$1:$E$2104,5,0)</f>
        <v>Fowberry Mains/Fowberry Park</v>
      </c>
    </row>
    <row r="1209">
      <c r="A1209" s="3">
        <v>195.0</v>
      </c>
      <c r="B1209" s="3">
        <v>1.0</v>
      </c>
      <c r="C1209" s="3">
        <v>1.0</v>
      </c>
      <c r="D1209" t="str">
        <f>VLOOKUP(B1209,ERA_MOTIF_TYPES.csv!$A$1:$C$119,2,1)</f>
        <v>Cups Single</v>
      </c>
      <c r="E1209" t="str">
        <f>VLOOKUP(A1209,Panels!$A$1:$E$2104,5,0)</f>
        <v>Fowberry Mains/Fowberry Park</v>
      </c>
    </row>
    <row r="1210">
      <c r="A1210" s="3">
        <v>195.0</v>
      </c>
      <c r="B1210" s="3">
        <v>4.0</v>
      </c>
      <c r="C1210" s="3">
        <v>2.0</v>
      </c>
      <c r="D1210" t="str">
        <f>VLOOKUP(B1210,ERA_MOTIF_TYPES.csv!$A$1:$C$119,2,1)</f>
        <v>Counter-sunk</v>
      </c>
      <c r="E1210" t="str">
        <f>VLOOKUP(A1210,Panels!$A$1:$E$2104,5,0)</f>
        <v>Fowberry Mains/Fowberry Park</v>
      </c>
    </row>
    <row r="1211">
      <c r="A1211" s="3">
        <v>195.0</v>
      </c>
      <c r="B1211" s="3">
        <v>15.0</v>
      </c>
      <c r="C1211" s="3">
        <v>1.0</v>
      </c>
      <c r="D1211" t="str">
        <f>VLOOKUP(B1211,ERA_MOTIF_TYPES.csv!$A$1:$C$119,2,1)</f>
        <v>Multi Penanular + cup</v>
      </c>
      <c r="E1211" t="str">
        <f>VLOOKUP(A1211,Panels!$A$1:$E$2104,5,0)</f>
        <v>Fowberry Mains/Fowberry Park</v>
      </c>
    </row>
    <row r="1212">
      <c r="A1212" s="3">
        <v>195.0</v>
      </c>
      <c r="B1212" s="3">
        <v>33.0</v>
      </c>
      <c r="C1212" s="3">
        <v>1.0</v>
      </c>
      <c r="D1212" t="str">
        <f>VLOOKUP(B1212,ERA_MOTIF_TYPES.csv!$A$1:$C$119,2,1)</f>
        <v>Cup Groove and multi ring</v>
      </c>
      <c r="E1212" t="str">
        <f>VLOOKUP(A1212,Panels!$A$1:$E$2104,5,0)</f>
        <v>Fowberry Mains/Fowberry Park</v>
      </c>
    </row>
    <row r="1213">
      <c r="A1213" s="3">
        <v>196.0</v>
      </c>
      <c r="B1213" s="3">
        <v>1.0</v>
      </c>
      <c r="C1213" s="3">
        <v>1.0</v>
      </c>
      <c r="D1213" t="str">
        <f>VLOOKUP(B1213,ERA_MOTIF_TYPES.csv!$A$1:$C$119,2,1)</f>
        <v>Cups Single</v>
      </c>
      <c r="E1213" t="str">
        <f>VLOOKUP(A1213,Panels!$A$1:$E$2104,5,0)</f>
        <v>Ewe Hill</v>
      </c>
    </row>
    <row r="1214">
      <c r="A1214" s="3">
        <v>196.0</v>
      </c>
      <c r="B1214" s="3">
        <v>52.0</v>
      </c>
      <c r="C1214" s="3">
        <v>1.0</v>
      </c>
      <c r="D1214" t="str">
        <f>VLOOKUP(B1214,ERA_MOTIF_TYPES.csv!$A$1:$C$119,2,1)</f>
        <v>Single or multiple cups</v>
      </c>
      <c r="E1214" t="str">
        <f>VLOOKUP(A1214,Panels!$A$1:$E$2104,5,0)</f>
        <v>Ewe Hill</v>
      </c>
    </row>
    <row r="1215">
      <c r="A1215" s="3">
        <v>197.0</v>
      </c>
      <c r="B1215" s="3">
        <v>1.0</v>
      </c>
      <c r="C1215" s="3">
        <v>1.0</v>
      </c>
      <c r="D1215" t="str">
        <f>VLOOKUP(B1215,ERA_MOTIF_TYPES.csv!$A$1:$C$119,2,1)</f>
        <v>Cups Single</v>
      </c>
      <c r="E1215" t="str">
        <f>VLOOKUP(A1215,Panels!$A$1:$E$2104,5,0)</f>
        <v>Ewe Hill</v>
      </c>
    </row>
    <row r="1216">
      <c r="A1216" s="3">
        <v>197.0</v>
      </c>
      <c r="B1216" s="3">
        <v>66.0</v>
      </c>
      <c r="C1216" s="3">
        <v>1.0</v>
      </c>
      <c r="D1216" t="str">
        <f>VLOOKUP(B1216,ERA_MOTIF_TYPES.csv!$A$1:$C$119,2,1)</f>
        <v>Cup and groove with multiple penannulars</v>
      </c>
      <c r="E1216" t="str">
        <f>VLOOKUP(A1216,Panels!$A$1:$E$2104,5,0)</f>
        <v>Ewe Hill</v>
      </c>
    </row>
    <row r="1217">
      <c r="A1217" s="3">
        <v>197.0</v>
      </c>
      <c r="B1217" s="3">
        <v>105.0</v>
      </c>
      <c r="C1217" s="3">
        <v>1.0</v>
      </c>
      <c r="D1217" t="str">
        <f>VLOOKUP(B1217,ERA_MOTIF_TYPES.csv!$A$1:$C$119,2,1)</f>
        <v>Two cups linked by a groove</v>
      </c>
      <c r="E1217" t="str">
        <f>VLOOKUP(A1217,Panels!$A$1:$E$2104,5,0)</f>
        <v>Ewe Hill</v>
      </c>
    </row>
    <row r="1218">
      <c r="A1218" s="3">
        <v>198.0</v>
      </c>
      <c r="B1218" s="3">
        <v>52.0</v>
      </c>
      <c r="C1218" s="3">
        <v>1.0</v>
      </c>
      <c r="D1218" t="str">
        <f>VLOOKUP(B1218,ERA_MOTIF_TYPES.csv!$A$1:$C$119,2,1)</f>
        <v>Single or multiple cups</v>
      </c>
      <c r="E1218" t="str">
        <f>VLOOKUP(A1218,Panels!$A$1:$E$2104,5,0)</f>
        <v>Amerside Law</v>
      </c>
    </row>
    <row r="1219">
      <c r="A1219" s="3">
        <v>198.0</v>
      </c>
      <c r="B1219" s="3">
        <v>57.0</v>
      </c>
      <c r="C1219" s="3">
        <v>1.0</v>
      </c>
      <c r="D1219" t="str">
        <f>VLOOKUP(B1219,ERA_MOTIF_TYPES.csv!$A$1:$C$119,2,1)</f>
        <v>Cup and ring</v>
      </c>
      <c r="E1219" t="str">
        <f>VLOOKUP(A1219,Panels!$A$1:$E$2104,5,0)</f>
        <v>Amerside Law</v>
      </c>
    </row>
    <row r="1220">
      <c r="A1220" s="3">
        <v>198.0</v>
      </c>
      <c r="B1220" s="3">
        <v>64.0</v>
      </c>
      <c r="C1220" s="3">
        <v>1.0</v>
      </c>
      <c r="D1220" t="str">
        <f>VLOOKUP(B1220,ERA_MOTIF_TYPES.csv!$A$1:$C$119,2,1)</f>
        <v>Cup with groove cutting through multiple rings</v>
      </c>
      <c r="E1220" t="str">
        <f>VLOOKUP(A1220,Panels!$A$1:$E$2104,5,0)</f>
        <v>Amerside Law</v>
      </c>
    </row>
    <row r="1221">
      <c r="A1221" s="3">
        <v>199.0</v>
      </c>
      <c r="B1221" s="3">
        <v>1.0</v>
      </c>
      <c r="C1221" s="3">
        <v>7.0</v>
      </c>
      <c r="D1221" t="str">
        <f>VLOOKUP(B1221,ERA_MOTIF_TYPES.csv!$A$1:$C$119,2,1)</f>
        <v>Cups Single</v>
      </c>
      <c r="E1221" t="str">
        <f>VLOOKUP(A1221,Panels!$A$1:$E$2104,5,0)</f>
        <v>Fowberry Mains/Fowberry Park</v>
      </c>
    </row>
    <row r="1222">
      <c r="A1222" s="3">
        <v>199.0</v>
      </c>
      <c r="B1222" s="3">
        <v>13.0</v>
      </c>
      <c r="C1222" s="3">
        <v>1.0</v>
      </c>
      <c r="D1222" t="str">
        <f>VLOOKUP(B1222,ERA_MOTIF_TYPES.csv!$A$1:$C$119,2,1)</f>
        <v>Single Ring + cup</v>
      </c>
      <c r="E1222" t="str">
        <f>VLOOKUP(A1222,Panels!$A$1:$E$2104,5,0)</f>
        <v>Fowberry Mains/Fowberry Park</v>
      </c>
    </row>
    <row r="1223">
      <c r="A1223" s="3">
        <v>199.0</v>
      </c>
      <c r="B1223" s="3">
        <v>17.0</v>
      </c>
      <c r="C1223" s="3">
        <v>1.0</v>
      </c>
      <c r="D1223" t="str">
        <f>VLOOKUP(B1223,ERA_MOTIF_TYPES.csv!$A$1:$C$119,2,1)</f>
        <v>Single Penannular + cup</v>
      </c>
      <c r="E1223" t="str">
        <f>VLOOKUP(A1223,Panels!$A$1:$E$2104,5,0)</f>
        <v>Fowberry Mains/Fowberry Park</v>
      </c>
    </row>
    <row r="1224">
      <c r="A1224" s="3">
        <v>199.0</v>
      </c>
      <c r="B1224" s="3">
        <v>32.0</v>
      </c>
      <c r="C1224" s="3">
        <v>1.0</v>
      </c>
      <c r="D1224" t="str">
        <f>VLOOKUP(B1224,ERA_MOTIF_TYPES.csv!$A$1:$C$119,2,1)</f>
        <v>Cup Groove and single ring</v>
      </c>
      <c r="E1224" t="str">
        <f>VLOOKUP(A1224,Panels!$A$1:$E$2104,5,0)</f>
        <v>Fowberry Mains/Fowberry Park</v>
      </c>
    </row>
    <row r="1225">
      <c r="A1225" s="3">
        <v>199.0</v>
      </c>
      <c r="B1225" s="3">
        <v>33.0</v>
      </c>
      <c r="C1225" s="3">
        <v>1.0</v>
      </c>
      <c r="D1225" t="str">
        <f>VLOOKUP(B1225,ERA_MOTIF_TYPES.csv!$A$1:$C$119,2,1)</f>
        <v>Cup Groove and multi ring</v>
      </c>
      <c r="E1225" t="str">
        <f>VLOOKUP(A1225,Panels!$A$1:$E$2104,5,0)</f>
        <v>Fowberry Mains/Fowberry Park</v>
      </c>
    </row>
    <row r="1226">
      <c r="A1226" s="3">
        <v>199.0</v>
      </c>
      <c r="B1226" s="3">
        <v>52.0</v>
      </c>
      <c r="C1226" s="3">
        <v>12.0</v>
      </c>
      <c r="D1226" t="str">
        <f>VLOOKUP(B1226,ERA_MOTIF_TYPES.csv!$A$1:$C$119,2,1)</f>
        <v>Single or multiple cups</v>
      </c>
      <c r="E1226" t="str">
        <f>VLOOKUP(A1226,Panels!$A$1:$E$2104,5,0)</f>
        <v>Fowberry Mains/Fowberry Park</v>
      </c>
    </row>
    <row r="1227">
      <c r="A1227" s="3">
        <v>199.0</v>
      </c>
      <c r="B1227" s="3">
        <v>57.0</v>
      </c>
      <c r="C1227" s="3">
        <v>3.0</v>
      </c>
      <c r="D1227" t="str">
        <f>VLOOKUP(B1227,ERA_MOTIF_TYPES.csv!$A$1:$C$119,2,1)</f>
        <v>Cup and ring</v>
      </c>
      <c r="E1227" t="str">
        <f>VLOOKUP(A1227,Panels!$A$1:$E$2104,5,0)</f>
        <v>Fowberry Mains/Fowberry Park</v>
      </c>
    </row>
    <row r="1228">
      <c r="A1228" s="3">
        <v>199.0</v>
      </c>
      <c r="B1228" s="3">
        <v>61.0</v>
      </c>
      <c r="C1228" s="3">
        <v>1.0</v>
      </c>
      <c r="D1228" t="str">
        <f>VLOOKUP(B1228,ERA_MOTIF_TYPES.csv!$A$1:$C$119,2,1)</f>
        <v>Cup and arc (or semi-ovoid)</v>
      </c>
      <c r="E1228" t="str">
        <f>VLOOKUP(A1228,Panels!$A$1:$E$2104,5,0)</f>
        <v>Fowberry Mains/Fowberry Park</v>
      </c>
    </row>
    <row r="1229">
      <c r="A1229" s="3">
        <v>199.0</v>
      </c>
      <c r="B1229" s="3">
        <v>63.0</v>
      </c>
      <c r="C1229" s="3">
        <v>1.0</v>
      </c>
      <c r="D1229" t="str">
        <f>VLOOKUP(B1229,ERA_MOTIF_TYPES.csv!$A$1:$C$119,2,1)</f>
        <v>Cup with groove cutting through ring</v>
      </c>
      <c r="E1229" t="str">
        <f>VLOOKUP(A1229,Panels!$A$1:$E$2104,5,0)</f>
        <v>Fowberry Mains/Fowberry Park</v>
      </c>
    </row>
    <row r="1230">
      <c r="A1230" s="3">
        <v>199.0</v>
      </c>
      <c r="B1230" s="3">
        <v>65.0</v>
      </c>
      <c r="C1230" s="3">
        <v>2.0</v>
      </c>
      <c r="D1230" t="str">
        <f>VLOOKUP(B1230,ERA_MOTIF_TYPES.csv!$A$1:$C$119,2,1)</f>
        <v>Cup and groove with penannular</v>
      </c>
      <c r="E1230" t="str">
        <f>VLOOKUP(A1230,Panels!$A$1:$E$2104,5,0)</f>
        <v>Fowberry Mains/Fowberry Park</v>
      </c>
    </row>
    <row r="1231">
      <c r="A1231" s="3">
        <v>199.0</v>
      </c>
      <c r="B1231" s="3">
        <v>66.0</v>
      </c>
      <c r="C1231" s="3">
        <v>1.0</v>
      </c>
      <c r="D1231" t="str">
        <f>VLOOKUP(B1231,ERA_MOTIF_TYPES.csv!$A$1:$C$119,2,1)</f>
        <v>Cup and groove with multiple penannulars</v>
      </c>
      <c r="E1231" t="str">
        <f>VLOOKUP(A1231,Panels!$A$1:$E$2104,5,0)</f>
        <v>Fowberry Mains/Fowberry Park</v>
      </c>
    </row>
    <row r="1232">
      <c r="A1232" s="3">
        <v>199.0</v>
      </c>
      <c r="B1232" s="3">
        <v>69.0</v>
      </c>
      <c r="C1232" s="3">
        <v>1.0</v>
      </c>
      <c r="D1232" t="str">
        <f>VLOOKUP(B1232,ERA_MOTIF_TYPES.csv!$A$1:$C$119,2,1)</f>
        <v>Ring</v>
      </c>
      <c r="E1232" t="str">
        <f>VLOOKUP(A1232,Panels!$A$1:$E$2104,5,0)</f>
        <v>Fowberry Mains/Fowberry Park</v>
      </c>
    </row>
    <row r="1233">
      <c r="A1233" s="3">
        <v>199.0</v>
      </c>
      <c r="B1233" s="3">
        <v>87.0</v>
      </c>
      <c r="C1233" s="3">
        <v>1.0</v>
      </c>
      <c r="D1233" t="str">
        <f>VLOOKUP(B1233,ERA_MOTIF_TYPES.csv!$A$1:$C$119,2,1)</f>
        <v>Linear and angular groove</v>
      </c>
      <c r="E1233" t="str">
        <f>VLOOKUP(A1233,Panels!$A$1:$E$2104,5,0)</f>
        <v>Fowberry Mains/Fowberry Park</v>
      </c>
    </row>
    <row r="1234">
      <c r="A1234" s="3">
        <v>200.0</v>
      </c>
      <c r="B1234" s="3">
        <v>84.0</v>
      </c>
      <c r="C1234" s="3">
        <v>1.0</v>
      </c>
      <c r="D1234" t="str">
        <f>VLOOKUP(B1234,ERA_MOTIF_TYPES.csv!$A$1:$C$119,2,1)</f>
        <v>Oval groove enclosing cups</v>
      </c>
      <c r="E1234" t="str">
        <f>VLOOKUP(A1234,Panels!$A$1:$E$2104,5,0)</f>
        <v>Amerside Law</v>
      </c>
    </row>
    <row r="1235">
      <c r="A1235" s="3">
        <v>200.0</v>
      </c>
      <c r="B1235" s="3">
        <v>103.0</v>
      </c>
      <c r="C1235" s="3">
        <v>4.0</v>
      </c>
      <c r="D1235" t="str">
        <f>VLOOKUP(B1235,ERA_MOTIF_TYPES.csv!$A$1:$C$119,2,1)</f>
        <v>Cup and groove</v>
      </c>
      <c r="E1235" t="str">
        <f>VLOOKUP(A1235,Panels!$A$1:$E$2104,5,0)</f>
        <v>Amerside Law</v>
      </c>
    </row>
    <row r="1236">
      <c r="A1236" s="3">
        <v>201.0</v>
      </c>
      <c r="B1236" s="3">
        <v>52.0</v>
      </c>
      <c r="C1236" s="3">
        <v>1.0</v>
      </c>
      <c r="D1236" t="str">
        <f>VLOOKUP(B1236,ERA_MOTIF_TYPES.csv!$A$1:$C$119,2,1)</f>
        <v>Single or multiple cups</v>
      </c>
      <c r="E1236" t="str">
        <f>VLOOKUP(A1236,Panels!$A$1:$E$2104,5,0)</f>
        <v>Coldmartin Tower</v>
      </c>
    </row>
    <row r="1237">
      <c r="A1237" s="3">
        <v>202.0</v>
      </c>
      <c r="B1237" s="3">
        <v>1.0</v>
      </c>
      <c r="C1237" s="3">
        <v>11.0</v>
      </c>
      <c r="D1237" t="str">
        <f>VLOOKUP(B1237,ERA_MOTIF_TYPES.csv!$A$1:$C$119,2,1)</f>
        <v>Cups Single</v>
      </c>
      <c r="E1237" t="str">
        <f>VLOOKUP(A1237,Panels!$A$1:$E$2104,5,0)</f>
        <v>Amerside Law</v>
      </c>
    </row>
    <row r="1238">
      <c r="A1238" s="3">
        <v>202.0</v>
      </c>
      <c r="B1238" s="3">
        <v>10.0</v>
      </c>
      <c r="C1238" s="3">
        <v>1.0</v>
      </c>
      <c r="D1238" t="str">
        <f>VLOOKUP(B1238,ERA_MOTIF_TYPES.csv!$A$1:$C$119,2,1)</f>
        <v>Single Arc</v>
      </c>
      <c r="E1238" t="str">
        <f>VLOOKUP(A1238,Panels!$A$1:$E$2104,5,0)</f>
        <v>Amerside Law</v>
      </c>
    </row>
    <row r="1239">
      <c r="A1239" s="3">
        <v>202.0</v>
      </c>
      <c r="B1239" s="3">
        <v>13.0</v>
      </c>
      <c r="C1239" s="3">
        <v>2.0</v>
      </c>
      <c r="D1239" t="str">
        <f>VLOOKUP(B1239,ERA_MOTIF_TYPES.csv!$A$1:$C$119,2,1)</f>
        <v>Single Ring + cup</v>
      </c>
      <c r="E1239" t="str">
        <f>VLOOKUP(A1239,Panels!$A$1:$E$2104,5,0)</f>
        <v>Amerside Law</v>
      </c>
    </row>
    <row r="1240">
      <c r="A1240" s="3">
        <v>202.0</v>
      </c>
      <c r="B1240" s="3">
        <v>14.0</v>
      </c>
      <c r="C1240" s="3">
        <v>1.0</v>
      </c>
      <c r="D1240" t="str">
        <f>VLOOKUP(B1240,ERA_MOTIF_TYPES.csv!$A$1:$C$119,2,1)</f>
        <v>Multi Ring + cup</v>
      </c>
      <c r="E1240" t="str">
        <f>VLOOKUP(A1240,Panels!$A$1:$E$2104,5,0)</f>
        <v>Amerside Law</v>
      </c>
    </row>
    <row r="1241">
      <c r="A1241" s="3">
        <v>202.0</v>
      </c>
      <c r="B1241" s="3">
        <v>16.0</v>
      </c>
      <c r="C1241" s="3">
        <v>1.0</v>
      </c>
      <c r="D1241" t="str">
        <f>VLOOKUP(B1241,ERA_MOTIF_TYPES.csv!$A$1:$C$119,2,1)</f>
        <v>Single Arc + cup</v>
      </c>
      <c r="E1241" t="str">
        <f>VLOOKUP(A1241,Panels!$A$1:$E$2104,5,0)</f>
        <v>Amerside Law</v>
      </c>
    </row>
    <row r="1242">
      <c r="A1242" s="3">
        <v>202.0</v>
      </c>
      <c r="B1242" s="3">
        <v>18.0</v>
      </c>
      <c r="C1242" s="3">
        <v>1.0</v>
      </c>
      <c r="D1242" t="str">
        <f>VLOOKUP(B1242,ERA_MOTIF_TYPES.csv!$A$1:$C$119,2,1)</f>
        <v>Multi Arc + cup</v>
      </c>
      <c r="E1242" t="str">
        <f>VLOOKUP(A1242,Panels!$A$1:$E$2104,5,0)</f>
        <v>Amerside Law</v>
      </c>
    </row>
    <row r="1243">
      <c r="A1243" s="3">
        <v>202.0</v>
      </c>
      <c r="B1243" s="3">
        <v>25.0</v>
      </c>
      <c r="C1243" s="3">
        <v>1.0</v>
      </c>
      <c r="D1243" t="str">
        <f>VLOOKUP(B1243,ERA_MOTIF_TYPES.csv!$A$1:$C$119,2,1)</f>
        <v>Linear</v>
      </c>
      <c r="E1243" t="str">
        <f>VLOOKUP(A1243,Panels!$A$1:$E$2104,5,0)</f>
        <v>Amerside Law</v>
      </c>
    </row>
    <row r="1244">
      <c r="A1244" s="3">
        <v>202.0</v>
      </c>
      <c r="B1244" s="3">
        <v>52.0</v>
      </c>
      <c r="C1244" s="3">
        <v>11.0</v>
      </c>
      <c r="D1244" t="str">
        <f>VLOOKUP(B1244,ERA_MOTIF_TYPES.csv!$A$1:$C$119,2,1)</f>
        <v>Single or multiple cups</v>
      </c>
      <c r="E1244" t="str">
        <f>VLOOKUP(A1244,Panels!$A$1:$E$2104,5,0)</f>
        <v>Amerside Law</v>
      </c>
    </row>
    <row r="1245">
      <c r="A1245" s="3">
        <v>202.0</v>
      </c>
      <c r="B1245" s="3">
        <v>55.0</v>
      </c>
      <c r="C1245" s="3">
        <v>1.0</v>
      </c>
      <c r="D1245" t="str">
        <f>VLOOKUP(B1245,ERA_MOTIF_TYPES.csv!$A$1:$C$119,2,1)</f>
        <v>Cups in a straight or curved line</v>
      </c>
      <c r="E1245" t="str">
        <f>VLOOKUP(A1245,Panels!$A$1:$E$2104,5,0)</f>
        <v>Amerside Law</v>
      </c>
    </row>
    <row r="1246">
      <c r="A1246" s="3">
        <v>202.0</v>
      </c>
      <c r="B1246" s="3">
        <v>57.0</v>
      </c>
      <c r="C1246" s="3">
        <v>3.0</v>
      </c>
      <c r="D1246" t="str">
        <f>VLOOKUP(B1246,ERA_MOTIF_TYPES.csv!$A$1:$C$119,2,1)</f>
        <v>Cup and ring</v>
      </c>
      <c r="E1246" t="str">
        <f>VLOOKUP(A1246,Panels!$A$1:$E$2104,5,0)</f>
        <v>Amerside Law</v>
      </c>
    </row>
    <row r="1247">
      <c r="A1247" s="3">
        <v>202.0</v>
      </c>
      <c r="B1247" s="3">
        <v>58.0</v>
      </c>
      <c r="C1247" s="3">
        <v>3.0</v>
      </c>
      <c r="D1247" t="str">
        <f>VLOOKUP(B1247,ERA_MOTIF_TYPES.csv!$A$1:$C$119,2,1)</f>
        <v>Cup and multiple rings</v>
      </c>
      <c r="E1247" t="str">
        <f>VLOOKUP(A1247,Panels!$A$1:$E$2104,5,0)</f>
        <v>Amerside Law</v>
      </c>
    </row>
    <row r="1248">
      <c r="A1248" s="3">
        <v>202.0</v>
      </c>
      <c r="B1248" s="3">
        <v>61.0</v>
      </c>
      <c r="C1248" s="3">
        <v>1.0</v>
      </c>
      <c r="D1248" t="str">
        <f>VLOOKUP(B1248,ERA_MOTIF_TYPES.csv!$A$1:$C$119,2,1)</f>
        <v>Cup and arc (or semi-ovoid)</v>
      </c>
      <c r="E1248" t="str">
        <f>VLOOKUP(A1248,Panels!$A$1:$E$2104,5,0)</f>
        <v>Amerside Law</v>
      </c>
    </row>
    <row r="1249">
      <c r="A1249" s="3">
        <v>202.0</v>
      </c>
      <c r="B1249" s="3">
        <v>64.0</v>
      </c>
      <c r="C1249" s="3">
        <v>3.0</v>
      </c>
      <c r="D1249" t="str">
        <f>VLOOKUP(B1249,ERA_MOTIF_TYPES.csv!$A$1:$C$119,2,1)</f>
        <v>Cup with groove cutting through multiple rings</v>
      </c>
      <c r="E1249" t="str">
        <f>VLOOKUP(A1249,Panels!$A$1:$E$2104,5,0)</f>
        <v>Amerside Law</v>
      </c>
    </row>
    <row r="1250">
      <c r="A1250" s="3">
        <v>202.0</v>
      </c>
      <c r="B1250" s="3">
        <v>65.0</v>
      </c>
      <c r="C1250" s="3">
        <v>1.0</v>
      </c>
      <c r="D1250" t="str">
        <f>VLOOKUP(B1250,ERA_MOTIF_TYPES.csv!$A$1:$C$119,2,1)</f>
        <v>Cup and groove with penannular</v>
      </c>
      <c r="E1250" t="str">
        <f>VLOOKUP(A1250,Panels!$A$1:$E$2104,5,0)</f>
        <v>Amerside Law</v>
      </c>
    </row>
    <row r="1251">
      <c r="A1251" s="3">
        <v>202.0</v>
      </c>
      <c r="B1251" s="3">
        <v>73.0</v>
      </c>
      <c r="C1251" s="3">
        <v>1.0</v>
      </c>
      <c r="D1251" t="str">
        <f>VLOOKUP(B1251,ERA_MOTIF_TYPES.csv!$A$1:$C$119,2,1)</f>
        <v>Arc</v>
      </c>
      <c r="E1251" t="str">
        <f>VLOOKUP(A1251,Panels!$A$1:$E$2104,5,0)</f>
        <v>Amerside Law</v>
      </c>
    </row>
    <row r="1252">
      <c r="A1252" s="3">
        <v>202.0</v>
      </c>
      <c r="B1252" s="3">
        <v>88.0</v>
      </c>
      <c r="C1252" s="3">
        <v>1.0</v>
      </c>
      <c r="D1252" t="str">
        <f>VLOOKUP(B1252,ERA_MOTIF_TYPES.csv!$A$1:$C$119,2,1)</f>
        <v>Parallel grooves</v>
      </c>
      <c r="E1252" t="str">
        <f>VLOOKUP(A1252,Panels!$A$1:$E$2104,5,0)</f>
        <v>Amerside Law</v>
      </c>
    </row>
    <row r="1253">
      <c r="A1253" s="3">
        <v>202.0</v>
      </c>
      <c r="B1253" s="3">
        <v>103.0</v>
      </c>
      <c r="C1253" s="3">
        <v>1.0</v>
      </c>
      <c r="D1253" t="str">
        <f>VLOOKUP(B1253,ERA_MOTIF_TYPES.csv!$A$1:$C$119,2,1)</f>
        <v>Cup and groove</v>
      </c>
      <c r="E1253" t="str">
        <f>VLOOKUP(A1253,Panels!$A$1:$E$2104,5,0)</f>
        <v>Amerside Law</v>
      </c>
    </row>
    <row r="1254">
      <c r="A1254" s="3">
        <v>202.0</v>
      </c>
      <c r="B1254" s="3">
        <v>107.0</v>
      </c>
      <c r="C1254" s="3">
        <v>4.0</v>
      </c>
      <c r="D1254" t="str">
        <f>VLOOKUP(B1254,ERA_MOTIF_TYPES.csv!$A$1:$C$119,2,1)</f>
        <v>Cup and ring with exterior groove</v>
      </c>
      <c r="E1254" t="str">
        <f>VLOOKUP(A1254,Panels!$A$1:$E$2104,5,0)</f>
        <v>Amerside Law</v>
      </c>
    </row>
    <row r="1255">
      <c r="A1255" s="3">
        <v>202.0</v>
      </c>
      <c r="B1255" s="3">
        <v>108.0</v>
      </c>
      <c r="C1255" s="3">
        <v>1.0</v>
      </c>
      <c r="D1255" t="str">
        <f>VLOOKUP(B1255,ERA_MOTIF_TYPES.csv!$A$1:$C$119,2,1)</f>
        <v>Cup and ring with interior groove</v>
      </c>
      <c r="E1255" t="str">
        <f>VLOOKUP(A1255,Panels!$A$1:$E$2104,5,0)</f>
        <v>Amerside Law</v>
      </c>
    </row>
    <row r="1256">
      <c r="A1256" s="3">
        <v>202.0</v>
      </c>
      <c r="B1256" s="3">
        <v>110.0</v>
      </c>
      <c r="C1256" s="3">
        <v>1.0</v>
      </c>
      <c r="D1256" t="str">
        <f>VLOOKUP(B1256,ERA_MOTIF_TYPES.csv!$A$1:$C$119,2,1)</f>
        <v>Curved groove</v>
      </c>
      <c r="E1256" t="str">
        <f>VLOOKUP(A1256,Panels!$A$1:$E$2104,5,0)</f>
        <v>Amerside Law</v>
      </c>
    </row>
    <row r="1257">
      <c r="A1257" s="3">
        <v>204.0</v>
      </c>
      <c r="B1257" s="3">
        <v>1.0</v>
      </c>
      <c r="C1257" s="3">
        <v>1.0</v>
      </c>
      <c r="D1257" t="str">
        <f>VLOOKUP(B1257,ERA_MOTIF_TYPES.csv!$A$1:$C$119,2,1)</f>
        <v>Cups Single</v>
      </c>
      <c r="E1257" t="str">
        <f>VLOOKUP(A1257,Panels!$A$1:$E$2104,5,0)</f>
        <v>Way to Wooler</v>
      </c>
    </row>
    <row r="1258">
      <c r="A1258" s="3">
        <v>204.0</v>
      </c>
      <c r="B1258" s="3">
        <v>52.0</v>
      </c>
      <c r="C1258" s="3">
        <v>3.0</v>
      </c>
      <c r="D1258" t="str">
        <f>VLOOKUP(B1258,ERA_MOTIF_TYPES.csv!$A$1:$C$119,2,1)</f>
        <v>Single or multiple cups</v>
      </c>
      <c r="E1258" t="str">
        <f>VLOOKUP(A1258,Panels!$A$1:$E$2104,5,0)</f>
        <v>Way to Wooler</v>
      </c>
    </row>
    <row r="1259">
      <c r="A1259" s="3">
        <v>204.0</v>
      </c>
      <c r="B1259" s="3">
        <v>73.0</v>
      </c>
      <c r="C1259" s="3">
        <v>2.0</v>
      </c>
      <c r="D1259" t="str">
        <f>VLOOKUP(B1259,ERA_MOTIF_TYPES.csv!$A$1:$C$119,2,1)</f>
        <v>Arc</v>
      </c>
      <c r="E1259" t="str">
        <f>VLOOKUP(A1259,Panels!$A$1:$E$2104,5,0)</f>
        <v>Way to Wooler</v>
      </c>
    </row>
    <row r="1260">
      <c r="A1260" s="3">
        <v>204.0</v>
      </c>
      <c r="B1260" s="3">
        <v>103.0</v>
      </c>
      <c r="C1260" s="3">
        <v>1.0</v>
      </c>
      <c r="D1260" t="str">
        <f>VLOOKUP(B1260,ERA_MOTIF_TYPES.csv!$A$1:$C$119,2,1)</f>
        <v>Cup and groove</v>
      </c>
      <c r="E1260" t="str">
        <f>VLOOKUP(A1260,Panels!$A$1:$E$2104,5,0)</f>
        <v>Way to Wooler</v>
      </c>
    </row>
    <row r="1261">
      <c r="A1261" s="3">
        <v>205.0</v>
      </c>
      <c r="B1261" s="3">
        <v>1.0</v>
      </c>
      <c r="C1261" s="3">
        <v>7.0</v>
      </c>
      <c r="D1261" t="str">
        <f>VLOOKUP(B1261,ERA_MOTIF_TYPES.csv!$A$1:$C$119,2,1)</f>
        <v>Cups Single</v>
      </c>
      <c r="E1261" t="str">
        <f>VLOOKUP(A1261,Panels!$A$1:$E$2104,5,0)</f>
        <v>Way to Wooler</v>
      </c>
    </row>
    <row r="1262">
      <c r="A1262" s="3">
        <v>205.0</v>
      </c>
      <c r="B1262" s="3">
        <v>52.0</v>
      </c>
      <c r="C1262" s="3">
        <v>7.0</v>
      </c>
      <c r="D1262" t="str">
        <f>VLOOKUP(B1262,ERA_MOTIF_TYPES.csv!$A$1:$C$119,2,1)</f>
        <v>Single or multiple cups</v>
      </c>
      <c r="E1262" t="str">
        <f>VLOOKUP(A1262,Panels!$A$1:$E$2104,5,0)</f>
        <v>Way to Wooler</v>
      </c>
    </row>
    <row r="1263">
      <c r="A1263" s="3">
        <v>206.0</v>
      </c>
      <c r="B1263" s="3">
        <v>1.0</v>
      </c>
      <c r="C1263" s="3">
        <v>7.0</v>
      </c>
      <c r="D1263" t="str">
        <f>VLOOKUP(B1263,ERA_MOTIF_TYPES.csv!$A$1:$C$119,2,1)</f>
        <v>Cups Single</v>
      </c>
      <c r="E1263" t="str">
        <f>VLOOKUP(A1263,Panels!$A$1:$E$2104,5,0)</f>
        <v>Fowberry Enclosure</v>
      </c>
    </row>
    <row r="1264">
      <c r="A1264" s="3">
        <v>206.0</v>
      </c>
      <c r="B1264" s="3">
        <v>8.0</v>
      </c>
      <c r="C1264" s="3">
        <v>1.0</v>
      </c>
      <c r="D1264" t="str">
        <f>VLOOKUP(B1264,ERA_MOTIF_TYPES.csv!$A$1:$C$119,2,1)</f>
        <v>Multi Ring</v>
      </c>
      <c r="E1264" t="str">
        <f>VLOOKUP(A1264,Panels!$A$1:$E$2104,5,0)</f>
        <v>Fowberry Enclosure</v>
      </c>
    </row>
    <row r="1265">
      <c r="A1265" s="3">
        <v>206.0</v>
      </c>
      <c r="B1265" s="3">
        <v>13.0</v>
      </c>
      <c r="C1265" s="3">
        <v>2.0</v>
      </c>
      <c r="D1265" t="str">
        <f>VLOOKUP(B1265,ERA_MOTIF_TYPES.csv!$A$1:$C$119,2,1)</f>
        <v>Single Ring + cup</v>
      </c>
      <c r="E1265" t="str">
        <f>VLOOKUP(A1265,Panels!$A$1:$E$2104,5,0)</f>
        <v>Fowberry Enclosure</v>
      </c>
    </row>
    <row r="1266">
      <c r="A1266" s="3">
        <v>206.0</v>
      </c>
      <c r="B1266" s="3">
        <v>16.0</v>
      </c>
      <c r="C1266" s="3">
        <v>2.0</v>
      </c>
      <c r="D1266" t="str">
        <f>VLOOKUP(B1266,ERA_MOTIF_TYPES.csv!$A$1:$C$119,2,1)</f>
        <v>Single Arc + cup</v>
      </c>
      <c r="E1266" t="str">
        <f>VLOOKUP(A1266,Panels!$A$1:$E$2104,5,0)</f>
        <v>Fowberry Enclosure</v>
      </c>
    </row>
    <row r="1267">
      <c r="A1267" s="3">
        <v>206.0</v>
      </c>
      <c r="B1267" s="3">
        <v>17.0</v>
      </c>
      <c r="C1267" s="3">
        <v>2.0</v>
      </c>
      <c r="D1267" t="str">
        <f>VLOOKUP(B1267,ERA_MOTIF_TYPES.csv!$A$1:$C$119,2,1)</f>
        <v>Single Penannular + cup</v>
      </c>
      <c r="E1267" t="str">
        <f>VLOOKUP(A1267,Panels!$A$1:$E$2104,5,0)</f>
        <v>Fowberry Enclosure</v>
      </c>
    </row>
    <row r="1268">
      <c r="A1268" s="3">
        <v>206.0</v>
      </c>
      <c r="B1268" s="3">
        <v>18.0</v>
      </c>
      <c r="C1268" s="3">
        <v>2.0</v>
      </c>
      <c r="D1268" t="str">
        <f>VLOOKUP(B1268,ERA_MOTIF_TYPES.csv!$A$1:$C$119,2,1)</f>
        <v>Multi Arc + cup</v>
      </c>
      <c r="E1268" t="str">
        <f>VLOOKUP(A1268,Panels!$A$1:$E$2104,5,0)</f>
        <v>Fowberry Enclosure</v>
      </c>
    </row>
    <row r="1269">
      <c r="A1269" s="3">
        <v>206.0</v>
      </c>
      <c r="B1269" s="3">
        <v>29.0</v>
      </c>
      <c r="C1269" s="3">
        <v>1.0</v>
      </c>
      <c r="D1269" t="str">
        <f>VLOOKUP(B1269,ERA_MOTIF_TYPES.csv!$A$1:$C$119,2,1)</f>
        <v>Grid/hatching</v>
      </c>
      <c r="E1269" t="str">
        <f>VLOOKUP(A1269,Panels!$A$1:$E$2104,5,0)</f>
        <v>Fowberry Enclosure</v>
      </c>
    </row>
    <row r="1270">
      <c r="A1270" s="3">
        <v>206.0</v>
      </c>
      <c r="B1270" s="3">
        <v>32.0</v>
      </c>
      <c r="C1270" s="3">
        <v>3.0</v>
      </c>
      <c r="D1270" t="str">
        <f>VLOOKUP(B1270,ERA_MOTIF_TYPES.csv!$A$1:$C$119,2,1)</f>
        <v>Cup Groove and single ring</v>
      </c>
      <c r="E1270" t="str">
        <f>VLOOKUP(A1270,Panels!$A$1:$E$2104,5,0)</f>
        <v>Fowberry Enclosure</v>
      </c>
    </row>
    <row r="1271">
      <c r="A1271" s="3">
        <v>206.0</v>
      </c>
      <c r="B1271" s="3">
        <v>52.0</v>
      </c>
      <c r="C1271" s="3">
        <v>14.0</v>
      </c>
      <c r="D1271" t="str">
        <f>VLOOKUP(B1271,ERA_MOTIF_TYPES.csv!$A$1:$C$119,2,1)</f>
        <v>Single or multiple cups</v>
      </c>
      <c r="E1271" t="str">
        <f>VLOOKUP(A1271,Panels!$A$1:$E$2104,5,0)</f>
        <v>Fowberry Enclosure</v>
      </c>
    </row>
    <row r="1272">
      <c r="A1272" s="3">
        <v>206.0</v>
      </c>
      <c r="B1272" s="3">
        <v>57.0</v>
      </c>
      <c r="C1272" s="3">
        <v>11.0</v>
      </c>
      <c r="D1272" t="str">
        <f>VLOOKUP(B1272,ERA_MOTIF_TYPES.csv!$A$1:$C$119,2,1)</f>
        <v>Cup and ring</v>
      </c>
      <c r="E1272" t="str">
        <f>VLOOKUP(A1272,Panels!$A$1:$E$2104,5,0)</f>
        <v>Fowberry Enclosure</v>
      </c>
    </row>
    <row r="1273">
      <c r="A1273" s="3">
        <v>206.0</v>
      </c>
      <c r="B1273" s="3">
        <v>58.0</v>
      </c>
      <c r="C1273" s="3">
        <v>1.0</v>
      </c>
      <c r="D1273" t="str">
        <f>VLOOKUP(B1273,ERA_MOTIF_TYPES.csv!$A$1:$C$119,2,1)</f>
        <v>Cup and multiple rings</v>
      </c>
      <c r="E1273" t="str">
        <f>VLOOKUP(A1273,Panels!$A$1:$E$2104,5,0)</f>
        <v>Fowberry Enclosure</v>
      </c>
    </row>
    <row r="1274">
      <c r="A1274" s="3">
        <v>206.0</v>
      </c>
      <c r="B1274" s="3">
        <v>61.0</v>
      </c>
      <c r="C1274" s="3">
        <v>1.0</v>
      </c>
      <c r="D1274" t="str">
        <f>VLOOKUP(B1274,ERA_MOTIF_TYPES.csv!$A$1:$C$119,2,1)</f>
        <v>Cup and arc (or semi-ovoid)</v>
      </c>
      <c r="E1274" t="str">
        <f>VLOOKUP(A1274,Panels!$A$1:$E$2104,5,0)</f>
        <v>Fowberry Enclosure</v>
      </c>
    </row>
    <row r="1275">
      <c r="A1275" s="3">
        <v>206.0</v>
      </c>
      <c r="B1275" s="3">
        <v>62.0</v>
      </c>
      <c r="C1275" s="3">
        <v>1.0</v>
      </c>
      <c r="D1275" t="str">
        <f>VLOOKUP(B1275,ERA_MOTIF_TYPES.csv!$A$1:$C$119,2,1)</f>
        <v>Cup and multiple arcs</v>
      </c>
      <c r="E1275" t="str">
        <f>VLOOKUP(A1275,Panels!$A$1:$E$2104,5,0)</f>
        <v>Fowberry Enclosure</v>
      </c>
    </row>
    <row r="1276">
      <c r="A1276" s="3">
        <v>206.0</v>
      </c>
      <c r="B1276" s="3">
        <v>64.0</v>
      </c>
      <c r="C1276" s="3">
        <v>1.0</v>
      </c>
      <c r="D1276" t="str">
        <f>VLOOKUP(B1276,ERA_MOTIF_TYPES.csv!$A$1:$C$119,2,1)</f>
        <v>Cup with groove cutting through multiple rings</v>
      </c>
      <c r="E1276" t="str">
        <f>VLOOKUP(A1276,Panels!$A$1:$E$2104,5,0)</f>
        <v>Fowberry Enclosure</v>
      </c>
    </row>
    <row r="1277">
      <c r="A1277" s="3">
        <v>206.0</v>
      </c>
      <c r="B1277" s="3">
        <v>65.0</v>
      </c>
      <c r="C1277" s="3">
        <v>2.0</v>
      </c>
      <c r="D1277" t="str">
        <f>VLOOKUP(B1277,ERA_MOTIF_TYPES.csv!$A$1:$C$119,2,1)</f>
        <v>Cup and groove with penannular</v>
      </c>
      <c r="E1277" t="str">
        <f>VLOOKUP(A1277,Panels!$A$1:$E$2104,5,0)</f>
        <v>Fowberry Enclosure</v>
      </c>
    </row>
    <row r="1278">
      <c r="A1278" s="3">
        <v>206.0</v>
      </c>
      <c r="B1278" s="3">
        <v>67.0</v>
      </c>
      <c r="C1278" s="3">
        <v>1.0</v>
      </c>
      <c r="D1278" t="str">
        <f>VLOOKUP(B1278,ERA_MOTIF_TYPES.csv!$A$1:$C$119,2,1)</f>
        <v>Cup and groove with arc</v>
      </c>
      <c r="E1278" t="str">
        <f>VLOOKUP(A1278,Panels!$A$1:$E$2104,5,0)</f>
        <v>Fowberry Enclosure</v>
      </c>
    </row>
    <row r="1279">
      <c r="A1279" s="3">
        <v>206.0</v>
      </c>
      <c r="B1279" s="3">
        <v>69.0</v>
      </c>
      <c r="C1279" s="3">
        <v>2.0</v>
      </c>
      <c r="D1279" t="str">
        <f>VLOOKUP(B1279,ERA_MOTIF_TYPES.csv!$A$1:$C$119,2,1)</f>
        <v>Ring</v>
      </c>
      <c r="E1279" t="str">
        <f>VLOOKUP(A1279,Panels!$A$1:$E$2104,5,0)</f>
        <v>Fowberry Enclosure</v>
      </c>
    </row>
    <row r="1280">
      <c r="A1280" s="3">
        <v>206.0</v>
      </c>
      <c r="B1280" s="3">
        <v>71.0</v>
      </c>
      <c r="C1280" s="3">
        <v>1.0</v>
      </c>
      <c r="D1280" t="str">
        <f>VLOOKUP(B1280,ERA_MOTIF_TYPES.csv!$A$1:$C$119,2,1)</f>
        <v>Penannular</v>
      </c>
      <c r="E1280" t="str">
        <f>VLOOKUP(A1280,Panels!$A$1:$E$2104,5,0)</f>
        <v>Fowberry Enclosure</v>
      </c>
    </row>
    <row r="1281">
      <c r="A1281" s="3">
        <v>206.0</v>
      </c>
      <c r="B1281" s="3">
        <v>90.0</v>
      </c>
      <c r="C1281" s="3">
        <v>1.0</v>
      </c>
      <c r="D1281" t="str">
        <f>VLOOKUP(B1281,ERA_MOTIF_TYPES.csv!$A$1:$C$119,2,1)</f>
        <v>Serpentine groove</v>
      </c>
      <c r="E1281" t="str">
        <f>VLOOKUP(A1281,Panels!$A$1:$E$2104,5,0)</f>
        <v>Fowberry Enclosure</v>
      </c>
    </row>
    <row r="1282">
      <c r="A1282" s="3">
        <v>206.0</v>
      </c>
      <c r="B1282" s="3">
        <v>91.0</v>
      </c>
      <c r="C1282" s="3">
        <v>1.0</v>
      </c>
      <c r="D1282" t="str">
        <f>VLOOKUP(B1282,ERA_MOTIF_TYPES.csv!$A$1:$C$119,2,1)</f>
        <v>Grid or hatchings</v>
      </c>
      <c r="E1282" t="str">
        <f>VLOOKUP(A1282,Panels!$A$1:$E$2104,5,0)</f>
        <v>Fowberry Enclosure</v>
      </c>
    </row>
    <row r="1283">
      <c r="A1283" s="3">
        <v>206.0</v>
      </c>
      <c r="B1283" s="3">
        <v>100.0</v>
      </c>
      <c r="C1283" s="3">
        <v>1.0</v>
      </c>
      <c r="D1283" t="str">
        <f>VLOOKUP(B1283,ERA_MOTIF_TYPES.csv!$A$1:$C$119,2,1)</f>
        <v>Pick marks</v>
      </c>
      <c r="E1283" t="str">
        <f>VLOOKUP(A1283,Panels!$A$1:$E$2104,5,0)</f>
        <v>Fowberry Enclosure</v>
      </c>
    </row>
    <row r="1284">
      <c r="A1284" s="3">
        <v>206.0</v>
      </c>
      <c r="B1284" s="3">
        <v>103.0</v>
      </c>
      <c r="C1284" s="3">
        <v>1.0</v>
      </c>
      <c r="D1284" t="str">
        <f>VLOOKUP(B1284,ERA_MOTIF_TYPES.csv!$A$1:$C$119,2,1)</f>
        <v>Cup and groove</v>
      </c>
      <c r="E1284" t="str">
        <f>VLOOKUP(A1284,Panels!$A$1:$E$2104,5,0)</f>
        <v>Fowberry Enclosure</v>
      </c>
    </row>
    <row r="1285">
      <c r="A1285" s="3">
        <v>207.0</v>
      </c>
      <c r="B1285" s="3">
        <v>1.0</v>
      </c>
      <c r="C1285" s="3">
        <v>12.0</v>
      </c>
      <c r="D1285" t="str">
        <f>VLOOKUP(B1285,ERA_MOTIF_TYPES.csv!$A$1:$C$119,2,1)</f>
        <v>Cups Single</v>
      </c>
      <c r="E1285" t="str">
        <f>VLOOKUP(A1285,Panels!$A$1:$E$2104,5,0)</f>
        <v>Fowberry Enclosure</v>
      </c>
    </row>
    <row r="1286">
      <c r="A1286" s="3">
        <v>207.0</v>
      </c>
      <c r="B1286" s="3">
        <v>6.0</v>
      </c>
      <c r="C1286" s="3">
        <v>1.0</v>
      </c>
      <c r="D1286" t="str">
        <f>VLOOKUP(B1286,ERA_MOTIF_TYPES.csv!$A$1:$C$119,2,1)</f>
        <v>curved or straight line</v>
      </c>
      <c r="E1286" t="str">
        <f>VLOOKUP(A1286,Panels!$A$1:$E$2104,5,0)</f>
        <v>Fowberry Enclosure</v>
      </c>
    </row>
    <row r="1287">
      <c r="A1287" s="3">
        <v>207.0</v>
      </c>
      <c r="B1287" s="3">
        <v>13.0</v>
      </c>
      <c r="C1287" s="3">
        <v>2.0</v>
      </c>
      <c r="D1287" t="str">
        <f>VLOOKUP(B1287,ERA_MOTIF_TYPES.csv!$A$1:$C$119,2,1)</f>
        <v>Single Ring + cup</v>
      </c>
      <c r="E1287" t="str">
        <f>VLOOKUP(A1287,Panels!$A$1:$E$2104,5,0)</f>
        <v>Fowberry Enclosure</v>
      </c>
    </row>
    <row r="1288">
      <c r="A1288" s="3">
        <v>207.0</v>
      </c>
      <c r="B1288" s="3">
        <v>16.0</v>
      </c>
      <c r="C1288" s="3">
        <v>1.0</v>
      </c>
      <c r="D1288" t="str">
        <f>VLOOKUP(B1288,ERA_MOTIF_TYPES.csv!$A$1:$C$119,2,1)</f>
        <v>Single Arc + cup</v>
      </c>
      <c r="E1288" t="str">
        <f>VLOOKUP(A1288,Panels!$A$1:$E$2104,5,0)</f>
        <v>Fowberry Enclosure</v>
      </c>
    </row>
    <row r="1289">
      <c r="A1289" s="3">
        <v>207.0</v>
      </c>
      <c r="B1289" s="3">
        <v>25.0</v>
      </c>
      <c r="C1289" s="3">
        <v>1.0</v>
      </c>
      <c r="D1289" t="str">
        <f>VLOOKUP(B1289,ERA_MOTIF_TYPES.csv!$A$1:$C$119,2,1)</f>
        <v>Linear</v>
      </c>
      <c r="E1289" t="str">
        <f>VLOOKUP(A1289,Panels!$A$1:$E$2104,5,0)</f>
        <v>Fowberry Enclosure</v>
      </c>
    </row>
    <row r="1290">
      <c r="A1290" s="3">
        <v>207.0</v>
      </c>
      <c r="B1290" s="3">
        <v>33.0</v>
      </c>
      <c r="C1290" s="3">
        <v>1.0</v>
      </c>
      <c r="D1290" t="str">
        <f>VLOOKUP(B1290,ERA_MOTIF_TYPES.csv!$A$1:$C$119,2,1)</f>
        <v>Cup Groove and multi ring</v>
      </c>
      <c r="E1290" t="str">
        <f>VLOOKUP(A1290,Panels!$A$1:$E$2104,5,0)</f>
        <v>Fowberry Enclosure</v>
      </c>
    </row>
    <row r="1291">
      <c r="A1291" s="3">
        <v>207.0</v>
      </c>
      <c r="B1291" s="3">
        <v>34.0</v>
      </c>
      <c r="C1291" s="3">
        <v>1.0</v>
      </c>
      <c r="D1291" t="str">
        <f>VLOOKUP(B1291,ERA_MOTIF_TYPES.csv!$A$1:$C$119,2,1)</f>
        <v>Cup Groove and penannular</v>
      </c>
      <c r="E1291" t="str">
        <f>VLOOKUP(A1291,Panels!$A$1:$E$2104,5,0)</f>
        <v>Fowberry Enclosure</v>
      </c>
    </row>
    <row r="1292">
      <c r="A1292" s="3">
        <v>207.0</v>
      </c>
      <c r="B1292" s="3">
        <v>52.0</v>
      </c>
      <c r="C1292" s="3">
        <v>23.0</v>
      </c>
      <c r="D1292" t="str">
        <f>VLOOKUP(B1292,ERA_MOTIF_TYPES.csv!$A$1:$C$119,2,1)</f>
        <v>Single or multiple cups</v>
      </c>
      <c r="E1292" t="str">
        <f>VLOOKUP(A1292,Panels!$A$1:$E$2104,5,0)</f>
        <v>Fowberry Enclosure</v>
      </c>
    </row>
    <row r="1293">
      <c r="A1293" s="3">
        <v>207.0</v>
      </c>
      <c r="B1293" s="3">
        <v>57.0</v>
      </c>
      <c r="C1293" s="3">
        <v>5.0</v>
      </c>
      <c r="D1293" t="str">
        <f>VLOOKUP(B1293,ERA_MOTIF_TYPES.csv!$A$1:$C$119,2,1)</f>
        <v>Cup and ring</v>
      </c>
      <c r="E1293" t="str">
        <f>VLOOKUP(A1293,Panels!$A$1:$E$2104,5,0)</f>
        <v>Fowberry Enclosure</v>
      </c>
    </row>
    <row r="1294">
      <c r="A1294" s="3">
        <v>207.0</v>
      </c>
      <c r="B1294" s="3">
        <v>58.0</v>
      </c>
      <c r="C1294" s="3">
        <v>3.0</v>
      </c>
      <c r="D1294" t="str">
        <f>VLOOKUP(B1294,ERA_MOTIF_TYPES.csv!$A$1:$C$119,2,1)</f>
        <v>Cup and multiple rings</v>
      </c>
      <c r="E1294" t="str">
        <f>VLOOKUP(A1294,Panels!$A$1:$E$2104,5,0)</f>
        <v>Fowberry Enclosure</v>
      </c>
    </row>
    <row r="1295">
      <c r="A1295" s="3">
        <v>207.0</v>
      </c>
      <c r="B1295" s="3">
        <v>61.0</v>
      </c>
      <c r="C1295" s="3">
        <v>2.0</v>
      </c>
      <c r="D1295" t="str">
        <f>VLOOKUP(B1295,ERA_MOTIF_TYPES.csv!$A$1:$C$119,2,1)</f>
        <v>Cup and arc (or semi-ovoid)</v>
      </c>
      <c r="E1295" t="str">
        <f>VLOOKUP(A1295,Panels!$A$1:$E$2104,5,0)</f>
        <v>Fowberry Enclosure</v>
      </c>
    </row>
    <row r="1296">
      <c r="A1296" s="3">
        <v>207.0</v>
      </c>
      <c r="B1296" s="3">
        <v>62.0</v>
      </c>
      <c r="C1296" s="3">
        <v>2.0</v>
      </c>
      <c r="D1296" t="str">
        <f>VLOOKUP(B1296,ERA_MOTIF_TYPES.csv!$A$1:$C$119,2,1)</f>
        <v>Cup and multiple arcs</v>
      </c>
      <c r="E1296" t="str">
        <f>VLOOKUP(A1296,Panels!$A$1:$E$2104,5,0)</f>
        <v>Fowberry Enclosure</v>
      </c>
    </row>
    <row r="1297">
      <c r="A1297" s="3">
        <v>207.0</v>
      </c>
      <c r="B1297" s="3">
        <v>71.0</v>
      </c>
      <c r="C1297" s="3">
        <v>2.0</v>
      </c>
      <c r="D1297" t="str">
        <f>VLOOKUP(B1297,ERA_MOTIF_TYPES.csv!$A$1:$C$119,2,1)</f>
        <v>Penannular</v>
      </c>
      <c r="E1297" t="str">
        <f>VLOOKUP(A1297,Panels!$A$1:$E$2104,5,0)</f>
        <v>Fowberry Enclosure</v>
      </c>
    </row>
    <row r="1298">
      <c r="A1298" s="3">
        <v>207.0</v>
      </c>
      <c r="B1298" s="3">
        <v>103.0</v>
      </c>
      <c r="C1298" s="3">
        <v>2.0</v>
      </c>
      <c r="D1298" t="str">
        <f>VLOOKUP(B1298,ERA_MOTIF_TYPES.csv!$A$1:$C$119,2,1)</f>
        <v>Cup and groove</v>
      </c>
      <c r="E1298" t="str">
        <f>VLOOKUP(A1298,Panels!$A$1:$E$2104,5,0)</f>
        <v>Fowberry Enclosure</v>
      </c>
    </row>
    <row r="1299">
      <c r="A1299" s="3">
        <v>207.0</v>
      </c>
      <c r="B1299" s="3">
        <v>108.0</v>
      </c>
      <c r="C1299" s="3">
        <v>1.0</v>
      </c>
      <c r="D1299" t="str">
        <f>VLOOKUP(B1299,ERA_MOTIF_TYPES.csv!$A$1:$C$119,2,1)</f>
        <v>Cup and ring with interior groove</v>
      </c>
      <c r="E1299" t="str">
        <f>VLOOKUP(A1299,Panels!$A$1:$E$2104,5,0)</f>
        <v>Fowberry Enclosure</v>
      </c>
    </row>
    <row r="1300">
      <c r="A1300" s="3">
        <v>208.0</v>
      </c>
      <c r="B1300" s="3">
        <v>1.0</v>
      </c>
      <c r="C1300" s="3">
        <v>3.0</v>
      </c>
      <c r="D1300" t="str">
        <f>VLOOKUP(B1300,ERA_MOTIF_TYPES.csv!$A$1:$C$119,2,1)</f>
        <v>Cups Single</v>
      </c>
      <c r="E1300" t="str">
        <f>VLOOKUP(A1300,Panels!$A$1:$E$2104,5,0)</f>
        <v>Fowberry Enclosure</v>
      </c>
    </row>
    <row r="1301">
      <c r="A1301" s="3">
        <v>208.0</v>
      </c>
      <c r="B1301" s="3">
        <v>52.0</v>
      </c>
      <c r="C1301" s="3">
        <v>10.0</v>
      </c>
      <c r="D1301" t="str">
        <f>VLOOKUP(B1301,ERA_MOTIF_TYPES.csv!$A$1:$C$119,2,1)</f>
        <v>Single or multiple cups</v>
      </c>
      <c r="E1301" t="str">
        <f>VLOOKUP(A1301,Panels!$A$1:$E$2104,5,0)</f>
        <v>Fowberry Enclosure</v>
      </c>
    </row>
    <row r="1302">
      <c r="A1302" s="3">
        <v>208.0</v>
      </c>
      <c r="B1302" s="3">
        <v>54.0</v>
      </c>
      <c r="C1302" s="3">
        <v>1.0</v>
      </c>
      <c r="D1302" t="str">
        <f>VLOOKUP(B1302,ERA_MOTIF_TYPES.csv!$A$1:$C$119,2,1)</f>
        <v>Rosette</v>
      </c>
      <c r="E1302" t="str">
        <f>VLOOKUP(A1302,Panels!$A$1:$E$2104,5,0)</f>
        <v>Fowberry Enclosure</v>
      </c>
    </row>
    <row r="1303">
      <c r="A1303" s="3">
        <v>208.0</v>
      </c>
      <c r="B1303" s="3">
        <v>59.0</v>
      </c>
      <c r="C1303" s="3">
        <v>1.0</v>
      </c>
      <c r="D1303" t="str">
        <f>VLOOKUP(B1303,ERA_MOTIF_TYPES.csv!$A$1:$C$119,2,1)</f>
        <v>Cup and penannular</v>
      </c>
      <c r="E1303" t="str">
        <f>VLOOKUP(A1303,Panels!$A$1:$E$2104,5,0)</f>
        <v>Fowberry Enclosure</v>
      </c>
    </row>
    <row r="1304">
      <c r="A1304" s="3">
        <v>208.0</v>
      </c>
      <c r="B1304" s="3">
        <v>103.0</v>
      </c>
      <c r="C1304" s="3">
        <v>1.0</v>
      </c>
      <c r="D1304" t="str">
        <f>VLOOKUP(B1304,ERA_MOTIF_TYPES.csv!$A$1:$C$119,2,1)</f>
        <v>Cup and groove</v>
      </c>
      <c r="E1304" t="str">
        <f>VLOOKUP(A1304,Panels!$A$1:$E$2104,5,0)</f>
        <v>Fowberry Enclosure</v>
      </c>
    </row>
    <row r="1305">
      <c r="A1305" s="3">
        <v>208.0</v>
      </c>
      <c r="B1305" s="3">
        <v>110.0</v>
      </c>
      <c r="C1305" s="3">
        <v>1.0</v>
      </c>
      <c r="D1305" t="str">
        <f>VLOOKUP(B1305,ERA_MOTIF_TYPES.csv!$A$1:$C$119,2,1)</f>
        <v>Curved groove</v>
      </c>
      <c r="E1305" t="str">
        <f>VLOOKUP(A1305,Panels!$A$1:$E$2104,5,0)</f>
        <v>Fowberry Enclosure</v>
      </c>
    </row>
    <row r="1306">
      <c r="A1306" s="3">
        <v>209.0</v>
      </c>
      <c r="B1306" s="3">
        <v>1.0</v>
      </c>
      <c r="C1306" s="3">
        <v>2.0</v>
      </c>
      <c r="D1306" t="str">
        <f>VLOOKUP(B1306,ERA_MOTIF_TYPES.csv!$A$1:$C$119,2,1)</f>
        <v>Cups Single</v>
      </c>
      <c r="E1306" t="str">
        <f>VLOOKUP(A1306,Panels!$A$1:$E$2104,5,0)</f>
        <v>Wandylaw</v>
      </c>
    </row>
    <row r="1307">
      <c r="A1307" s="3">
        <v>209.0</v>
      </c>
      <c r="B1307" s="3">
        <v>25.0</v>
      </c>
      <c r="C1307" s="3">
        <v>1.0</v>
      </c>
      <c r="D1307" t="str">
        <f>VLOOKUP(B1307,ERA_MOTIF_TYPES.csv!$A$1:$C$119,2,1)</f>
        <v>Linear</v>
      </c>
      <c r="E1307" t="str">
        <f>VLOOKUP(A1307,Panels!$A$1:$E$2104,5,0)</f>
        <v>Wandylaw</v>
      </c>
    </row>
    <row r="1308">
      <c r="A1308" s="3">
        <v>209.0</v>
      </c>
      <c r="B1308" s="3">
        <v>52.0</v>
      </c>
      <c r="C1308" s="3">
        <v>4.0</v>
      </c>
      <c r="D1308" t="str">
        <f>VLOOKUP(B1308,ERA_MOTIF_TYPES.csv!$A$1:$C$119,2,1)</f>
        <v>Single or multiple cups</v>
      </c>
      <c r="E1308" t="str">
        <f>VLOOKUP(A1308,Panels!$A$1:$E$2104,5,0)</f>
        <v>Wandylaw</v>
      </c>
    </row>
    <row r="1309">
      <c r="A1309" s="3">
        <v>209.0</v>
      </c>
      <c r="B1309" s="3">
        <v>64.0</v>
      </c>
      <c r="C1309" s="3">
        <v>1.0</v>
      </c>
      <c r="D1309" t="str">
        <f>VLOOKUP(B1309,ERA_MOTIF_TYPES.csv!$A$1:$C$119,2,1)</f>
        <v>Cup with groove cutting through multiple rings</v>
      </c>
      <c r="E1309" t="str">
        <f>VLOOKUP(A1309,Panels!$A$1:$E$2104,5,0)</f>
        <v>Wandylaw</v>
      </c>
    </row>
    <row r="1310">
      <c r="A1310" s="3">
        <v>209.0</v>
      </c>
      <c r="B1310" s="3">
        <v>71.0</v>
      </c>
      <c r="C1310" s="3">
        <v>1.0</v>
      </c>
      <c r="D1310" t="str">
        <f>VLOOKUP(B1310,ERA_MOTIF_TYPES.csv!$A$1:$C$119,2,1)</f>
        <v>Penannular</v>
      </c>
      <c r="E1310" t="str">
        <f>VLOOKUP(A1310,Panels!$A$1:$E$2104,5,0)</f>
        <v>Wandylaw</v>
      </c>
    </row>
    <row r="1311">
      <c r="A1311" s="3">
        <v>209.0</v>
      </c>
      <c r="B1311" s="3">
        <v>87.0</v>
      </c>
      <c r="C1311" s="3">
        <v>3.0</v>
      </c>
      <c r="D1311" t="str">
        <f>VLOOKUP(B1311,ERA_MOTIF_TYPES.csv!$A$1:$C$119,2,1)</f>
        <v>Linear and angular groove</v>
      </c>
      <c r="E1311" t="str">
        <f>VLOOKUP(A1311,Panels!$A$1:$E$2104,5,0)</f>
        <v>Wandylaw</v>
      </c>
    </row>
    <row r="1312">
      <c r="A1312" s="3">
        <v>209.0</v>
      </c>
      <c r="B1312" s="3">
        <v>93.0</v>
      </c>
      <c r="C1312" s="3">
        <v>1.0</v>
      </c>
      <c r="D1312" t="str">
        <f>VLOOKUP(B1312,ERA_MOTIF_TYPES.csv!$A$1:$C$119,2,1)</f>
        <v>Midget cup</v>
      </c>
      <c r="E1312" t="str">
        <f>VLOOKUP(A1312,Panels!$A$1:$E$2104,5,0)</f>
        <v>Wandylaw</v>
      </c>
    </row>
    <row r="1313">
      <c r="A1313" s="3">
        <v>210.0</v>
      </c>
      <c r="B1313" s="3">
        <v>1.0</v>
      </c>
      <c r="C1313" s="3">
        <v>1.0</v>
      </c>
      <c r="D1313" t="str">
        <f>VLOOKUP(B1313,ERA_MOTIF_TYPES.csv!$A$1:$C$119,2,1)</f>
        <v>Cups Single</v>
      </c>
      <c r="E1313" t="str">
        <f>VLOOKUP(A1313,Panels!$A$1:$E$2104,5,0)</f>
        <v>Wandylaw</v>
      </c>
    </row>
    <row r="1314">
      <c r="A1314" s="3">
        <v>210.0</v>
      </c>
      <c r="B1314" s="3">
        <v>52.0</v>
      </c>
      <c r="C1314" s="3">
        <v>3.0</v>
      </c>
      <c r="D1314" t="str">
        <f>VLOOKUP(B1314,ERA_MOTIF_TYPES.csv!$A$1:$C$119,2,1)</f>
        <v>Single or multiple cups</v>
      </c>
      <c r="E1314" t="str">
        <f>VLOOKUP(A1314,Panels!$A$1:$E$2104,5,0)</f>
        <v>Wandylaw</v>
      </c>
    </row>
    <row r="1315">
      <c r="A1315" s="3">
        <v>211.0</v>
      </c>
      <c r="B1315" s="3">
        <v>1.0</v>
      </c>
      <c r="C1315" s="3">
        <v>2.0</v>
      </c>
      <c r="D1315" t="str">
        <f>VLOOKUP(B1315,ERA_MOTIF_TYPES.csv!$A$1:$C$119,2,1)</f>
        <v>Cups Single</v>
      </c>
      <c r="E1315" t="str">
        <f>VLOOKUP(A1315,Panels!$A$1:$E$2104,5,0)</f>
        <v>Wandylaw</v>
      </c>
    </row>
    <row r="1316">
      <c r="A1316" s="3">
        <v>211.0</v>
      </c>
      <c r="B1316" s="3">
        <v>57.0</v>
      </c>
      <c r="C1316" s="3">
        <v>2.0</v>
      </c>
      <c r="D1316" t="str">
        <f>VLOOKUP(B1316,ERA_MOTIF_TYPES.csv!$A$1:$C$119,2,1)</f>
        <v>Cup and ring</v>
      </c>
      <c r="E1316" t="str">
        <f>VLOOKUP(A1316,Panels!$A$1:$E$2104,5,0)</f>
        <v>Wandylaw</v>
      </c>
    </row>
    <row r="1317">
      <c r="A1317" s="3">
        <v>211.0</v>
      </c>
      <c r="B1317" s="3">
        <v>93.0</v>
      </c>
      <c r="C1317" s="3">
        <v>12.0</v>
      </c>
      <c r="D1317" t="str">
        <f>VLOOKUP(B1317,ERA_MOTIF_TYPES.csv!$A$1:$C$119,2,1)</f>
        <v>Midget cup</v>
      </c>
      <c r="E1317" t="str">
        <f>VLOOKUP(A1317,Panels!$A$1:$E$2104,5,0)</f>
        <v>Wandylaw</v>
      </c>
    </row>
    <row r="1318">
      <c r="A1318" s="3">
        <v>212.0</v>
      </c>
      <c r="B1318" s="3">
        <v>1.0</v>
      </c>
      <c r="C1318" s="3">
        <v>8.0</v>
      </c>
      <c r="D1318" t="str">
        <f>VLOOKUP(B1318,ERA_MOTIF_TYPES.csv!$A$1:$C$119,2,1)</f>
        <v>Cups Single</v>
      </c>
      <c r="E1318" t="str">
        <f>VLOOKUP(A1318,Panels!$A$1:$E$2104,5,0)</f>
        <v>Wandylaw</v>
      </c>
    </row>
    <row r="1319">
      <c r="A1319" s="3">
        <v>212.0</v>
      </c>
      <c r="B1319" s="3">
        <v>31.0</v>
      </c>
      <c r="C1319" s="3">
        <v>6.0</v>
      </c>
      <c r="D1319" t="str">
        <f>VLOOKUP(B1319,ERA_MOTIF_TYPES.csv!$A$1:$C$119,2,1)</f>
        <v>Cup and Groove</v>
      </c>
      <c r="E1319" t="str">
        <f>VLOOKUP(A1319,Panels!$A$1:$E$2104,5,0)</f>
        <v>Wandylaw</v>
      </c>
    </row>
    <row r="1320">
      <c r="A1320" s="3">
        <v>212.0</v>
      </c>
      <c r="B1320" s="3">
        <v>36.0</v>
      </c>
      <c r="C1320" s="3">
        <v>3.0</v>
      </c>
      <c r="D1320" t="str">
        <f>VLOOKUP(B1320,ERA_MOTIF_TYPES.csv!$A$1:$C$119,2,1)</f>
        <v>Cup Groove and arc</v>
      </c>
      <c r="E1320" t="str">
        <f>VLOOKUP(A1320,Panels!$A$1:$E$2104,5,0)</f>
        <v>Wandylaw</v>
      </c>
    </row>
    <row r="1321">
      <c r="A1321" s="3">
        <v>212.0</v>
      </c>
      <c r="B1321" s="3">
        <v>52.0</v>
      </c>
      <c r="C1321" s="3">
        <v>24.0</v>
      </c>
      <c r="D1321" t="str">
        <f>VLOOKUP(B1321,ERA_MOTIF_TYPES.csv!$A$1:$C$119,2,1)</f>
        <v>Single or multiple cups</v>
      </c>
      <c r="E1321" t="str">
        <f>VLOOKUP(A1321,Panels!$A$1:$E$2104,5,0)</f>
        <v>Wandylaw</v>
      </c>
    </row>
    <row r="1322">
      <c r="A1322" s="3">
        <v>212.0</v>
      </c>
      <c r="B1322" s="3">
        <v>55.0</v>
      </c>
      <c r="C1322" s="3">
        <v>1.0</v>
      </c>
      <c r="D1322" t="str">
        <f>VLOOKUP(B1322,ERA_MOTIF_TYPES.csv!$A$1:$C$119,2,1)</f>
        <v>Cups in a straight or curved line</v>
      </c>
      <c r="E1322" t="str">
        <f>VLOOKUP(A1322,Panels!$A$1:$E$2104,5,0)</f>
        <v>Wandylaw</v>
      </c>
    </row>
    <row r="1323">
      <c r="A1323" s="3">
        <v>212.0</v>
      </c>
      <c r="B1323" s="3">
        <v>65.0</v>
      </c>
      <c r="C1323" s="3">
        <v>1.0</v>
      </c>
      <c r="D1323" t="str">
        <f>VLOOKUP(B1323,ERA_MOTIF_TYPES.csv!$A$1:$C$119,2,1)</f>
        <v>Cup and groove with penannular</v>
      </c>
      <c r="E1323" t="str">
        <f>VLOOKUP(A1323,Panels!$A$1:$E$2104,5,0)</f>
        <v>Wandylaw</v>
      </c>
    </row>
    <row r="1324">
      <c r="A1324" s="3">
        <v>212.0</v>
      </c>
      <c r="B1324" s="3">
        <v>67.0</v>
      </c>
      <c r="C1324" s="3">
        <v>2.0</v>
      </c>
      <c r="D1324" t="str">
        <f>VLOOKUP(B1324,ERA_MOTIF_TYPES.csv!$A$1:$C$119,2,1)</f>
        <v>Cup and groove with arc</v>
      </c>
      <c r="E1324" t="str">
        <f>VLOOKUP(A1324,Panels!$A$1:$E$2104,5,0)</f>
        <v>Wandylaw</v>
      </c>
    </row>
    <row r="1325">
      <c r="A1325" s="3">
        <v>212.0</v>
      </c>
      <c r="B1325" s="3">
        <v>73.0</v>
      </c>
      <c r="C1325" s="3">
        <v>1.0</v>
      </c>
      <c r="D1325" t="str">
        <f>VLOOKUP(B1325,ERA_MOTIF_TYPES.csv!$A$1:$C$119,2,1)</f>
        <v>Arc</v>
      </c>
      <c r="E1325" t="str">
        <f>VLOOKUP(A1325,Panels!$A$1:$E$2104,5,0)</f>
        <v>Wandylaw</v>
      </c>
    </row>
    <row r="1326">
      <c r="A1326" s="3">
        <v>212.0</v>
      </c>
      <c r="B1326" s="3">
        <v>103.0</v>
      </c>
      <c r="C1326" s="3">
        <v>6.0</v>
      </c>
      <c r="D1326" t="str">
        <f>VLOOKUP(B1326,ERA_MOTIF_TYPES.csv!$A$1:$C$119,2,1)</f>
        <v>Cup and groove</v>
      </c>
      <c r="E1326" t="str">
        <f>VLOOKUP(A1326,Panels!$A$1:$E$2104,5,0)</f>
        <v>Wandylaw</v>
      </c>
    </row>
    <row r="1327">
      <c r="A1327" s="3">
        <v>213.0</v>
      </c>
      <c r="B1327" s="3">
        <v>1.0</v>
      </c>
      <c r="C1327" s="3">
        <v>1.0</v>
      </c>
      <c r="D1327" t="str">
        <f>VLOOKUP(B1327,ERA_MOTIF_TYPES.csv!$A$1:$C$119,2,1)</f>
        <v>Cups Single</v>
      </c>
      <c r="E1327" t="str">
        <f>VLOOKUP(A1327,Panels!$A$1:$E$2104,5,0)</f>
        <v>Wandylaw</v>
      </c>
    </row>
    <row r="1328">
      <c r="A1328" s="3">
        <v>213.0</v>
      </c>
      <c r="B1328" s="3">
        <v>31.0</v>
      </c>
      <c r="C1328" s="3">
        <v>2.0</v>
      </c>
      <c r="D1328" t="str">
        <f>VLOOKUP(B1328,ERA_MOTIF_TYPES.csv!$A$1:$C$119,2,1)</f>
        <v>Cup and Groove</v>
      </c>
      <c r="E1328" t="str">
        <f>VLOOKUP(A1328,Panels!$A$1:$E$2104,5,0)</f>
        <v>Wandylaw</v>
      </c>
    </row>
    <row r="1329">
      <c r="A1329" s="3">
        <v>213.0</v>
      </c>
      <c r="B1329" s="3">
        <v>103.0</v>
      </c>
      <c r="C1329" s="3">
        <v>5.0</v>
      </c>
      <c r="D1329" t="str">
        <f>VLOOKUP(B1329,ERA_MOTIF_TYPES.csv!$A$1:$C$119,2,1)</f>
        <v>Cup and groove</v>
      </c>
      <c r="E1329" t="str">
        <f>VLOOKUP(A1329,Panels!$A$1:$E$2104,5,0)</f>
        <v>Wandylaw</v>
      </c>
    </row>
    <row r="1330">
      <c r="A1330" s="3">
        <v>213.0</v>
      </c>
      <c r="B1330" s="3">
        <v>105.0</v>
      </c>
      <c r="C1330" s="3">
        <v>4.0</v>
      </c>
      <c r="D1330" t="str">
        <f>VLOOKUP(B1330,ERA_MOTIF_TYPES.csv!$A$1:$C$119,2,1)</f>
        <v>Two cups linked by a groove</v>
      </c>
      <c r="E1330" t="str">
        <f>VLOOKUP(A1330,Panels!$A$1:$E$2104,5,0)</f>
        <v>Wandylaw</v>
      </c>
    </row>
    <row r="1331">
      <c r="A1331" s="3">
        <v>214.0</v>
      </c>
      <c r="B1331" s="3">
        <v>13.0</v>
      </c>
      <c r="C1331" s="3">
        <v>1.0</v>
      </c>
      <c r="D1331" t="str">
        <f>VLOOKUP(B1331,ERA_MOTIF_TYPES.csv!$A$1:$C$119,2,1)</f>
        <v>Single Ring + cup</v>
      </c>
      <c r="E1331" t="str">
        <f>VLOOKUP(A1331,Panels!$A$1:$E$2104,5,0)</f>
        <v>South Middleton Moor</v>
      </c>
    </row>
    <row r="1332">
      <c r="A1332" s="3">
        <v>214.0</v>
      </c>
      <c r="B1332" s="3">
        <v>52.0</v>
      </c>
      <c r="C1332" s="3">
        <v>1.0</v>
      </c>
      <c r="D1332" t="str">
        <f>VLOOKUP(B1332,ERA_MOTIF_TYPES.csv!$A$1:$C$119,2,1)</f>
        <v>Single or multiple cups</v>
      </c>
      <c r="E1332" t="str">
        <f>VLOOKUP(A1332,Panels!$A$1:$E$2104,5,0)</f>
        <v>South Middleton Moor</v>
      </c>
    </row>
    <row r="1333">
      <c r="A1333" s="3">
        <v>214.0</v>
      </c>
      <c r="B1333" s="3">
        <v>57.0</v>
      </c>
      <c r="C1333" s="3">
        <v>1.0</v>
      </c>
      <c r="D1333" t="str">
        <f>VLOOKUP(B1333,ERA_MOTIF_TYPES.csv!$A$1:$C$119,2,1)</f>
        <v>Cup and ring</v>
      </c>
      <c r="E1333" t="str">
        <f>VLOOKUP(A1333,Panels!$A$1:$E$2104,5,0)</f>
        <v>South Middleton Moor</v>
      </c>
    </row>
    <row r="1334">
      <c r="A1334" s="3">
        <v>216.0</v>
      </c>
      <c r="B1334" s="3">
        <v>1.0</v>
      </c>
      <c r="C1334" s="3">
        <v>12.0</v>
      </c>
      <c r="D1334" t="str">
        <f>VLOOKUP(B1334,ERA_MOTIF_TYPES.csv!$A$1:$C$119,2,1)</f>
        <v>Cups Single</v>
      </c>
      <c r="E1334" t="str">
        <f>VLOOKUP(A1334,Panels!$A$1:$E$2104,5,0)</f>
        <v>Heddon Hill</v>
      </c>
    </row>
    <row r="1335">
      <c r="A1335" s="3">
        <v>216.0</v>
      </c>
      <c r="B1335" s="3">
        <v>13.0</v>
      </c>
      <c r="C1335" s="3">
        <v>1.0</v>
      </c>
      <c r="D1335" t="str">
        <f>VLOOKUP(B1335,ERA_MOTIF_TYPES.csv!$A$1:$C$119,2,1)</f>
        <v>Single Ring + cup</v>
      </c>
      <c r="E1335" t="str">
        <f>VLOOKUP(A1335,Panels!$A$1:$E$2104,5,0)</f>
        <v>Heddon Hill</v>
      </c>
    </row>
    <row r="1336">
      <c r="A1336" s="3">
        <v>216.0</v>
      </c>
      <c r="B1336" s="3">
        <v>16.0</v>
      </c>
      <c r="C1336" s="3">
        <v>1.0</v>
      </c>
      <c r="D1336" t="str">
        <f>VLOOKUP(B1336,ERA_MOTIF_TYPES.csv!$A$1:$C$119,2,1)</f>
        <v>Single Arc + cup</v>
      </c>
      <c r="E1336" t="str">
        <f>VLOOKUP(A1336,Panels!$A$1:$E$2104,5,0)</f>
        <v>Heddon Hill</v>
      </c>
    </row>
    <row r="1337">
      <c r="A1337" s="3">
        <v>216.0</v>
      </c>
      <c r="B1337" s="3">
        <v>31.0</v>
      </c>
      <c r="C1337" s="3">
        <v>6.0</v>
      </c>
      <c r="D1337" t="str">
        <f>VLOOKUP(B1337,ERA_MOTIF_TYPES.csv!$A$1:$C$119,2,1)</f>
        <v>Cup and Groove</v>
      </c>
      <c r="E1337" t="str">
        <f>VLOOKUP(A1337,Panels!$A$1:$E$2104,5,0)</f>
        <v>Heddon Hill</v>
      </c>
    </row>
    <row r="1338">
      <c r="A1338" s="3">
        <v>216.0</v>
      </c>
      <c r="B1338" s="3">
        <v>52.0</v>
      </c>
      <c r="C1338" s="3">
        <v>27.0</v>
      </c>
      <c r="D1338" t="str">
        <f>VLOOKUP(B1338,ERA_MOTIF_TYPES.csv!$A$1:$C$119,2,1)</f>
        <v>Single or multiple cups</v>
      </c>
      <c r="E1338" t="str">
        <f>VLOOKUP(A1338,Panels!$A$1:$E$2104,5,0)</f>
        <v>Heddon Hill</v>
      </c>
    </row>
    <row r="1339">
      <c r="A1339" s="3">
        <v>374.0</v>
      </c>
      <c r="B1339" s="3">
        <v>1.0</v>
      </c>
      <c r="C1339" s="3">
        <v>2.0</v>
      </c>
      <c r="D1339" t="str">
        <f>VLOOKUP(B1339,ERA_MOTIF_TYPES.csv!$A$1:$C$119,2,1)</f>
        <v>Cups Single</v>
      </c>
      <c r="E1339" t="str">
        <f>VLOOKUP(A1339,Panels!$A$1:$E$2104,5,0)</f>
        <v>Fowberry Mains/Fowberry Park</v>
      </c>
    </row>
    <row r="1340">
      <c r="A1340" s="3">
        <v>374.0</v>
      </c>
      <c r="B1340" s="3">
        <v>6.0</v>
      </c>
      <c r="C1340" s="3">
        <v>1.0</v>
      </c>
      <c r="D1340" t="str">
        <f>VLOOKUP(B1340,ERA_MOTIF_TYPES.csv!$A$1:$C$119,2,1)</f>
        <v>curved or straight line</v>
      </c>
      <c r="E1340" t="str">
        <f>VLOOKUP(A1340,Panels!$A$1:$E$2104,5,0)</f>
        <v>Fowberry Mains/Fowberry Park</v>
      </c>
    </row>
    <row r="1341">
      <c r="A1341" s="3">
        <v>375.0</v>
      </c>
      <c r="B1341" s="3">
        <v>17.0</v>
      </c>
      <c r="C1341" s="3">
        <v>1.0</v>
      </c>
      <c r="D1341" t="str">
        <f>VLOOKUP(B1341,ERA_MOTIF_TYPES.csv!$A$1:$C$119,2,1)</f>
        <v>Single Penannular + cup</v>
      </c>
      <c r="E1341" t="str">
        <f>VLOOKUP(A1341,Panels!$A$1:$E$2104,5,0)</f>
        <v>Dod Law Excavation Site</v>
      </c>
    </row>
    <row r="1342">
      <c r="A1342" s="3">
        <v>375.0</v>
      </c>
      <c r="B1342" s="3">
        <v>57.0</v>
      </c>
      <c r="C1342" s="3">
        <v>1.0</v>
      </c>
      <c r="D1342" t="str">
        <f>VLOOKUP(B1342,ERA_MOTIF_TYPES.csv!$A$1:$C$119,2,1)</f>
        <v>Cup and ring</v>
      </c>
      <c r="E1342" t="str">
        <f>VLOOKUP(A1342,Panels!$A$1:$E$2104,5,0)</f>
        <v>Dod Law Excavation Site</v>
      </c>
    </row>
    <row r="1343">
      <c r="A1343" s="3">
        <v>375.0</v>
      </c>
      <c r="B1343" s="3">
        <v>61.0</v>
      </c>
      <c r="C1343" s="3">
        <v>1.0</v>
      </c>
      <c r="D1343" t="str">
        <f>VLOOKUP(B1343,ERA_MOTIF_TYPES.csv!$A$1:$C$119,2,1)</f>
        <v>Cup and arc (or semi-ovoid)</v>
      </c>
      <c r="E1343" t="str">
        <f>VLOOKUP(A1343,Panels!$A$1:$E$2104,5,0)</f>
        <v>Dod Law Excavation Site</v>
      </c>
    </row>
    <row r="1344">
      <c r="A1344" s="3">
        <v>376.0</v>
      </c>
      <c r="B1344" s="3">
        <v>14.0</v>
      </c>
      <c r="C1344" s="3">
        <v>1.0</v>
      </c>
      <c r="D1344" t="str">
        <f>VLOOKUP(B1344,ERA_MOTIF_TYPES.csv!$A$1:$C$119,2,1)</f>
        <v>Multi Ring + cup</v>
      </c>
      <c r="E1344" t="str">
        <f>VLOOKUP(A1344,Panels!$A$1:$E$2104,5,0)</f>
        <v>Hare Law Crags</v>
      </c>
    </row>
    <row r="1345">
      <c r="A1345" s="3">
        <v>376.0</v>
      </c>
      <c r="B1345" s="3">
        <v>52.0</v>
      </c>
      <c r="C1345" s="3">
        <v>6.0</v>
      </c>
      <c r="D1345" t="str">
        <f>VLOOKUP(B1345,ERA_MOTIF_TYPES.csv!$A$1:$C$119,2,1)</f>
        <v>Single or multiple cups</v>
      </c>
      <c r="E1345" t="str">
        <f>VLOOKUP(A1345,Panels!$A$1:$E$2104,5,0)</f>
        <v>Hare Law Crags</v>
      </c>
    </row>
    <row r="1346">
      <c r="A1346" s="3">
        <v>376.0</v>
      </c>
      <c r="B1346" s="3">
        <v>58.0</v>
      </c>
      <c r="C1346" s="3">
        <v>1.0</v>
      </c>
      <c r="D1346" t="str">
        <f>VLOOKUP(B1346,ERA_MOTIF_TYPES.csv!$A$1:$C$119,2,1)</f>
        <v>Cup and multiple rings</v>
      </c>
      <c r="E1346" t="str">
        <f>VLOOKUP(A1346,Panels!$A$1:$E$2104,5,0)</f>
        <v>Hare Law Crags</v>
      </c>
    </row>
    <row r="1347">
      <c r="A1347" s="3">
        <v>377.0</v>
      </c>
      <c r="B1347" s="3">
        <v>1.0</v>
      </c>
      <c r="C1347" s="3">
        <v>4.0</v>
      </c>
      <c r="D1347" t="str">
        <f>VLOOKUP(B1347,ERA_MOTIF_TYPES.csv!$A$1:$C$119,2,1)</f>
        <v>Cups Single</v>
      </c>
      <c r="E1347" t="str">
        <f>VLOOKUP(A1347,Panels!$A$1:$E$2104,5,0)</f>
        <v>Hare Law Crags</v>
      </c>
    </row>
    <row r="1348">
      <c r="A1348" s="3">
        <v>377.0</v>
      </c>
      <c r="B1348" s="3">
        <v>2.0</v>
      </c>
      <c r="C1348" s="3">
        <v>2.0</v>
      </c>
      <c r="D1348" t="str">
        <f>VLOOKUP(B1348,ERA_MOTIF_TYPES.csv!$A$1:$C$119,2,1)</f>
        <v>Random Cluster</v>
      </c>
      <c r="E1348" t="str">
        <f>VLOOKUP(A1348,Panels!$A$1:$E$2104,5,0)</f>
        <v>Hare Law Crags</v>
      </c>
    </row>
    <row r="1349">
      <c r="A1349" s="3">
        <v>377.0</v>
      </c>
      <c r="B1349" s="3">
        <v>14.0</v>
      </c>
      <c r="C1349" s="3">
        <v>1.0</v>
      </c>
      <c r="D1349" t="str">
        <f>VLOOKUP(B1349,ERA_MOTIF_TYPES.csv!$A$1:$C$119,2,1)</f>
        <v>Multi Ring + cup</v>
      </c>
      <c r="E1349" t="str">
        <f>VLOOKUP(A1349,Panels!$A$1:$E$2104,5,0)</f>
        <v>Hare Law Crags</v>
      </c>
    </row>
    <row r="1350">
      <c r="A1350" s="3">
        <v>377.0</v>
      </c>
      <c r="B1350" s="3">
        <v>16.0</v>
      </c>
      <c r="C1350" s="3">
        <v>3.0</v>
      </c>
      <c r="D1350" t="str">
        <f>VLOOKUP(B1350,ERA_MOTIF_TYPES.csv!$A$1:$C$119,2,1)</f>
        <v>Single Arc + cup</v>
      </c>
      <c r="E1350" t="str">
        <f>VLOOKUP(A1350,Panels!$A$1:$E$2104,5,0)</f>
        <v>Hare Law Crags</v>
      </c>
    </row>
    <row r="1351">
      <c r="A1351" s="3">
        <v>377.0</v>
      </c>
      <c r="B1351" s="3">
        <v>52.0</v>
      </c>
      <c r="C1351" s="3">
        <v>11.0</v>
      </c>
      <c r="D1351" t="str">
        <f>VLOOKUP(B1351,ERA_MOTIF_TYPES.csv!$A$1:$C$119,2,1)</f>
        <v>Single or multiple cups</v>
      </c>
      <c r="E1351" t="str">
        <f>VLOOKUP(A1351,Panels!$A$1:$E$2104,5,0)</f>
        <v>Hare Law Crags</v>
      </c>
    </row>
    <row r="1352">
      <c r="A1352" s="3">
        <v>377.0</v>
      </c>
      <c r="B1352" s="3">
        <v>57.0</v>
      </c>
      <c r="C1352" s="3">
        <v>3.0</v>
      </c>
      <c r="D1352" t="str">
        <f>VLOOKUP(B1352,ERA_MOTIF_TYPES.csv!$A$1:$C$119,2,1)</f>
        <v>Cup and ring</v>
      </c>
      <c r="E1352" t="str">
        <f>VLOOKUP(A1352,Panels!$A$1:$E$2104,5,0)</f>
        <v>Hare Law Crags</v>
      </c>
    </row>
    <row r="1353">
      <c r="A1353" s="3">
        <v>377.0</v>
      </c>
      <c r="B1353" s="3">
        <v>59.0</v>
      </c>
      <c r="C1353" s="3">
        <v>1.0</v>
      </c>
      <c r="D1353" t="str">
        <f>VLOOKUP(B1353,ERA_MOTIF_TYPES.csv!$A$1:$C$119,2,1)</f>
        <v>Cup and penannular</v>
      </c>
      <c r="E1353" t="str">
        <f>VLOOKUP(A1353,Panels!$A$1:$E$2104,5,0)</f>
        <v>Hare Law Crags</v>
      </c>
    </row>
    <row r="1354">
      <c r="A1354" s="3">
        <v>377.0</v>
      </c>
      <c r="B1354" s="3">
        <v>60.0</v>
      </c>
      <c r="C1354" s="3">
        <v>1.0</v>
      </c>
      <c r="D1354" t="str">
        <f>VLOOKUP(B1354,ERA_MOTIF_TYPES.csv!$A$1:$C$119,2,1)</f>
        <v>Cup and multiple penannulars</v>
      </c>
      <c r="E1354" t="str">
        <f>VLOOKUP(A1354,Panels!$A$1:$E$2104,5,0)</f>
        <v>Hare Law Crags</v>
      </c>
    </row>
    <row r="1355">
      <c r="A1355" s="3">
        <v>377.0</v>
      </c>
      <c r="B1355" s="3">
        <v>61.0</v>
      </c>
      <c r="C1355" s="3">
        <v>2.0</v>
      </c>
      <c r="D1355" t="str">
        <f>VLOOKUP(B1355,ERA_MOTIF_TYPES.csv!$A$1:$C$119,2,1)</f>
        <v>Cup and arc (or semi-ovoid)</v>
      </c>
      <c r="E1355" t="str">
        <f>VLOOKUP(A1355,Panels!$A$1:$E$2104,5,0)</f>
        <v>Hare Law Crags</v>
      </c>
    </row>
    <row r="1356">
      <c r="A1356" s="3">
        <v>377.0</v>
      </c>
      <c r="B1356" s="3">
        <v>69.0</v>
      </c>
      <c r="C1356" s="3">
        <v>1.0</v>
      </c>
      <c r="D1356" t="str">
        <f>VLOOKUP(B1356,ERA_MOTIF_TYPES.csv!$A$1:$C$119,2,1)</f>
        <v>Ring</v>
      </c>
      <c r="E1356" t="str">
        <f>VLOOKUP(A1356,Panels!$A$1:$E$2104,5,0)</f>
        <v>Hare Law Crags</v>
      </c>
    </row>
    <row r="1357">
      <c r="A1357" s="3">
        <v>377.0</v>
      </c>
      <c r="B1357" s="3">
        <v>71.0</v>
      </c>
      <c r="C1357" s="3">
        <v>3.0</v>
      </c>
      <c r="D1357" t="str">
        <f>VLOOKUP(B1357,ERA_MOTIF_TYPES.csv!$A$1:$C$119,2,1)</f>
        <v>Penannular</v>
      </c>
      <c r="E1357" t="str">
        <f>VLOOKUP(A1357,Panels!$A$1:$E$2104,5,0)</f>
        <v>Hare Law Crags</v>
      </c>
    </row>
    <row r="1358">
      <c r="A1358" s="3">
        <v>377.0</v>
      </c>
      <c r="B1358" s="3">
        <v>73.0</v>
      </c>
      <c r="C1358" s="3">
        <v>2.0</v>
      </c>
      <c r="D1358" t="str">
        <f>VLOOKUP(B1358,ERA_MOTIF_TYPES.csv!$A$1:$C$119,2,1)</f>
        <v>Arc</v>
      </c>
      <c r="E1358" t="str">
        <f>VLOOKUP(A1358,Panels!$A$1:$E$2104,5,0)</f>
        <v>Hare Law Crags</v>
      </c>
    </row>
    <row r="1359">
      <c r="A1359" s="3">
        <v>377.0</v>
      </c>
      <c r="B1359" s="3">
        <v>74.0</v>
      </c>
      <c r="C1359" s="3">
        <v>1.0</v>
      </c>
      <c r="D1359" t="str">
        <f>VLOOKUP(B1359,ERA_MOTIF_TYPES.csv!$A$1:$C$119,2,1)</f>
        <v>Multiple arcs</v>
      </c>
      <c r="E1359" t="str">
        <f>VLOOKUP(A1359,Panels!$A$1:$E$2104,5,0)</f>
        <v>Hare Law Crags</v>
      </c>
    </row>
    <row r="1360">
      <c r="A1360" s="3">
        <v>377.0</v>
      </c>
      <c r="B1360" s="3">
        <v>82.0</v>
      </c>
      <c r="C1360" s="3">
        <v>1.0</v>
      </c>
      <c r="D1360" t="str">
        <f>VLOOKUP(B1360,ERA_MOTIF_TYPES.csv!$A$1:$C$119,2,1)</f>
        <v>Rosette enclosed by a ring</v>
      </c>
      <c r="E1360" t="str">
        <f>VLOOKUP(A1360,Panels!$A$1:$E$2104,5,0)</f>
        <v>Hare Law Crags</v>
      </c>
    </row>
    <row r="1361">
      <c r="A1361" s="3">
        <v>377.0</v>
      </c>
      <c r="B1361" s="3">
        <v>101.0</v>
      </c>
      <c r="C1361" s="3">
        <v>1.0</v>
      </c>
      <c r="D1361" t="str">
        <f>VLOOKUP(B1361,ERA_MOTIF_TYPES.csv!$A$1:$C$119,2,1)</f>
        <v>Occulus</v>
      </c>
      <c r="E1361" t="str">
        <f>VLOOKUP(A1361,Panels!$A$1:$E$2104,5,0)</f>
        <v>Hare Law Crags</v>
      </c>
    </row>
    <row r="1362">
      <c r="A1362" s="3">
        <v>377.0</v>
      </c>
      <c r="B1362" s="3">
        <v>104.0</v>
      </c>
      <c r="C1362" s="3">
        <v>1.0</v>
      </c>
      <c r="D1362" t="str">
        <f>VLOOKUP(B1362,ERA_MOTIF_TYPES.csv!$A$1:$C$119,2,1)</f>
        <v>Angular groove around a cup</v>
      </c>
      <c r="E1362" t="str">
        <f>VLOOKUP(A1362,Panels!$A$1:$E$2104,5,0)</f>
        <v>Hare Law Crags</v>
      </c>
    </row>
    <row r="1363">
      <c r="A1363" s="3">
        <v>377.0</v>
      </c>
      <c r="B1363" s="3">
        <v>107.0</v>
      </c>
      <c r="C1363" s="3">
        <v>1.0</v>
      </c>
      <c r="D1363" t="str">
        <f>VLOOKUP(B1363,ERA_MOTIF_TYPES.csv!$A$1:$C$119,2,1)</f>
        <v>Cup and ring with exterior groove</v>
      </c>
      <c r="E1363" t="str">
        <f>VLOOKUP(A1363,Panels!$A$1:$E$2104,5,0)</f>
        <v>Hare Law Crags</v>
      </c>
    </row>
    <row r="1364">
      <c r="A1364" s="3">
        <v>378.0</v>
      </c>
      <c r="B1364" s="3">
        <v>1.0</v>
      </c>
      <c r="C1364" s="3">
        <v>1.0</v>
      </c>
      <c r="D1364" t="str">
        <f>VLOOKUP(B1364,ERA_MOTIF_TYPES.csv!$A$1:$C$119,2,1)</f>
        <v>Cups Single</v>
      </c>
      <c r="E1364" t="str">
        <f>VLOOKUP(A1364,Panels!$A$1:$E$2104,5,0)</f>
        <v>Hare Law Crags</v>
      </c>
    </row>
    <row r="1365">
      <c r="A1365" s="3">
        <v>378.0</v>
      </c>
      <c r="B1365" s="3">
        <v>18.0</v>
      </c>
      <c r="C1365" s="3">
        <v>1.0</v>
      </c>
      <c r="D1365" t="str">
        <f>VLOOKUP(B1365,ERA_MOTIF_TYPES.csv!$A$1:$C$119,2,1)</f>
        <v>Multi Arc + cup</v>
      </c>
      <c r="E1365" t="str">
        <f>VLOOKUP(A1365,Panels!$A$1:$E$2104,5,0)</f>
        <v>Hare Law Crags</v>
      </c>
    </row>
    <row r="1366">
      <c r="A1366" s="3">
        <v>378.0</v>
      </c>
      <c r="B1366" s="3">
        <v>52.0</v>
      </c>
      <c r="C1366" s="3">
        <v>11.0</v>
      </c>
      <c r="D1366" t="str">
        <f>VLOOKUP(B1366,ERA_MOTIF_TYPES.csv!$A$1:$C$119,2,1)</f>
        <v>Single or multiple cups</v>
      </c>
      <c r="E1366" t="str">
        <f>VLOOKUP(A1366,Panels!$A$1:$E$2104,5,0)</f>
        <v>Hare Law Crags</v>
      </c>
    </row>
    <row r="1367">
      <c r="A1367" s="3">
        <v>378.0</v>
      </c>
      <c r="B1367" s="3">
        <v>57.0</v>
      </c>
      <c r="C1367" s="3">
        <v>3.0</v>
      </c>
      <c r="D1367" t="str">
        <f>VLOOKUP(B1367,ERA_MOTIF_TYPES.csv!$A$1:$C$119,2,1)</f>
        <v>Cup and ring</v>
      </c>
      <c r="E1367" t="str">
        <f>VLOOKUP(A1367,Panels!$A$1:$E$2104,5,0)</f>
        <v>Hare Law Crags</v>
      </c>
    </row>
    <row r="1368">
      <c r="A1368" s="3">
        <v>378.0</v>
      </c>
      <c r="B1368" s="3">
        <v>59.0</v>
      </c>
      <c r="C1368" s="3">
        <v>1.0</v>
      </c>
      <c r="D1368" t="str">
        <f>VLOOKUP(B1368,ERA_MOTIF_TYPES.csv!$A$1:$C$119,2,1)</f>
        <v>Cup and penannular</v>
      </c>
      <c r="E1368" t="str">
        <f>VLOOKUP(A1368,Panels!$A$1:$E$2104,5,0)</f>
        <v>Hare Law Crags</v>
      </c>
    </row>
    <row r="1369">
      <c r="A1369" s="3">
        <v>378.0</v>
      </c>
      <c r="B1369" s="3">
        <v>60.0</v>
      </c>
      <c r="C1369" s="3">
        <v>1.0</v>
      </c>
      <c r="D1369" t="str">
        <f>VLOOKUP(B1369,ERA_MOTIF_TYPES.csv!$A$1:$C$119,2,1)</f>
        <v>Cup and multiple penannulars</v>
      </c>
      <c r="E1369" t="str">
        <f>VLOOKUP(A1369,Panels!$A$1:$E$2104,5,0)</f>
        <v>Hare Law Crags</v>
      </c>
    </row>
    <row r="1370">
      <c r="A1370" s="3">
        <v>378.0</v>
      </c>
      <c r="B1370" s="3">
        <v>61.0</v>
      </c>
      <c r="C1370" s="3">
        <v>2.0</v>
      </c>
      <c r="D1370" t="str">
        <f>VLOOKUP(B1370,ERA_MOTIF_TYPES.csv!$A$1:$C$119,2,1)</f>
        <v>Cup and arc (or semi-ovoid)</v>
      </c>
      <c r="E1370" t="str">
        <f>VLOOKUP(A1370,Panels!$A$1:$E$2104,5,0)</f>
        <v>Hare Law Crags</v>
      </c>
    </row>
    <row r="1371">
      <c r="A1371" s="3">
        <v>378.0</v>
      </c>
      <c r="B1371" s="3">
        <v>69.0</v>
      </c>
      <c r="C1371" s="3">
        <v>1.0</v>
      </c>
      <c r="D1371" t="str">
        <f>VLOOKUP(B1371,ERA_MOTIF_TYPES.csv!$A$1:$C$119,2,1)</f>
        <v>Ring</v>
      </c>
      <c r="E1371" t="str">
        <f>VLOOKUP(A1371,Panels!$A$1:$E$2104,5,0)</f>
        <v>Hare Law Crags</v>
      </c>
    </row>
    <row r="1372">
      <c r="A1372" s="3">
        <v>378.0</v>
      </c>
      <c r="B1372" s="3">
        <v>71.0</v>
      </c>
      <c r="C1372" s="3">
        <v>3.0</v>
      </c>
      <c r="D1372" t="str">
        <f>VLOOKUP(B1372,ERA_MOTIF_TYPES.csv!$A$1:$C$119,2,1)</f>
        <v>Penannular</v>
      </c>
      <c r="E1372" t="str">
        <f>VLOOKUP(A1372,Panels!$A$1:$E$2104,5,0)</f>
        <v>Hare Law Crags</v>
      </c>
    </row>
    <row r="1373">
      <c r="A1373" s="3">
        <v>378.0</v>
      </c>
      <c r="B1373" s="3">
        <v>73.0</v>
      </c>
      <c r="C1373" s="3">
        <v>2.0</v>
      </c>
      <c r="D1373" t="str">
        <f>VLOOKUP(B1373,ERA_MOTIF_TYPES.csv!$A$1:$C$119,2,1)</f>
        <v>Arc</v>
      </c>
      <c r="E1373" t="str">
        <f>VLOOKUP(A1373,Panels!$A$1:$E$2104,5,0)</f>
        <v>Hare Law Crags</v>
      </c>
    </row>
    <row r="1374">
      <c r="A1374" s="3">
        <v>378.0</v>
      </c>
      <c r="B1374" s="3">
        <v>74.0</v>
      </c>
      <c r="C1374" s="3">
        <v>1.0</v>
      </c>
      <c r="D1374" t="str">
        <f>VLOOKUP(B1374,ERA_MOTIF_TYPES.csv!$A$1:$C$119,2,1)</f>
        <v>Multiple arcs</v>
      </c>
      <c r="E1374" t="str">
        <f>VLOOKUP(A1374,Panels!$A$1:$E$2104,5,0)</f>
        <v>Hare Law Crags</v>
      </c>
    </row>
    <row r="1375">
      <c r="A1375" s="3">
        <v>378.0</v>
      </c>
      <c r="B1375" s="3">
        <v>82.0</v>
      </c>
      <c r="C1375" s="3">
        <v>1.0</v>
      </c>
      <c r="D1375" t="str">
        <f>VLOOKUP(B1375,ERA_MOTIF_TYPES.csv!$A$1:$C$119,2,1)</f>
        <v>Rosette enclosed by a ring</v>
      </c>
      <c r="E1375" t="str">
        <f>VLOOKUP(A1375,Panels!$A$1:$E$2104,5,0)</f>
        <v>Hare Law Crags</v>
      </c>
    </row>
    <row r="1376">
      <c r="A1376" s="3">
        <v>378.0</v>
      </c>
      <c r="B1376" s="3">
        <v>101.0</v>
      </c>
      <c r="C1376" s="3">
        <v>1.0</v>
      </c>
      <c r="D1376" t="str">
        <f>VLOOKUP(B1376,ERA_MOTIF_TYPES.csv!$A$1:$C$119,2,1)</f>
        <v>Occulus</v>
      </c>
      <c r="E1376" t="str">
        <f>VLOOKUP(A1376,Panels!$A$1:$E$2104,5,0)</f>
        <v>Hare Law Crags</v>
      </c>
    </row>
    <row r="1377">
      <c r="A1377" s="3">
        <v>378.0</v>
      </c>
      <c r="B1377" s="3">
        <v>104.0</v>
      </c>
      <c r="C1377" s="3">
        <v>1.0</v>
      </c>
      <c r="D1377" t="str">
        <f>VLOOKUP(B1377,ERA_MOTIF_TYPES.csv!$A$1:$C$119,2,1)</f>
        <v>Angular groove around a cup</v>
      </c>
      <c r="E1377" t="str">
        <f>VLOOKUP(A1377,Panels!$A$1:$E$2104,5,0)</f>
        <v>Hare Law Crags</v>
      </c>
    </row>
    <row r="1378">
      <c r="A1378" s="3">
        <v>378.0</v>
      </c>
      <c r="B1378" s="3">
        <v>107.0</v>
      </c>
      <c r="C1378" s="3">
        <v>1.0</v>
      </c>
      <c r="D1378" t="str">
        <f>VLOOKUP(B1378,ERA_MOTIF_TYPES.csv!$A$1:$C$119,2,1)</f>
        <v>Cup and ring with exterior groove</v>
      </c>
      <c r="E1378" t="str">
        <f>VLOOKUP(A1378,Panels!$A$1:$E$2104,5,0)</f>
        <v>Hare Law Crags</v>
      </c>
    </row>
    <row r="1379">
      <c r="A1379" s="3">
        <v>379.0</v>
      </c>
      <c r="B1379" s="3">
        <v>13.0</v>
      </c>
      <c r="C1379" s="3">
        <v>1.0</v>
      </c>
      <c r="D1379" t="str">
        <f>VLOOKUP(B1379,ERA_MOTIF_TYPES.csv!$A$1:$C$119,2,1)</f>
        <v>Single Ring + cup</v>
      </c>
      <c r="E1379" t="str">
        <f>VLOOKUP(A1379,Panels!$A$1:$E$2104,5,0)</f>
        <v>Hare Law Crags</v>
      </c>
    </row>
    <row r="1380">
      <c r="A1380" s="3">
        <v>379.0</v>
      </c>
      <c r="B1380" s="3">
        <v>16.0</v>
      </c>
      <c r="C1380" s="3">
        <v>1.0</v>
      </c>
      <c r="D1380" t="str">
        <f>VLOOKUP(B1380,ERA_MOTIF_TYPES.csv!$A$1:$C$119,2,1)</f>
        <v>Single Arc + cup</v>
      </c>
      <c r="E1380" t="str">
        <f>VLOOKUP(A1380,Panels!$A$1:$E$2104,5,0)</f>
        <v>Hare Law Crags</v>
      </c>
    </row>
    <row r="1381">
      <c r="A1381" s="3">
        <v>379.0</v>
      </c>
      <c r="B1381" s="3">
        <v>52.0</v>
      </c>
      <c r="C1381" s="3">
        <v>11.0</v>
      </c>
      <c r="D1381" t="str">
        <f>VLOOKUP(B1381,ERA_MOTIF_TYPES.csv!$A$1:$C$119,2,1)</f>
        <v>Single or multiple cups</v>
      </c>
      <c r="E1381" t="str">
        <f>VLOOKUP(A1381,Panels!$A$1:$E$2104,5,0)</f>
        <v>Hare Law Crags</v>
      </c>
    </row>
    <row r="1382">
      <c r="A1382" s="3">
        <v>379.0</v>
      </c>
      <c r="B1382" s="3">
        <v>57.0</v>
      </c>
      <c r="C1382" s="3">
        <v>3.0</v>
      </c>
      <c r="D1382" t="str">
        <f>VLOOKUP(B1382,ERA_MOTIF_TYPES.csv!$A$1:$C$119,2,1)</f>
        <v>Cup and ring</v>
      </c>
      <c r="E1382" t="str">
        <f>VLOOKUP(A1382,Panels!$A$1:$E$2104,5,0)</f>
        <v>Hare Law Crags</v>
      </c>
    </row>
    <row r="1383">
      <c r="A1383" s="3">
        <v>379.0</v>
      </c>
      <c r="B1383" s="3">
        <v>59.0</v>
      </c>
      <c r="C1383" s="3">
        <v>1.0</v>
      </c>
      <c r="D1383" t="str">
        <f>VLOOKUP(B1383,ERA_MOTIF_TYPES.csv!$A$1:$C$119,2,1)</f>
        <v>Cup and penannular</v>
      </c>
      <c r="E1383" t="str">
        <f>VLOOKUP(A1383,Panels!$A$1:$E$2104,5,0)</f>
        <v>Hare Law Crags</v>
      </c>
    </row>
    <row r="1384">
      <c r="A1384" s="3">
        <v>379.0</v>
      </c>
      <c r="B1384" s="3">
        <v>60.0</v>
      </c>
      <c r="C1384" s="3">
        <v>1.0</v>
      </c>
      <c r="D1384" t="str">
        <f>VLOOKUP(B1384,ERA_MOTIF_TYPES.csv!$A$1:$C$119,2,1)</f>
        <v>Cup and multiple penannulars</v>
      </c>
      <c r="E1384" t="str">
        <f>VLOOKUP(A1384,Panels!$A$1:$E$2104,5,0)</f>
        <v>Hare Law Crags</v>
      </c>
    </row>
    <row r="1385">
      <c r="A1385" s="3">
        <v>379.0</v>
      </c>
      <c r="B1385" s="3">
        <v>61.0</v>
      </c>
      <c r="C1385" s="3">
        <v>2.0</v>
      </c>
      <c r="D1385" t="str">
        <f>VLOOKUP(B1385,ERA_MOTIF_TYPES.csv!$A$1:$C$119,2,1)</f>
        <v>Cup and arc (or semi-ovoid)</v>
      </c>
      <c r="E1385" t="str">
        <f>VLOOKUP(A1385,Panels!$A$1:$E$2104,5,0)</f>
        <v>Hare Law Crags</v>
      </c>
    </row>
    <row r="1386">
      <c r="A1386" s="3">
        <v>379.0</v>
      </c>
      <c r="B1386" s="3">
        <v>69.0</v>
      </c>
      <c r="C1386" s="3">
        <v>1.0</v>
      </c>
      <c r="D1386" t="str">
        <f>VLOOKUP(B1386,ERA_MOTIF_TYPES.csv!$A$1:$C$119,2,1)</f>
        <v>Ring</v>
      </c>
      <c r="E1386" t="str">
        <f>VLOOKUP(A1386,Panels!$A$1:$E$2104,5,0)</f>
        <v>Hare Law Crags</v>
      </c>
    </row>
    <row r="1387">
      <c r="A1387" s="3">
        <v>379.0</v>
      </c>
      <c r="B1387" s="3">
        <v>71.0</v>
      </c>
      <c r="C1387" s="3">
        <v>3.0</v>
      </c>
      <c r="D1387" t="str">
        <f>VLOOKUP(B1387,ERA_MOTIF_TYPES.csv!$A$1:$C$119,2,1)</f>
        <v>Penannular</v>
      </c>
      <c r="E1387" t="str">
        <f>VLOOKUP(A1387,Panels!$A$1:$E$2104,5,0)</f>
        <v>Hare Law Crags</v>
      </c>
    </row>
    <row r="1388">
      <c r="A1388" s="3">
        <v>379.0</v>
      </c>
      <c r="B1388" s="3">
        <v>73.0</v>
      </c>
      <c r="C1388" s="3">
        <v>2.0</v>
      </c>
      <c r="D1388" t="str">
        <f>VLOOKUP(B1388,ERA_MOTIF_TYPES.csv!$A$1:$C$119,2,1)</f>
        <v>Arc</v>
      </c>
      <c r="E1388" t="str">
        <f>VLOOKUP(A1388,Panels!$A$1:$E$2104,5,0)</f>
        <v>Hare Law Crags</v>
      </c>
    </row>
    <row r="1389">
      <c r="A1389" s="3">
        <v>379.0</v>
      </c>
      <c r="B1389" s="3">
        <v>74.0</v>
      </c>
      <c r="C1389" s="3">
        <v>1.0</v>
      </c>
      <c r="D1389" t="str">
        <f>VLOOKUP(B1389,ERA_MOTIF_TYPES.csv!$A$1:$C$119,2,1)</f>
        <v>Multiple arcs</v>
      </c>
      <c r="E1389" t="str">
        <f>VLOOKUP(A1389,Panels!$A$1:$E$2104,5,0)</f>
        <v>Hare Law Crags</v>
      </c>
    </row>
    <row r="1390">
      <c r="A1390" s="3">
        <v>379.0</v>
      </c>
      <c r="B1390" s="3">
        <v>82.0</v>
      </c>
      <c r="C1390" s="3">
        <v>1.0</v>
      </c>
      <c r="D1390" t="str">
        <f>VLOOKUP(B1390,ERA_MOTIF_TYPES.csv!$A$1:$C$119,2,1)</f>
        <v>Rosette enclosed by a ring</v>
      </c>
      <c r="E1390" t="str">
        <f>VLOOKUP(A1390,Panels!$A$1:$E$2104,5,0)</f>
        <v>Hare Law Crags</v>
      </c>
    </row>
    <row r="1391">
      <c r="A1391" s="3">
        <v>379.0</v>
      </c>
      <c r="B1391" s="3">
        <v>101.0</v>
      </c>
      <c r="C1391" s="3">
        <v>1.0</v>
      </c>
      <c r="D1391" t="str">
        <f>VLOOKUP(B1391,ERA_MOTIF_TYPES.csv!$A$1:$C$119,2,1)</f>
        <v>Occulus</v>
      </c>
      <c r="E1391" t="str">
        <f>VLOOKUP(A1391,Panels!$A$1:$E$2104,5,0)</f>
        <v>Hare Law Crags</v>
      </c>
    </row>
    <row r="1392">
      <c r="A1392" s="3">
        <v>379.0</v>
      </c>
      <c r="B1392" s="3">
        <v>104.0</v>
      </c>
      <c r="C1392" s="3">
        <v>1.0</v>
      </c>
      <c r="D1392" t="str">
        <f>VLOOKUP(B1392,ERA_MOTIF_TYPES.csv!$A$1:$C$119,2,1)</f>
        <v>Angular groove around a cup</v>
      </c>
      <c r="E1392" t="str">
        <f>VLOOKUP(A1392,Panels!$A$1:$E$2104,5,0)</f>
        <v>Hare Law Crags</v>
      </c>
    </row>
    <row r="1393">
      <c r="A1393" s="3">
        <v>379.0</v>
      </c>
      <c r="B1393" s="3">
        <v>107.0</v>
      </c>
      <c r="C1393" s="3">
        <v>1.0</v>
      </c>
      <c r="D1393" t="str">
        <f>VLOOKUP(B1393,ERA_MOTIF_TYPES.csv!$A$1:$C$119,2,1)</f>
        <v>Cup and ring with exterior groove</v>
      </c>
      <c r="E1393" t="str">
        <f>VLOOKUP(A1393,Panels!$A$1:$E$2104,5,0)</f>
        <v>Hare Law Crags</v>
      </c>
    </row>
    <row r="1394">
      <c r="A1394" s="3">
        <v>380.0</v>
      </c>
      <c r="B1394" s="3">
        <v>1.0</v>
      </c>
      <c r="C1394" s="3">
        <v>12.0</v>
      </c>
      <c r="D1394" t="str">
        <f>VLOOKUP(B1394,ERA_MOTIF_TYPES.csv!$A$1:$C$119,2,1)</f>
        <v>Cups Single</v>
      </c>
      <c r="E1394" t="str">
        <f>VLOOKUP(A1394,Panels!$A$1:$E$2104,5,0)</f>
        <v>Black Bog Dean</v>
      </c>
    </row>
    <row r="1395">
      <c r="A1395" s="3">
        <v>380.0</v>
      </c>
      <c r="B1395" s="3">
        <v>10.0</v>
      </c>
      <c r="C1395" s="3">
        <v>1.0</v>
      </c>
      <c r="D1395" t="str">
        <f>VLOOKUP(B1395,ERA_MOTIF_TYPES.csv!$A$1:$C$119,2,1)</f>
        <v>Single Arc</v>
      </c>
      <c r="E1395" t="str">
        <f>VLOOKUP(A1395,Panels!$A$1:$E$2104,5,0)</f>
        <v>Black Bog Dean</v>
      </c>
    </row>
    <row r="1396">
      <c r="A1396" s="3">
        <v>380.0</v>
      </c>
      <c r="B1396" s="3">
        <v>35.0</v>
      </c>
      <c r="C1396" s="3">
        <v>1.0</v>
      </c>
      <c r="D1396" t="str">
        <f>VLOOKUP(B1396,ERA_MOTIF_TYPES.csv!$A$1:$C$119,2,1)</f>
        <v>Cup Groove and multi penannular</v>
      </c>
      <c r="E1396" t="str">
        <f>VLOOKUP(A1396,Panels!$A$1:$E$2104,5,0)</f>
        <v>Black Bog Dean</v>
      </c>
    </row>
    <row r="1397">
      <c r="A1397" s="3">
        <v>380.0</v>
      </c>
      <c r="B1397" s="3">
        <v>36.0</v>
      </c>
      <c r="C1397" s="3">
        <v>1.0</v>
      </c>
      <c r="D1397" t="str">
        <f>VLOOKUP(B1397,ERA_MOTIF_TYPES.csv!$A$1:$C$119,2,1)</f>
        <v>Cup Groove and arc</v>
      </c>
      <c r="E1397" t="str">
        <f>VLOOKUP(A1397,Panels!$A$1:$E$2104,5,0)</f>
        <v>Black Bog Dean</v>
      </c>
    </row>
    <row r="1398">
      <c r="A1398" s="3">
        <v>380.0</v>
      </c>
      <c r="B1398" s="3">
        <v>52.0</v>
      </c>
      <c r="C1398" s="3">
        <v>8.0</v>
      </c>
      <c r="D1398" t="str">
        <f>VLOOKUP(B1398,ERA_MOTIF_TYPES.csv!$A$1:$C$119,2,1)</f>
        <v>Single or multiple cups</v>
      </c>
      <c r="E1398" t="str">
        <f>VLOOKUP(A1398,Panels!$A$1:$E$2104,5,0)</f>
        <v>Black Bog Dean</v>
      </c>
    </row>
    <row r="1399">
      <c r="A1399" s="3">
        <v>380.0</v>
      </c>
      <c r="B1399" s="3">
        <v>65.0</v>
      </c>
      <c r="C1399" s="3">
        <v>3.0</v>
      </c>
      <c r="D1399" t="str">
        <f>VLOOKUP(B1399,ERA_MOTIF_TYPES.csv!$A$1:$C$119,2,1)</f>
        <v>Cup and groove with penannular</v>
      </c>
      <c r="E1399" t="str">
        <f>VLOOKUP(A1399,Panels!$A$1:$E$2104,5,0)</f>
        <v>Black Bog Dean</v>
      </c>
    </row>
    <row r="1400">
      <c r="A1400" s="3">
        <v>380.0</v>
      </c>
      <c r="B1400" s="3">
        <v>87.0</v>
      </c>
      <c r="C1400" s="3">
        <v>1.0</v>
      </c>
      <c r="D1400" t="str">
        <f>VLOOKUP(B1400,ERA_MOTIF_TYPES.csv!$A$1:$C$119,2,1)</f>
        <v>Linear and angular groove</v>
      </c>
      <c r="E1400" t="str">
        <f>VLOOKUP(A1400,Panels!$A$1:$E$2104,5,0)</f>
        <v>Black Bog Dean</v>
      </c>
    </row>
    <row r="1401">
      <c r="A1401" s="3">
        <v>382.0</v>
      </c>
      <c r="B1401" s="3">
        <v>11.0</v>
      </c>
      <c r="C1401" s="3">
        <v>1.0</v>
      </c>
      <c r="D1401" t="str">
        <f>VLOOKUP(B1401,ERA_MOTIF_TYPES.csv!$A$1:$C$119,2,1)</f>
        <v>Single Penannular</v>
      </c>
      <c r="E1401" t="str">
        <f>VLOOKUP(A1401,Panels!$A$1:$E$2104,5,0)</f>
        <v>Gled Law</v>
      </c>
    </row>
    <row r="1402">
      <c r="A1402" s="3">
        <v>382.0</v>
      </c>
      <c r="B1402" s="3">
        <v>13.0</v>
      </c>
      <c r="C1402" s="3">
        <v>3.0</v>
      </c>
      <c r="D1402" t="str">
        <f>VLOOKUP(B1402,ERA_MOTIF_TYPES.csv!$A$1:$C$119,2,1)</f>
        <v>Single Ring + cup</v>
      </c>
      <c r="E1402" t="str">
        <f>VLOOKUP(A1402,Panels!$A$1:$E$2104,5,0)</f>
        <v>Gled Law</v>
      </c>
    </row>
    <row r="1403">
      <c r="A1403" s="3">
        <v>390.0</v>
      </c>
      <c r="B1403" s="3">
        <v>34.0</v>
      </c>
      <c r="C1403" s="3">
        <v>1.0</v>
      </c>
      <c r="D1403" t="str">
        <f>VLOOKUP(B1403,ERA_MOTIF_TYPES.csv!$A$1:$C$119,2,1)</f>
        <v>Cup Groove and penannular</v>
      </c>
      <c r="E1403" t="str">
        <f>VLOOKUP(A1403,Panels!$A$1:$E$2104,5,0)</f>
        <v>Wandylaw</v>
      </c>
    </row>
    <row r="1404">
      <c r="A1404" s="3">
        <v>390.0</v>
      </c>
      <c r="B1404" s="3">
        <v>65.0</v>
      </c>
      <c r="C1404" s="3">
        <v>1.0</v>
      </c>
      <c r="D1404" t="str">
        <f>VLOOKUP(B1404,ERA_MOTIF_TYPES.csv!$A$1:$C$119,2,1)</f>
        <v>Cup and groove with penannular</v>
      </c>
      <c r="E1404" t="str">
        <f>VLOOKUP(A1404,Panels!$A$1:$E$2104,5,0)</f>
        <v>Wandylaw</v>
      </c>
    </row>
    <row r="1405">
      <c r="A1405" s="3">
        <v>391.0</v>
      </c>
      <c r="B1405" s="3">
        <v>1.0</v>
      </c>
      <c r="C1405" s="3">
        <v>16.0</v>
      </c>
      <c r="D1405" t="str">
        <f>VLOOKUP(B1405,ERA_MOTIF_TYPES.csv!$A$1:$C$119,2,1)</f>
        <v>Cups Single</v>
      </c>
      <c r="E1405" t="str">
        <f>VLOOKUP(A1405,Panels!$A$1:$E$2104,5,0)</f>
        <v>Wandylaw</v>
      </c>
    </row>
    <row r="1406">
      <c r="A1406" s="3">
        <v>392.0</v>
      </c>
      <c r="B1406" s="3">
        <v>31.0</v>
      </c>
      <c r="C1406" s="3">
        <v>1.0</v>
      </c>
      <c r="D1406" t="str">
        <f>VLOOKUP(B1406,ERA_MOTIF_TYPES.csv!$A$1:$C$119,2,1)</f>
        <v>Cup and Groove</v>
      </c>
      <c r="E1406" t="str">
        <f>VLOOKUP(A1406,Panels!$A$1:$E$2104,5,0)</f>
        <v>Weetwood Moor North</v>
      </c>
    </row>
    <row r="1407">
      <c r="A1407" s="3">
        <v>400.0</v>
      </c>
      <c r="B1407" s="3">
        <v>1.0</v>
      </c>
      <c r="C1407" s="3">
        <v>10.0</v>
      </c>
      <c r="D1407" t="str">
        <f>VLOOKUP(B1407,ERA_MOTIF_TYPES.csv!$A$1:$C$119,2,1)</f>
        <v>Cups Single</v>
      </c>
      <c r="E1407" t="str">
        <f>VLOOKUP(A1407,Panels!$A$1:$E$2104,5,0)</f>
        <v>Snook Bank</v>
      </c>
    </row>
    <row r="1408">
      <c r="A1408" s="3">
        <v>400.0</v>
      </c>
      <c r="B1408" s="3">
        <v>13.0</v>
      </c>
      <c r="C1408" s="3">
        <v>1.0</v>
      </c>
      <c r="D1408" t="str">
        <f>VLOOKUP(B1408,ERA_MOTIF_TYPES.csv!$A$1:$C$119,2,1)</f>
        <v>Single Ring + cup</v>
      </c>
      <c r="E1408" t="str">
        <f>VLOOKUP(A1408,Panels!$A$1:$E$2104,5,0)</f>
        <v>Snook Bank</v>
      </c>
    </row>
    <row r="1409">
      <c r="A1409" s="3">
        <v>400.0</v>
      </c>
      <c r="B1409" s="3">
        <v>17.0</v>
      </c>
      <c r="C1409" s="3">
        <v>1.0</v>
      </c>
      <c r="D1409" t="str">
        <f>VLOOKUP(B1409,ERA_MOTIF_TYPES.csv!$A$1:$C$119,2,1)</f>
        <v>Single Penannular + cup</v>
      </c>
      <c r="E1409" t="str">
        <f>VLOOKUP(A1409,Panels!$A$1:$E$2104,5,0)</f>
        <v>Snook Bank</v>
      </c>
    </row>
    <row r="1410">
      <c r="A1410" s="3">
        <v>400.0</v>
      </c>
      <c r="B1410" s="3">
        <v>52.0</v>
      </c>
      <c r="C1410" s="3">
        <v>18.0</v>
      </c>
      <c r="D1410" t="str">
        <f>VLOOKUP(B1410,ERA_MOTIF_TYPES.csv!$A$1:$C$119,2,1)</f>
        <v>Single or multiple cups</v>
      </c>
      <c r="E1410" t="str">
        <f>VLOOKUP(A1410,Panels!$A$1:$E$2104,5,0)</f>
        <v>Snook Bank</v>
      </c>
    </row>
    <row r="1411">
      <c r="A1411" s="3">
        <v>400.0</v>
      </c>
      <c r="B1411" s="3">
        <v>57.0</v>
      </c>
      <c r="C1411" s="3">
        <v>1.0</v>
      </c>
      <c r="D1411" t="str">
        <f>VLOOKUP(B1411,ERA_MOTIF_TYPES.csv!$A$1:$C$119,2,1)</f>
        <v>Cup and ring</v>
      </c>
      <c r="E1411" t="str">
        <f>VLOOKUP(A1411,Panels!$A$1:$E$2104,5,0)</f>
        <v>Snook Bank</v>
      </c>
    </row>
    <row r="1412">
      <c r="A1412" s="3">
        <v>400.0</v>
      </c>
      <c r="B1412" s="3">
        <v>59.0</v>
      </c>
      <c r="C1412" s="3">
        <v>2.0</v>
      </c>
      <c r="D1412" t="str">
        <f>VLOOKUP(B1412,ERA_MOTIF_TYPES.csv!$A$1:$C$119,2,1)</f>
        <v>Cup and penannular</v>
      </c>
      <c r="E1412" t="str">
        <f>VLOOKUP(A1412,Panels!$A$1:$E$2104,5,0)</f>
        <v>Snook Bank</v>
      </c>
    </row>
    <row r="1413">
      <c r="A1413" s="3">
        <v>400.0</v>
      </c>
      <c r="B1413" s="3">
        <v>105.0</v>
      </c>
      <c r="C1413" s="3">
        <v>1.0</v>
      </c>
      <c r="D1413" t="str">
        <f>VLOOKUP(B1413,ERA_MOTIF_TYPES.csv!$A$1:$C$119,2,1)</f>
        <v>Two cups linked by a groove</v>
      </c>
      <c r="E1413" t="str">
        <f>VLOOKUP(A1413,Panels!$A$1:$E$2104,5,0)</f>
        <v>Snook Bank</v>
      </c>
    </row>
    <row r="1414">
      <c r="A1414" s="3">
        <v>401.0</v>
      </c>
      <c r="B1414" s="3">
        <v>1.0</v>
      </c>
      <c r="C1414" s="3">
        <v>4.0</v>
      </c>
      <c r="D1414" t="str">
        <f>VLOOKUP(B1414,ERA_MOTIF_TYPES.csv!$A$1:$C$119,2,1)</f>
        <v>Cups Single</v>
      </c>
      <c r="E1414" t="str">
        <f>VLOOKUP(A1414,Panels!$A$1:$E$2104,5,0)</f>
        <v>Snook Bank</v>
      </c>
    </row>
    <row r="1415">
      <c r="A1415" s="3">
        <v>401.0</v>
      </c>
      <c r="B1415" s="3">
        <v>6.0</v>
      </c>
      <c r="C1415" s="3">
        <v>1.0</v>
      </c>
      <c r="D1415" t="str">
        <f>VLOOKUP(B1415,ERA_MOTIF_TYPES.csv!$A$1:$C$119,2,1)</f>
        <v>curved or straight line</v>
      </c>
      <c r="E1415" t="str">
        <f>VLOOKUP(A1415,Panels!$A$1:$E$2104,5,0)</f>
        <v>Snook Bank</v>
      </c>
    </row>
    <row r="1416">
      <c r="A1416" s="3">
        <v>401.0</v>
      </c>
      <c r="B1416" s="3">
        <v>25.0</v>
      </c>
      <c r="C1416" s="3">
        <v>1.0</v>
      </c>
      <c r="D1416" t="str">
        <f>VLOOKUP(B1416,ERA_MOTIF_TYPES.csv!$A$1:$C$119,2,1)</f>
        <v>Linear</v>
      </c>
      <c r="E1416" t="str">
        <f>VLOOKUP(A1416,Panels!$A$1:$E$2104,5,0)</f>
        <v>Snook Bank</v>
      </c>
    </row>
    <row r="1417">
      <c r="A1417" s="3">
        <v>401.0</v>
      </c>
      <c r="B1417" s="3">
        <v>52.0</v>
      </c>
      <c r="C1417" s="3">
        <v>13.0</v>
      </c>
      <c r="D1417" t="str">
        <f>VLOOKUP(B1417,ERA_MOTIF_TYPES.csv!$A$1:$C$119,2,1)</f>
        <v>Single or multiple cups</v>
      </c>
      <c r="E1417" t="str">
        <f>VLOOKUP(A1417,Panels!$A$1:$E$2104,5,0)</f>
        <v>Snook Bank</v>
      </c>
    </row>
    <row r="1418">
      <c r="A1418" s="3">
        <v>401.0</v>
      </c>
      <c r="B1418" s="3">
        <v>59.0</v>
      </c>
      <c r="C1418" s="3">
        <v>1.0</v>
      </c>
      <c r="D1418" t="str">
        <f>VLOOKUP(B1418,ERA_MOTIF_TYPES.csv!$A$1:$C$119,2,1)</f>
        <v>Cup and penannular</v>
      </c>
      <c r="E1418" t="str">
        <f>VLOOKUP(A1418,Panels!$A$1:$E$2104,5,0)</f>
        <v>Snook Bank</v>
      </c>
    </row>
    <row r="1419">
      <c r="A1419" s="3">
        <v>401.0</v>
      </c>
      <c r="B1419" s="3">
        <v>61.0</v>
      </c>
      <c r="C1419" s="3">
        <v>1.0</v>
      </c>
      <c r="D1419" t="str">
        <f>VLOOKUP(B1419,ERA_MOTIF_TYPES.csv!$A$1:$C$119,2,1)</f>
        <v>Cup and arc (or semi-ovoid)</v>
      </c>
      <c r="E1419" t="str">
        <f>VLOOKUP(A1419,Panels!$A$1:$E$2104,5,0)</f>
        <v>Snook Bank</v>
      </c>
    </row>
    <row r="1420">
      <c r="A1420" s="3">
        <v>402.0</v>
      </c>
      <c r="B1420" s="3">
        <v>50.0</v>
      </c>
      <c r="C1420" s="3">
        <v>5.0</v>
      </c>
      <c r="D1420" t="str">
        <f>VLOOKUP(B1420,ERA_MOTIF_TYPES.csv!$A$1:$C$119,2,1)</f>
        <v>Channels</v>
      </c>
      <c r="E1420" t="str">
        <f>VLOOKUP(A1420,Panels!$A$1:$E$2104,5,0)</f>
        <v>Snook Bank</v>
      </c>
    </row>
    <row r="1421">
      <c r="A1421" s="3">
        <v>402.0</v>
      </c>
      <c r="B1421" s="3">
        <v>51.0</v>
      </c>
      <c r="C1421" s="3">
        <v>1.0</v>
      </c>
      <c r="D1421" t="str">
        <f>VLOOKUP(B1421,ERA_MOTIF_TYPES.csv!$A$1:$C$119,2,1)</f>
        <v>Bowls</v>
      </c>
      <c r="E1421" t="str">
        <f>VLOOKUP(A1421,Panels!$A$1:$E$2104,5,0)</f>
        <v>Snook Bank</v>
      </c>
    </row>
    <row r="1422">
      <c r="A1422" s="3">
        <v>402.0</v>
      </c>
      <c r="B1422" s="3">
        <v>52.0</v>
      </c>
      <c r="C1422" s="3">
        <v>1.0</v>
      </c>
      <c r="D1422" t="str">
        <f>VLOOKUP(B1422,ERA_MOTIF_TYPES.csv!$A$1:$C$119,2,1)</f>
        <v>Single or multiple cups</v>
      </c>
      <c r="E1422" t="str">
        <f>VLOOKUP(A1422,Panels!$A$1:$E$2104,5,0)</f>
        <v>Snook Bank</v>
      </c>
    </row>
    <row r="1423">
      <c r="A1423" s="3">
        <v>403.0</v>
      </c>
      <c r="B1423" s="3">
        <v>1.0</v>
      </c>
      <c r="C1423" s="3">
        <v>1.0</v>
      </c>
      <c r="D1423" t="str">
        <f>VLOOKUP(B1423,ERA_MOTIF_TYPES.csv!$A$1:$C$119,2,1)</f>
        <v>Cups Single</v>
      </c>
      <c r="E1423" t="str">
        <f>VLOOKUP(A1423,Panels!$A$1:$E$2104,5,0)</f>
        <v>Snook Bank</v>
      </c>
    </row>
    <row r="1424">
      <c r="A1424" s="3">
        <v>403.0</v>
      </c>
      <c r="B1424" s="3">
        <v>52.0</v>
      </c>
      <c r="C1424" s="3">
        <v>1.0</v>
      </c>
      <c r="D1424" t="str">
        <f>VLOOKUP(B1424,ERA_MOTIF_TYPES.csv!$A$1:$C$119,2,1)</f>
        <v>Single or multiple cups</v>
      </c>
      <c r="E1424" t="str">
        <f>VLOOKUP(A1424,Panels!$A$1:$E$2104,5,0)</f>
        <v>Snook Bank</v>
      </c>
    </row>
    <row r="1425">
      <c r="A1425" s="3">
        <v>403.0</v>
      </c>
      <c r="B1425" s="3">
        <v>93.0</v>
      </c>
      <c r="C1425" s="3">
        <v>3.0</v>
      </c>
      <c r="D1425" t="str">
        <f>VLOOKUP(B1425,ERA_MOTIF_TYPES.csv!$A$1:$C$119,2,1)</f>
        <v>Midget cup</v>
      </c>
      <c r="E1425" t="str">
        <f>VLOOKUP(A1425,Panels!$A$1:$E$2104,5,0)</f>
        <v>Snook Bank</v>
      </c>
    </row>
    <row r="1426">
      <c r="A1426" s="3">
        <v>404.0</v>
      </c>
      <c r="B1426" s="3">
        <v>16.0</v>
      </c>
      <c r="C1426" s="3">
        <v>1.0</v>
      </c>
      <c r="D1426" t="str">
        <f>VLOOKUP(B1426,ERA_MOTIF_TYPES.csv!$A$1:$C$119,2,1)</f>
        <v>Single Arc + cup</v>
      </c>
      <c r="E1426" t="str">
        <f>VLOOKUP(A1426,Panels!$A$1:$E$2104,5,0)</f>
        <v>Snook Bank</v>
      </c>
    </row>
    <row r="1427">
      <c r="A1427" s="3">
        <v>404.0</v>
      </c>
      <c r="B1427" s="3">
        <v>52.0</v>
      </c>
      <c r="C1427" s="3">
        <v>8.0</v>
      </c>
      <c r="D1427" t="str">
        <f>VLOOKUP(B1427,ERA_MOTIF_TYPES.csv!$A$1:$C$119,2,1)</f>
        <v>Single or multiple cups</v>
      </c>
      <c r="E1427" t="str">
        <f>VLOOKUP(A1427,Panels!$A$1:$E$2104,5,0)</f>
        <v>Snook Bank</v>
      </c>
    </row>
    <row r="1428">
      <c r="A1428" s="3">
        <v>404.0</v>
      </c>
      <c r="B1428" s="3">
        <v>57.0</v>
      </c>
      <c r="C1428" s="3">
        <v>1.0</v>
      </c>
      <c r="D1428" t="str">
        <f>VLOOKUP(B1428,ERA_MOTIF_TYPES.csv!$A$1:$C$119,2,1)</f>
        <v>Cup and ring</v>
      </c>
      <c r="E1428" t="str">
        <f>VLOOKUP(A1428,Panels!$A$1:$E$2104,5,0)</f>
        <v>Snook Bank</v>
      </c>
    </row>
    <row r="1429">
      <c r="A1429" s="3">
        <v>404.0</v>
      </c>
      <c r="B1429" s="3">
        <v>110.0</v>
      </c>
      <c r="C1429" s="3">
        <v>1.0</v>
      </c>
      <c r="D1429" t="str">
        <f>VLOOKUP(B1429,ERA_MOTIF_TYPES.csv!$A$1:$C$119,2,1)</f>
        <v>Curved groove</v>
      </c>
      <c r="E1429" t="str">
        <f>VLOOKUP(A1429,Panels!$A$1:$E$2104,5,0)</f>
        <v>Snook Bank</v>
      </c>
    </row>
    <row r="1430">
      <c r="A1430" s="3">
        <v>405.0</v>
      </c>
      <c r="B1430" s="3">
        <v>1.0</v>
      </c>
      <c r="C1430" s="3">
        <v>3.0</v>
      </c>
      <c r="D1430" t="str">
        <f>VLOOKUP(B1430,ERA_MOTIF_TYPES.csv!$A$1:$C$119,2,1)</f>
        <v>Cups Single</v>
      </c>
      <c r="E1430" t="str">
        <f>VLOOKUP(A1430,Panels!$A$1:$E$2104,5,0)</f>
        <v>Snook Bank</v>
      </c>
    </row>
    <row r="1431">
      <c r="A1431" s="3">
        <v>405.0</v>
      </c>
      <c r="B1431" s="3">
        <v>52.0</v>
      </c>
      <c r="C1431" s="3">
        <v>4.0</v>
      </c>
      <c r="D1431" t="str">
        <f>VLOOKUP(B1431,ERA_MOTIF_TYPES.csv!$A$1:$C$119,2,1)</f>
        <v>Single or multiple cups</v>
      </c>
      <c r="E1431" t="str">
        <f>VLOOKUP(A1431,Panels!$A$1:$E$2104,5,0)</f>
        <v>Snook Bank</v>
      </c>
    </row>
    <row r="1432">
      <c r="A1432" s="3">
        <v>406.0</v>
      </c>
      <c r="B1432" s="3">
        <v>1.0</v>
      </c>
      <c r="C1432" s="3">
        <v>4.0</v>
      </c>
      <c r="D1432" t="str">
        <f>VLOOKUP(B1432,ERA_MOTIF_TYPES.csv!$A$1:$C$119,2,1)</f>
        <v>Cups Single</v>
      </c>
      <c r="E1432" t="str">
        <f>VLOOKUP(A1432,Panels!$A$1:$E$2104,5,0)</f>
        <v>Snook Bank</v>
      </c>
    </row>
    <row r="1433">
      <c r="A1433" s="3">
        <v>406.0</v>
      </c>
      <c r="B1433" s="3">
        <v>52.0</v>
      </c>
      <c r="C1433" s="3">
        <v>4.0</v>
      </c>
      <c r="D1433" t="str">
        <f>VLOOKUP(B1433,ERA_MOTIF_TYPES.csv!$A$1:$C$119,2,1)</f>
        <v>Single or multiple cups</v>
      </c>
      <c r="E1433" t="str">
        <f>VLOOKUP(A1433,Panels!$A$1:$E$2104,5,0)</f>
        <v>Snook Bank</v>
      </c>
    </row>
    <row r="1434">
      <c r="A1434" s="3">
        <v>407.0</v>
      </c>
      <c r="B1434" s="3">
        <v>1.0</v>
      </c>
      <c r="C1434" s="3">
        <v>2.0</v>
      </c>
      <c r="D1434" t="str">
        <f>VLOOKUP(B1434,ERA_MOTIF_TYPES.csv!$A$1:$C$119,2,1)</f>
        <v>Cups Single</v>
      </c>
      <c r="E1434" t="str">
        <f>VLOOKUP(A1434,Panels!$A$1:$E$2104,5,0)</f>
        <v>Snook Bank</v>
      </c>
    </row>
    <row r="1435">
      <c r="A1435" s="3">
        <v>407.0</v>
      </c>
      <c r="B1435" s="3">
        <v>52.0</v>
      </c>
      <c r="C1435" s="3">
        <v>3.0</v>
      </c>
      <c r="D1435" t="str">
        <f>VLOOKUP(B1435,ERA_MOTIF_TYPES.csv!$A$1:$C$119,2,1)</f>
        <v>Single or multiple cups</v>
      </c>
      <c r="E1435" t="str">
        <f>VLOOKUP(A1435,Panels!$A$1:$E$2104,5,0)</f>
        <v>Snook Bank</v>
      </c>
    </row>
    <row r="1436">
      <c r="A1436" s="3">
        <v>408.0</v>
      </c>
      <c r="B1436" s="3">
        <v>52.0</v>
      </c>
      <c r="C1436" s="3">
        <v>9.0</v>
      </c>
      <c r="D1436" t="str">
        <f>VLOOKUP(B1436,ERA_MOTIF_TYPES.csv!$A$1:$C$119,2,1)</f>
        <v>Single or multiple cups</v>
      </c>
      <c r="E1436" t="str">
        <f>VLOOKUP(A1436,Panels!$A$1:$E$2104,5,0)</f>
        <v>Snook Bank</v>
      </c>
    </row>
    <row r="1437">
      <c r="A1437" s="3">
        <v>408.0</v>
      </c>
      <c r="B1437" s="3">
        <v>57.0</v>
      </c>
      <c r="C1437" s="3">
        <v>1.0</v>
      </c>
      <c r="D1437" t="str">
        <f>VLOOKUP(B1437,ERA_MOTIF_TYPES.csv!$A$1:$C$119,2,1)</f>
        <v>Cup and ring</v>
      </c>
      <c r="E1437" t="str">
        <f>VLOOKUP(A1437,Panels!$A$1:$E$2104,5,0)</f>
        <v>Snook Bank</v>
      </c>
    </row>
    <row r="1438">
      <c r="A1438" s="3">
        <v>408.0</v>
      </c>
      <c r="B1438" s="3">
        <v>61.0</v>
      </c>
      <c r="C1438" s="3">
        <v>1.0</v>
      </c>
      <c r="D1438" t="str">
        <f>VLOOKUP(B1438,ERA_MOTIF_TYPES.csv!$A$1:$C$119,2,1)</f>
        <v>Cup and arc (or semi-ovoid)</v>
      </c>
      <c r="E1438" t="str">
        <f>VLOOKUP(A1438,Panels!$A$1:$E$2104,5,0)</f>
        <v>Snook Bank</v>
      </c>
    </row>
    <row r="1439">
      <c r="A1439" s="3">
        <v>408.0</v>
      </c>
      <c r="B1439" s="3">
        <v>63.0</v>
      </c>
      <c r="C1439" s="3">
        <v>2.0</v>
      </c>
      <c r="D1439" t="str">
        <f>VLOOKUP(B1439,ERA_MOTIF_TYPES.csv!$A$1:$C$119,2,1)</f>
        <v>Cup with groove cutting through ring</v>
      </c>
      <c r="E1439" t="str">
        <f>VLOOKUP(A1439,Panels!$A$1:$E$2104,5,0)</f>
        <v>Snook Bank</v>
      </c>
    </row>
    <row r="1440">
      <c r="A1440" s="3">
        <v>408.0</v>
      </c>
      <c r="B1440" s="3">
        <v>87.0</v>
      </c>
      <c r="C1440" s="3">
        <v>2.0</v>
      </c>
      <c r="D1440" t="str">
        <f>VLOOKUP(B1440,ERA_MOTIF_TYPES.csv!$A$1:$C$119,2,1)</f>
        <v>Linear and angular groove</v>
      </c>
      <c r="E1440" t="str">
        <f>VLOOKUP(A1440,Panels!$A$1:$E$2104,5,0)</f>
        <v>Snook Bank</v>
      </c>
    </row>
    <row r="1441">
      <c r="A1441" s="3">
        <v>408.0</v>
      </c>
      <c r="B1441" s="3">
        <v>103.0</v>
      </c>
      <c r="C1441" s="3">
        <v>2.0</v>
      </c>
      <c r="D1441" t="str">
        <f>VLOOKUP(B1441,ERA_MOTIF_TYPES.csv!$A$1:$C$119,2,1)</f>
        <v>Cup and groove</v>
      </c>
      <c r="E1441" t="str">
        <f>VLOOKUP(A1441,Panels!$A$1:$E$2104,5,0)</f>
        <v>Snook Bank</v>
      </c>
    </row>
    <row r="1442">
      <c r="A1442" s="3">
        <v>408.0</v>
      </c>
      <c r="B1442" s="3">
        <v>107.0</v>
      </c>
      <c r="C1442" s="3">
        <v>1.0</v>
      </c>
      <c r="D1442" t="str">
        <f>VLOOKUP(B1442,ERA_MOTIF_TYPES.csv!$A$1:$C$119,2,1)</f>
        <v>Cup and ring with exterior groove</v>
      </c>
      <c r="E1442" t="str">
        <f>VLOOKUP(A1442,Panels!$A$1:$E$2104,5,0)</f>
        <v>Snook Bank</v>
      </c>
    </row>
    <row r="1443">
      <c r="A1443" s="3">
        <v>408.0</v>
      </c>
      <c r="B1443" s="3">
        <v>110.0</v>
      </c>
      <c r="C1443" s="3">
        <v>3.0</v>
      </c>
      <c r="D1443" t="str">
        <f>VLOOKUP(B1443,ERA_MOTIF_TYPES.csv!$A$1:$C$119,2,1)</f>
        <v>Curved groove</v>
      </c>
      <c r="E1443" t="str">
        <f>VLOOKUP(A1443,Panels!$A$1:$E$2104,5,0)</f>
        <v>Snook Bank</v>
      </c>
    </row>
    <row r="1444">
      <c r="A1444" s="3">
        <v>409.0</v>
      </c>
      <c r="B1444" s="3">
        <v>1.0</v>
      </c>
      <c r="C1444" s="3">
        <v>8.0</v>
      </c>
      <c r="D1444" t="str">
        <f>VLOOKUP(B1444,ERA_MOTIF_TYPES.csv!$A$1:$C$119,2,1)</f>
        <v>Cups Single</v>
      </c>
      <c r="E1444" t="str">
        <f>VLOOKUP(A1444,Panels!$A$1:$E$2104,5,0)</f>
        <v>Snook Bank</v>
      </c>
    </row>
    <row r="1445">
      <c r="A1445" s="3">
        <v>409.0</v>
      </c>
      <c r="B1445" s="3">
        <v>13.0</v>
      </c>
      <c r="C1445" s="3">
        <v>1.0</v>
      </c>
      <c r="D1445" t="str">
        <f>VLOOKUP(B1445,ERA_MOTIF_TYPES.csv!$A$1:$C$119,2,1)</f>
        <v>Single Ring + cup</v>
      </c>
      <c r="E1445" t="str">
        <f>VLOOKUP(A1445,Panels!$A$1:$E$2104,5,0)</f>
        <v>Snook Bank</v>
      </c>
    </row>
    <row r="1446">
      <c r="A1446" s="3">
        <v>409.0</v>
      </c>
      <c r="B1446" s="3">
        <v>25.0</v>
      </c>
      <c r="C1446" s="3">
        <v>1.0</v>
      </c>
      <c r="D1446" t="str">
        <f>VLOOKUP(B1446,ERA_MOTIF_TYPES.csv!$A$1:$C$119,2,1)</f>
        <v>Linear</v>
      </c>
      <c r="E1446" t="str">
        <f>VLOOKUP(A1446,Panels!$A$1:$E$2104,5,0)</f>
        <v>Snook Bank</v>
      </c>
    </row>
    <row r="1447">
      <c r="A1447" s="3">
        <v>409.0</v>
      </c>
      <c r="B1447" s="3">
        <v>52.0</v>
      </c>
      <c r="C1447" s="3">
        <v>2.0</v>
      </c>
      <c r="D1447" t="str">
        <f>VLOOKUP(B1447,ERA_MOTIF_TYPES.csv!$A$1:$C$119,2,1)</f>
        <v>Single or multiple cups</v>
      </c>
      <c r="E1447" t="str">
        <f>VLOOKUP(A1447,Panels!$A$1:$E$2104,5,0)</f>
        <v>Snook Bank</v>
      </c>
    </row>
    <row r="1448">
      <c r="A1448" s="3">
        <v>409.0</v>
      </c>
      <c r="B1448" s="3">
        <v>57.0</v>
      </c>
      <c r="C1448" s="3">
        <v>3.0</v>
      </c>
      <c r="D1448" t="str">
        <f>VLOOKUP(B1448,ERA_MOTIF_TYPES.csv!$A$1:$C$119,2,1)</f>
        <v>Cup and ring</v>
      </c>
      <c r="E1448" t="str">
        <f>VLOOKUP(A1448,Panels!$A$1:$E$2104,5,0)</f>
        <v>Snook Bank</v>
      </c>
    </row>
    <row r="1449">
      <c r="A1449" s="3">
        <v>410.0</v>
      </c>
      <c r="B1449" s="3">
        <v>1.0</v>
      </c>
      <c r="C1449" s="3">
        <v>2.0</v>
      </c>
      <c r="D1449" t="str">
        <f>VLOOKUP(B1449,ERA_MOTIF_TYPES.csv!$A$1:$C$119,2,1)</f>
        <v>Cups Single</v>
      </c>
      <c r="E1449" t="str">
        <f>VLOOKUP(A1449,Panels!$A$1:$E$2104,5,0)</f>
        <v>Snook Bank</v>
      </c>
    </row>
    <row r="1450">
      <c r="A1450" s="3">
        <v>410.0</v>
      </c>
      <c r="B1450" s="3">
        <v>52.0</v>
      </c>
      <c r="C1450" s="3">
        <v>3.0</v>
      </c>
      <c r="D1450" t="str">
        <f>VLOOKUP(B1450,ERA_MOTIF_TYPES.csv!$A$1:$C$119,2,1)</f>
        <v>Single or multiple cups</v>
      </c>
      <c r="E1450" t="str">
        <f>VLOOKUP(A1450,Panels!$A$1:$E$2104,5,0)</f>
        <v>Snook Bank</v>
      </c>
    </row>
    <row r="1451">
      <c r="A1451" s="3">
        <v>411.0</v>
      </c>
      <c r="B1451" s="3">
        <v>1.0</v>
      </c>
      <c r="C1451" s="3">
        <v>25.0</v>
      </c>
      <c r="D1451" t="str">
        <f>VLOOKUP(B1451,ERA_MOTIF_TYPES.csv!$A$1:$C$119,2,1)</f>
        <v>Cups Single</v>
      </c>
      <c r="E1451" t="str">
        <f>VLOOKUP(A1451,Panels!$A$1:$E$2104,5,0)</f>
        <v>Snook Bank</v>
      </c>
    </row>
    <row r="1452">
      <c r="A1452" s="3">
        <v>411.0</v>
      </c>
      <c r="B1452" s="3">
        <v>13.0</v>
      </c>
      <c r="C1452" s="3">
        <v>4.0</v>
      </c>
      <c r="D1452" t="str">
        <f>VLOOKUP(B1452,ERA_MOTIF_TYPES.csv!$A$1:$C$119,2,1)</f>
        <v>Single Ring + cup</v>
      </c>
      <c r="E1452" t="str">
        <f>VLOOKUP(A1452,Panels!$A$1:$E$2104,5,0)</f>
        <v>Snook Bank</v>
      </c>
    </row>
    <row r="1453">
      <c r="A1453" s="3">
        <v>411.0</v>
      </c>
      <c r="B1453" s="3">
        <v>17.0</v>
      </c>
      <c r="C1453" s="3">
        <v>4.0</v>
      </c>
      <c r="D1453" t="str">
        <f>VLOOKUP(B1453,ERA_MOTIF_TYPES.csv!$A$1:$C$119,2,1)</f>
        <v>Single Penannular + cup</v>
      </c>
      <c r="E1453" t="str">
        <f>VLOOKUP(A1453,Panels!$A$1:$E$2104,5,0)</f>
        <v>Snook Bank</v>
      </c>
    </row>
    <row r="1454">
      <c r="A1454" s="3">
        <v>411.0</v>
      </c>
      <c r="B1454" s="3">
        <v>32.0</v>
      </c>
      <c r="C1454" s="3">
        <v>2.0</v>
      </c>
      <c r="D1454" t="str">
        <f>VLOOKUP(B1454,ERA_MOTIF_TYPES.csv!$A$1:$C$119,2,1)</f>
        <v>Cup Groove and single ring</v>
      </c>
      <c r="E1454" t="str">
        <f>VLOOKUP(A1454,Panels!$A$1:$E$2104,5,0)</f>
        <v>Snook Bank</v>
      </c>
    </row>
    <row r="1455">
      <c r="A1455" s="3">
        <v>411.0</v>
      </c>
      <c r="B1455" s="3">
        <v>52.0</v>
      </c>
      <c r="C1455" s="3">
        <v>34.0</v>
      </c>
      <c r="D1455" t="str">
        <f>VLOOKUP(B1455,ERA_MOTIF_TYPES.csv!$A$1:$C$119,2,1)</f>
        <v>Single or multiple cups</v>
      </c>
      <c r="E1455" t="str">
        <f>VLOOKUP(A1455,Panels!$A$1:$E$2104,5,0)</f>
        <v>Snook Bank</v>
      </c>
    </row>
    <row r="1456">
      <c r="A1456" s="3">
        <v>411.0</v>
      </c>
      <c r="B1456" s="3">
        <v>56.0</v>
      </c>
      <c r="C1456" s="3">
        <v>1.0</v>
      </c>
      <c r="D1456" t="str">
        <f>VLOOKUP(B1456,ERA_MOTIF_TYPES.csv!$A$1:$C$119,2,1)</f>
        <v>Cups countersunk</v>
      </c>
      <c r="E1456" t="str">
        <f>VLOOKUP(A1456,Panels!$A$1:$E$2104,5,0)</f>
        <v>Snook Bank</v>
      </c>
    </row>
    <row r="1457">
      <c r="A1457" s="3">
        <v>411.0</v>
      </c>
      <c r="B1457" s="3">
        <v>57.0</v>
      </c>
      <c r="C1457" s="3">
        <v>8.0</v>
      </c>
      <c r="D1457" t="str">
        <f>VLOOKUP(B1457,ERA_MOTIF_TYPES.csv!$A$1:$C$119,2,1)</f>
        <v>Cup and ring</v>
      </c>
      <c r="E1457" t="str">
        <f>VLOOKUP(A1457,Panels!$A$1:$E$2104,5,0)</f>
        <v>Snook Bank</v>
      </c>
    </row>
    <row r="1458">
      <c r="A1458" s="3">
        <v>411.0</v>
      </c>
      <c r="B1458" s="3">
        <v>59.0</v>
      </c>
      <c r="C1458" s="3">
        <v>1.0</v>
      </c>
      <c r="D1458" t="str">
        <f>VLOOKUP(B1458,ERA_MOTIF_TYPES.csv!$A$1:$C$119,2,1)</f>
        <v>Cup and penannular</v>
      </c>
      <c r="E1458" t="str">
        <f>VLOOKUP(A1458,Panels!$A$1:$E$2104,5,0)</f>
        <v>Snook Bank</v>
      </c>
    </row>
    <row r="1459">
      <c r="A1459" s="3">
        <v>411.0</v>
      </c>
      <c r="B1459" s="3">
        <v>61.0</v>
      </c>
      <c r="C1459" s="3">
        <v>5.0</v>
      </c>
      <c r="D1459" t="str">
        <f>VLOOKUP(B1459,ERA_MOTIF_TYPES.csv!$A$1:$C$119,2,1)</f>
        <v>Cup and arc (or semi-ovoid)</v>
      </c>
      <c r="E1459" t="str">
        <f>VLOOKUP(A1459,Panels!$A$1:$E$2104,5,0)</f>
        <v>Snook Bank</v>
      </c>
    </row>
    <row r="1460">
      <c r="A1460" s="3">
        <v>411.0</v>
      </c>
      <c r="B1460" s="3">
        <v>63.0</v>
      </c>
      <c r="C1460" s="3">
        <v>2.0</v>
      </c>
      <c r="D1460" t="str">
        <f>VLOOKUP(B1460,ERA_MOTIF_TYPES.csv!$A$1:$C$119,2,1)</f>
        <v>Cup with groove cutting through ring</v>
      </c>
      <c r="E1460" t="str">
        <f>VLOOKUP(A1460,Panels!$A$1:$E$2104,5,0)</f>
        <v>Snook Bank</v>
      </c>
    </row>
    <row r="1461">
      <c r="A1461" s="3">
        <v>411.0</v>
      </c>
      <c r="B1461" s="3">
        <v>69.0</v>
      </c>
      <c r="C1461" s="3">
        <v>2.0</v>
      </c>
      <c r="D1461" t="str">
        <f>VLOOKUP(B1461,ERA_MOTIF_TYPES.csv!$A$1:$C$119,2,1)</f>
        <v>Ring</v>
      </c>
      <c r="E1461" t="str">
        <f>VLOOKUP(A1461,Panels!$A$1:$E$2104,5,0)</f>
        <v>Snook Bank</v>
      </c>
    </row>
    <row r="1462">
      <c r="A1462" s="3">
        <v>411.0</v>
      </c>
      <c r="B1462" s="3">
        <v>73.0</v>
      </c>
      <c r="C1462" s="3">
        <v>1.0</v>
      </c>
      <c r="D1462" t="str">
        <f>VLOOKUP(B1462,ERA_MOTIF_TYPES.csv!$A$1:$C$119,2,1)</f>
        <v>Arc</v>
      </c>
      <c r="E1462" t="str">
        <f>VLOOKUP(A1462,Panels!$A$1:$E$2104,5,0)</f>
        <v>Snook Bank</v>
      </c>
    </row>
    <row r="1463">
      <c r="A1463" s="3">
        <v>411.0</v>
      </c>
      <c r="B1463" s="3">
        <v>84.0</v>
      </c>
      <c r="C1463" s="3">
        <v>1.0</v>
      </c>
      <c r="D1463" t="str">
        <f>VLOOKUP(B1463,ERA_MOTIF_TYPES.csv!$A$1:$C$119,2,1)</f>
        <v>Oval groove enclosing cups</v>
      </c>
      <c r="E1463" t="str">
        <f>VLOOKUP(A1463,Panels!$A$1:$E$2104,5,0)</f>
        <v>Snook Bank</v>
      </c>
    </row>
    <row r="1464">
      <c r="A1464" s="3">
        <v>411.0</v>
      </c>
      <c r="B1464" s="3">
        <v>100.0</v>
      </c>
      <c r="C1464" s="3">
        <v>1.0</v>
      </c>
      <c r="D1464" t="str">
        <f>VLOOKUP(B1464,ERA_MOTIF_TYPES.csv!$A$1:$C$119,2,1)</f>
        <v>Pick marks</v>
      </c>
      <c r="E1464" t="str">
        <f>VLOOKUP(A1464,Panels!$A$1:$E$2104,5,0)</f>
        <v>Snook Bank</v>
      </c>
    </row>
    <row r="1465">
      <c r="A1465" s="3">
        <v>411.0</v>
      </c>
      <c r="B1465" s="3">
        <v>103.0</v>
      </c>
      <c r="C1465" s="3">
        <v>2.0</v>
      </c>
      <c r="D1465" t="str">
        <f>VLOOKUP(B1465,ERA_MOTIF_TYPES.csv!$A$1:$C$119,2,1)</f>
        <v>Cup and groove</v>
      </c>
      <c r="E1465" t="str">
        <f>VLOOKUP(A1465,Panels!$A$1:$E$2104,5,0)</f>
        <v>Snook Bank</v>
      </c>
    </row>
    <row r="1466">
      <c r="A1466" s="3">
        <v>411.0</v>
      </c>
      <c r="B1466" s="3">
        <v>105.0</v>
      </c>
      <c r="C1466" s="3">
        <v>2.0</v>
      </c>
      <c r="D1466" t="str">
        <f>VLOOKUP(B1466,ERA_MOTIF_TYPES.csv!$A$1:$C$119,2,1)</f>
        <v>Two cups linked by a groove</v>
      </c>
      <c r="E1466" t="str">
        <f>VLOOKUP(A1466,Panels!$A$1:$E$2104,5,0)</f>
        <v>Snook Bank</v>
      </c>
    </row>
    <row r="1467">
      <c r="A1467" s="3">
        <v>411.0</v>
      </c>
      <c r="B1467" s="3">
        <v>107.0</v>
      </c>
      <c r="C1467" s="3">
        <v>3.0</v>
      </c>
      <c r="D1467" t="str">
        <f>VLOOKUP(B1467,ERA_MOTIF_TYPES.csv!$A$1:$C$119,2,1)</f>
        <v>Cup and ring with exterior groove</v>
      </c>
      <c r="E1467" t="str">
        <f>VLOOKUP(A1467,Panels!$A$1:$E$2104,5,0)</f>
        <v>Snook Bank</v>
      </c>
    </row>
    <row r="1468">
      <c r="A1468" s="3">
        <v>411.0</v>
      </c>
      <c r="B1468" s="3">
        <v>110.0</v>
      </c>
      <c r="C1468" s="3">
        <v>3.0</v>
      </c>
      <c r="D1468" t="str">
        <f>VLOOKUP(B1468,ERA_MOTIF_TYPES.csv!$A$1:$C$119,2,1)</f>
        <v>Curved groove</v>
      </c>
      <c r="E1468" t="str">
        <f>VLOOKUP(A1468,Panels!$A$1:$E$2104,5,0)</f>
        <v>Snook Bank</v>
      </c>
    </row>
    <row r="1469">
      <c r="A1469" s="3">
        <v>412.0</v>
      </c>
      <c r="B1469" s="3">
        <v>1.0</v>
      </c>
      <c r="C1469" s="3">
        <v>2.0</v>
      </c>
      <c r="D1469" t="str">
        <f>VLOOKUP(B1469,ERA_MOTIF_TYPES.csv!$A$1:$C$119,2,1)</f>
        <v>Cups Single</v>
      </c>
      <c r="E1469" t="str">
        <f>VLOOKUP(A1469,Panels!$A$1:$E$2104,5,0)</f>
        <v>Snook Bank</v>
      </c>
    </row>
    <row r="1470">
      <c r="A1470" s="3">
        <v>412.0</v>
      </c>
      <c r="B1470" s="3">
        <v>13.0</v>
      </c>
      <c r="C1470" s="3">
        <v>4.0</v>
      </c>
      <c r="D1470" t="str">
        <f>VLOOKUP(B1470,ERA_MOTIF_TYPES.csv!$A$1:$C$119,2,1)</f>
        <v>Single Ring + cup</v>
      </c>
      <c r="E1470" t="str">
        <f>VLOOKUP(A1470,Panels!$A$1:$E$2104,5,0)</f>
        <v>Snook Bank</v>
      </c>
    </row>
    <row r="1471">
      <c r="A1471" s="3">
        <v>412.0</v>
      </c>
      <c r="B1471" s="3">
        <v>27.0</v>
      </c>
      <c r="C1471" s="3">
        <v>1.0</v>
      </c>
      <c r="D1471" t="str">
        <f>VLOOKUP(B1471,ERA_MOTIF_TYPES.csv!$A$1:$C$119,2,1)</f>
        <v>Serpentine</v>
      </c>
      <c r="E1471" t="str">
        <f>VLOOKUP(A1471,Panels!$A$1:$E$2104,5,0)</f>
        <v>Snook Bank</v>
      </c>
    </row>
    <row r="1472">
      <c r="A1472" s="3">
        <v>412.0</v>
      </c>
      <c r="B1472" s="3">
        <v>52.0</v>
      </c>
      <c r="C1472" s="3">
        <v>3.0</v>
      </c>
      <c r="D1472" t="str">
        <f>VLOOKUP(B1472,ERA_MOTIF_TYPES.csv!$A$1:$C$119,2,1)</f>
        <v>Single or multiple cups</v>
      </c>
      <c r="E1472" t="str">
        <f>VLOOKUP(A1472,Panels!$A$1:$E$2104,5,0)</f>
        <v>Snook Bank</v>
      </c>
    </row>
    <row r="1473">
      <c r="A1473" s="3">
        <v>412.0</v>
      </c>
      <c r="B1473" s="3">
        <v>57.0</v>
      </c>
      <c r="C1473" s="3">
        <v>4.0</v>
      </c>
      <c r="D1473" t="str">
        <f>VLOOKUP(B1473,ERA_MOTIF_TYPES.csv!$A$1:$C$119,2,1)</f>
        <v>Cup and ring</v>
      </c>
      <c r="E1473" t="str">
        <f>VLOOKUP(A1473,Panels!$A$1:$E$2104,5,0)</f>
        <v>Snook Bank</v>
      </c>
    </row>
    <row r="1474">
      <c r="A1474" s="3">
        <v>412.0</v>
      </c>
      <c r="B1474" s="3">
        <v>87.0</v>
      </c>
      <c r="C1474" s="3">
        <v>3.0</v>
      </c>
      <c r="D1474" t="str">
        <f>VLOOKUP(B1474,ERA_MOTIF_TYPES.csv!$A$1:$C$119,2,1)</f>
        <v>Linear and angular groove</v>
      </c>
      <c r="E1474" t="str">
        <f>VLOOKUP(A1474,Panels!$A$1:$E$2104,5,0)</f>
        <v>Snook Bank</v>
      </c>
    </row>
    <row r="1475">
      <c r="A1475" s="3">
        <v>412.0</v>
      </c>
      <c r="B1475" s="3">
        <v>110.0</v>
      </c>
      <c r="C1475" s="3">
        <v>2.0</v>
      </c>
      <c r="D1475" t="str">
        <f>VLOOKUP(B1475,ERA_MOTIF_TYPES.csv!$A$1:$C$119,2,1)</f>
        <v>Curved groove</v>
      </c>
      <c r="E1475" t="str">
        <f>VLOOKUP(A1475,Panels!$A$1:$E$2104,5,0)</f>
        <v>Snook Bank</v>
      </c>
    </row>
    <row r="1476">
      <c r="A1476" s="3">
        <v>413.0</v>
      </c>
      <c r="B1476" s="3">
        <v>1.0</v>
      </c>
      <c r="C1476" s="3">
        <v>1.0</v>
      </c>
      <c r="D1476" t="str">
        <f>VLOOKUP(B1476,ERA_MOTIF_TYPES.csv!$A$1:$C$119,2,1)</f>
        <v>Cups Single</v>
      </c>
      <c r="E1476" t="str">
        <f>VLOOKUP(A1476,Panels!$A$1:$E$2104,5,0)</f>
        <v>Snook Bank</v>
      </c>
    </row>
    <row r="1477">
      <c r="A1477" s="3">
        <v>413.0</v>
      </c>
      <c r="B1477" s="3">
        <v>13.0</v>
      </c>
      <c r="C1477" s="3">
        <v>1.0</v>
      </c>
      <c r="D1477" t="str">
        <f>VLOOKUP(B1477,ERA_MOTIF_TYPES.csv!$A$1:$C$119,2,1)</f>
        <v>Single Ring + cup</v>
      </c>
      <c r="E1477" t="str">
        <f>VLOOKUP(A1477,Panels!$A$1:$E$2104,5,0)</f>
        <v>Snook Bank</v>
      </c>
    </row>
    <row r="1478">
      <c r="A1478" s="3">
        <v>413.0</v>
      </c>
      <c r="B1478" s="3">
        <v>27.0</v>
      </c>
      <c r="C1478" s="3">
        <v>1.0</v>
      </c>
      <c r="D1478" t="str">
        <f>VLOOKUP(B1478,ERA_MOTIF_TYPES.csv!$A$1:$C$119,2,1)</f>
        <v>Serpentine</v>
      </c>
      <c r="E1478" t="str">
        <f>VLOOKUP(A1478,Panels!$A$1:$E$2104,5,0)</f>
        <v>Snook Bank</v>
      </c>
    </row>
    <row r="1479">
      <c r="A1479" s="3">
        <v>413.0</v>
      </c>
      <c r="B1479" s="3">
        <v>52.0</v>
      </c>
      <c r="C1479" s="3">
        <v>1.0</v>
      </c>
      <c r="D1479" t="str">
        <f>VLOOKUP(B1479,ERA_MOTIF_TYPES.csv!$A$1:$C$119,2,1)</f>
        <v>Single or multiple cups</v>
      </c>
      <c r="E1479" t="str">
        <f>VLOOKUP(A1479,Panels!$A$1:$E$2104,5,0)</f>
        <v>Snook Bank</v>
      </c>
    </row>
    <row r="1480">
      <c r="A1480" s="3">
        <v>413.0</v>
      </c>
      <c r="B1480" s="3">
        <v>57.0</v>
      </c>
      <c r="C1480" s="3">
        <v>2.0</v>
      </c>
      <c r="D1480" t="str">
        <f>VLOOKUP(B1480,ERA_MOTIF_TYPES.csv!$A$1:$C$119,2,1)</f>
        <v>Cup and ring</v>
      </c>
      <c r="E1480" t="str">
        <f>VLOOKUP(A1480,Panels!$A$1:$E$2104,5,0)</f>
        <v>Snook Bank</v>
      </c>
    </row>
    <row r="1481">
      <c r="A1481" s="3">
        <v>413.0</v>
      </c>
      <c r="B1481" s="3">
        <v>59.0</v>
      </c>
      <c r="C1481" s="3">
        <v>1.0</v>
      </c>
      <c r="D1481" t="str">
        <f>VLOOKUP(B1481,ERA_MOTIF_TYPES.csv!$A$1:$C$119,2,1)</f>
        <v>Cup and penannular</v>
      </c>
      <c r="E1481" t="str">
        <f>VLOOKUP(A1481,Panels!$A$1:$E$2104,5,0)</f>
        <v>Snook Bank</v>
      </c>
    </row>
    <row r="1482">
      <c r="A1482" s="3">
        <v>413.0</v>
      </c>
      <c r="B1482" s="3">
        <v>87.0</v>
      </c>
      <c r="C1482" s="3">
        <v>2.0</v>
      </c>
      <c r="D1482" t="str">
        <f>VLOOKUP(B1482,ERA_MOTIF_TYPES.csv!$A$1:$C$119,2,1)</f>
        <v>Linear and angular groove</v>
      </c>
      <c r="E1482" t="str">
        <f>VLOOKUP(A1482,Panels!$A$1:$E$2104,5,0)</f>
        <v>Snook Bank</v>
      </c>
    </row>
    <row r="1483">
      <c r="A1483" s="3">
        <v>413.0</v>
      </c>
      <c r="B1483" s="3">
        <v>100.0</v>
      </c>
      <c r="C1483" s="3">
        <v>1.0</v>
      </c>
      <c r="D1483" t="str">
        <f>VLOOKUP(B1483,ERA_MOTIF_TYPES.csv!$A$1:$C$119,2,1)</f>
        <v>Pick marks</v>
      </c>
      <c r="E1483" t="str">
        <f>VLOOKUP(A1483,Panels!$A$1:$E$2104,5,0)</f>
        <v>Snook Bank</v>
      </c>
    </row>
    <row r="1484">
      <c r="A1484" s="3">
        <v>413.0</v>
      </c>
      <c r="B1484" s="3">
        <v>110.0</v>
      </c>
      <c r="C1484" s="3">
        <v>2.0</v>
      </c>
      <c r="D1484" t="str">
        <f>VLOOKUP(B1484,ERA_MOTIF_TYPES.csv!$A$1:$C$119,2,1)</f>
        <v>Curved groove</v>
      </c>
      <c r="E1484" t="str">
        <f>VLOOKUP(A1484,Panels!$A$1:$E$2104,5,0)</f>
        <v>Snook Bank</v>
      </c>
    </row>
    <row r="1485">
      <c r="A1485" s="3">
        <v>414.0</v>
      </c>
      <c r="B1485" s="3">
        <v>1.0</v>
      </c>
      <c r="C1485" s="3">
        <v>2.0</v>
      </c>
      <c r="D1485" t="str">
        <f>VLOOKUP(B1485,ERA_MOTIF_TYPES.csv!$A$1:$C$119,2,1)</f>
        <v>Cups Single</v>
      </c>
      <c r="E1485" t="str">
        <f>VLOOKUP(A1485,Panels!$A$1:$E$2104,5,0)</f>
        <v>Snook Bank</v>
      </c>
    </row>
    <row r="1486">
      <c r="A1486" s="3">
        <v>414.0</v>
      </c>
      <c r="B1486" s="3">
        <v>52.0</v>
      </c>
      <c r="C1486" s="3">
        <v>1.0</v>
      </c>
      <c r="D1486" t="str">
        <f>VLOOKUP(B1486,ERA_MOTIF_TYPES.csv!$A$1:$C$119,2,1)</f>
        <v>Single or multiple cups</v>
      </c>
      <c r="E1486" t="str">
        <f>VLOOKUP(A1486,Panels!$A$1:$E$2104,5,0)</f>
        <v>Snook Bank</v>
      </c>
    </row>
    <row r="1487">
      <c r="A1487" s="3">
        <v>414.0</v>
      </c>
      <c r="B1487" s="3">
        <v>61.0</v>
      </c>
      <c r="C1487" s="3">
        <v>1.0</v>
      </c>
      <c r="D1487" t="str">
        <f>VLOOKUP(B1487,ERA_MOTIF_TYPES.csv!$A$1:$C$119,2,1)</f>
        <v>Cup and arc (or semi-ovoid)</v>
      </c>
      <c r="E1487" t="str">
        <f>VLOOKUP(A1487,Panels!$A$1:$E$2104,5,0)</f>
        <v>Snook Bank</v>
      </c>
    </row>
    <row r="1488">
      <c r="A1488" s="3">
        <v>414.0</v>
      </c>
      <c r="B1488" s="3">
        <v>103.0</v>
      </c>
      <c r="C1488" s="3">
        <v>1.0</v>
      </c>
      <c r="D1488" t="str">
        <f>VLOOKUP(B1488,ERA_MOTIF_TYPES.csv!$A$1:$C$119,2,1)</f>
        <v>Cup and groove</v>
      </c>
      <c r="E1488" t="str">
        <f>VLOOKUP(A1488,Panels!$A$1:$E$2104,5,0)</f>
        <v>Snook Bank</v>
      </c>
    </row>
    <row r="1489">
      <c r="A1489" s="3">
        <v>415.0</v>
      </c>
      <c r="B1489" s="3">
        <v>31.0</v>
      </c>
      <c r="C1489" s="3">
        <v>1.0</v>
      </c>
      <c r="D1489" t="str">
        <f>VLOOKUP(B1489,ERA_MOTIF_TYPES.csv!$A$1:$C$119,2,1)</f>
        <v>Cup and Groove</v>
      </c>
      <c r="E1489" t="str">
        <f>VLOOKUP(A1489,Panels!$A$1:$E$2104,5,0)</f>
        <v>Snook Bank</v>
      </c>
    </row>
    <row r="1490">
      <c r="A1490" s="3">
        <v>415.0</v>
      </c>
      <c r="B1490" s="3">
        <v>52.0</v>
      </c>
      <c r="C1490" s="3">
        <v>1.0</v>
      </c>
      <c r="D1490" t="str">
        <f>VLOOKUP(B1490,ERA_MOTIF_TYPES.csv!$A$1:$C$119,2,1)</f>
        <v>Single or multiple cups</v>
      </c>
      <c r="E1490" t="str">
        <f>VLOOKUP(A1490,Panels!$A$1:$E$2104,5,0)</f>
        <v>Snook Bank</v>
      </c>
    </row>
    <row r="1491">
      <c r="A1491" s="3">
        <v>415.0</v>
      </c>
      <c r="B1491" s="3">
        <v>103.0</v>
      </c>
      <c r="C1491" s="3">
        <v>1.0</v>
      </c>
      <c r="D1491" t="str">
        <f>VLOOKUP(B1491,ERA_MOTIF_TYPES.csv!$A$1:$C$119,2,1)</f>
        <v>Cup and groove</v>
      </c>
      <c r="E1491" t="str">
        <f>VLOOKUP(A1491,Panels!$A$1:$E$2104,5,0)</f>
        <v>Snook Bank</v>
      </c>
    </row>
    <row r="1492">
      <c r="A1492" s="3">
        <v>416.0</v>
      </c>
      <c r="B1492" s="3">
        <v>1.0</v>
      </c>
      <c r="C1492" s="3">
        <v>2.0</v>
      </c>
      <c r="D1492" t="str">
        <f>VLOOKUP(B1492,ERA_MOTIF_TYPES.csv!$A$1:$C$119,2,1)</f>
        <v>Cups Single</v>
      </c>
      <c r="E1492" t="str">
        <f>VLOOKUP(A1492,Panels!$A$1:$E$2104,5,0)</f>
        <v>Snook Bank</v>
      </c>
    </row>
    <row r="1493">
      <c r="A1493" s="3">
        <v>416.0</v>
      </c>
      <c r="B1493" s="3">
        <v>25.0</v>
      </c>
      <c r="C1493" s="3">
        <v>1.0</v>
      </c>
      <c r="D1493" t="str">
        <f>VLOOKUP(B1493,ERA_MOTIF_TYPES.csv!$A$1:$C$119,2,1)</f>
        <v>Linear</v>
      </c>
      <c r="E1493" t="str">
        <f>VLOOKUP(A1493,Panels!$A$1:$E$2104,5,0)</f>
        <v>Snook Bank</v>
      </c>
    </row>
    <row r="1494">
      <c r="A1494" s="3">
        <v>416.0</v>
      </c>
      <c r="B1494" s="3">
        <v>31.0</v>
      </c>
      <c r="C1494" s="3">
        <v>1.0</v>
      </c>
      <c r="D1494" t="str">
        <f>VLOOKUP(B1494,ERA_MOTIF_TYPES.csv!$A$1:$C$119,2,1)</f>
        <v>Cup and Groove</v>
      </c>
      <c r="E1494" t="str">
        <f>VLOOKUP(A1494,Panels!$A$1:$E$2104,5,0)</f>
        <v>Snook Bank</v>
      </c>
    </row>
    <row r="1495">
      <c r="A1495" s="3">
        <v>416.0</v>
      </c>
      <c r="B1495" s="3">
        <v>52.0</v>
      </c>
      <c r="C1495" s="3">
        <v>1.0</v>
      </c>
      <c r="D1495" t="str">
        <f>VLOOKUP(B1495,ERA_MOTIF_TYPES.csv!$A$1:$C$119,2,1)</f>
        <v>Single or multiple cups</v>
      </c>
      <c r="E1495" t="str">
        <f>VLOOKUP(A1495,Panels!$A$1:$E$2104,5,0)</f>
        <v>Snook Bank</v>
      </c>
    </row>
    <row r="1496">
      <c r="A1496" s="3">
        <v>417.0</v>
      </c>
      <c r="B1496" s="3">
        <v>103.0</v>
      </c>
      <c r="C1496" s="3">
        <v>1.0</v>
      </c>
      <c r="D1496" t="str">
        <f>VLOOKUP(B1496,ERA_MOTIF_TYPES.csv!$A$1:$C$119,2,1)</f>
        <v>Cup and groove</v>
      </c>
      <c r="E1496" t="str">
        <f>VLOOKUP(A1496,Panels!$A$1:$E$2104,5,0)</f>
        <v>Snook Bank</v>
      </c>
    </row>
    <row r="1497">
      <c r="A1497" s="3">
        <v>417.0</v>
      </c>
      <c r="B1497" s="3">
        <v>110.0</v>
      </c>
      <c r="C1497" s="3">
        <v>1.0</v>
      </c>
      <c r="D1497" t="str">
        <f>VLOOKUP(B1497,ERA_MOTIF_TYPES.csv!$A$1:$C$119,2,1)</f>
        <v>Curved groove</v>
      </c>
      <c r="E1497" t="str">
        <f>VLOOKUP(A1497,Panels!$A$1:$E$2104,5,0)</f>
        <v>Snook Bank</v>
      </c>
    </row>
    <row r="1498">
      <c r="A1498" s="3">
        <v>418.0</v>
      </c>
      <c r="B1498" s="3">
        <v>1.0</v>
      </c>
      <c r="C1498" s="3">
        <v>2.0</v>
      </c>
      <c r="D1498" t="str">
        <f>VLOOKUP(B1498,ERA_MOTIF_TYPES.csv!$A$1:$C$119,2,1)</f>
        <v>Cups Single</v>
      </c>
      <c r="E1498" t="str">
        <f>VLOOKUP(A1498,Panels!$A$1:$E$2104,5,0)</f>
        <v>Snook Bank</v>
      </c>
    </row>
    <row r="1499">
      <c r="A1499" s="3">
        <v>418.0</v>
      </c>
      <c r="B1499" s="3">
        <v>52.0</v>
      </c>
      <c r="C1499" s="3">
        <v>2.0</v>
      </c>
      <c r="D1499" t="str">
        <f>VLOOKUP(B1499,ERA_MOTIF_TYPES.csv!$A$1:$C$119,2,1)</f>
        <v>Single or multiple cups</v>
      </c>
      <c r="E1499" t="str">
        <f>VLOOKUP(A1499,Panels!$A$1:$E$2104,5,0)</f>
        <v>Snook Bank</v>
      </c>
    </row>
    <row r="1500">
      <c r="A1500" s="3">
        <v>419.0</v>
      </c>
      <c r="B1500" s="3">
        <v>1.0</v>
      </c>
      <c r="C1500" s="3">
        <v>2.0</v>
      </c>
      <c r="D1500" t="str">
        <f>VLOOKUP(B1500,ERA_MOTIF_TYPES.csv!$A$1:$C$119,2,1)</f>
        <v>Cups Single</v>
      </c>
      <c r="E1500" t="str">
        <f>VLOOKUP(A1500,Panels!$A$1:$E$2104,5,0)</f>
        <v>Snook Bank</v>
      </c>
    </row>
    <row r="1501">
      <c r="A1501" s="3">
        <v>420.0</v>
      </c>
      <c r="B1501" s="3">
        <v>1.0</v>
      </c>
      <c r="C1501" s="3">
        <v>1.0</v>
      </c>
      <c r="D1501" t="str">
        <f>VLOOKUP(B1501,ERA_MOTIF_TYPES.csv!$A$1:$C$119,2,1)</f>
        <v>Cups Single</v>
      </c>
      <c r="E1501" t="str">
        <f>VLOOKUP(A1501,Panels!$A$1:$E$2104,5,0)</f>
        <v>Snook Bank</v>
      </c>
    </row>
    <row r="1502">
      <c r="A1502" s="3">
        <v>420.0</v>
      </c>
      <c r="B1502" s="3">
        <v>13.0</v>
      </c>
      <c r="C1502" s="3">
        <v>1.0</v>
      </c>
      <c r="D1502" t="str">
        <f>VLOOKUP(B1502,ERA_MOTIF_TYPES.csv!$A$1:$C$119,2,1)</f>
        <v>Single Ring + cup</v>
      </c>
      <c r="E1502" t="str">
        <f>VLOOKUP(A1502,Panels!$A$1:$E$2104,5,0)</f>
        <v>Snook Bank</v>
      </c>
    </row>
    <row r="1503">
      <c r="A1503" s="3">
        <v>421.0</v>
      </c>
      <c r="B1503" s="3">
        <v>1.0</v>
      </c>
      <c r="C1503" s="3">
        <v>1.0</v>
      </c>
      <c r="D1503" t="str">
        <f>VLOOKUP(B1503,ERA_MOTIF_TYPES.csv!$A$1:$C$119,2,1)</f>
        <v>Cups Single</v>
      </c>
      <c r="E1503" t="str">
        <f>VLOOKUP(A1503,Panels!$A$1:$E$2104,5,0)</f>
        <v>Snook Bank</v>
      </c>
    </row>
    <row r="1504">
      <c r="A1504" s="3">
        <v>421.0</v>
      </c>
      <c r="B1504" s="3">
        <v>52.0</v>
      </c>
      <c r="C1504" s="3">
        <v>2.0</v>
      </c>
      <c r="D1504" t="str">
        <f>VLOOKUP(B1504,ERA_MOTIF_TYPES.csv!$A$1:$C$119,2,1)</f>
        <v>Single or multiple cups</v>
      </c>
      <c r="E1504" t="str">
        <f>VLOOKUP(A1504,Panels!$A$1:$E$2104,5,0)</f>
        <v>Snook Bank</v>
      </c>
    </row>
    <row r="1505">
      <c r="A1505" s="3">
        <v>422.0</v>
      </c>
      <c r="B1505" s="3">
        <v>1.0</v>
      </c>
      <c r="C1505" s="3">
        <v>1.0</v>
      </c>
      <c r="D1505" t="str">
        <f>VLOOKUP(B1505,ERA_MOTIF_TYPES.csv!$A$1:$C$119,2,1)</f>
        <v>Cups Single</v>
      </c>
      <c r="E1505" t="str">
        <f>VLOOKUP(A1505,Panels!$A$1:$E$2104,5,0)</f>
        <v>Snook Bank</v>
      </c>
    </row>
    <row r="1506">
      <c r="A1506" s="3">
        <v>422.0</v>
      </c>
      <c r="B1506" s="3">
        <v>13.0</v>
      </c>
      <c r="C1506" s="3">
        <v>1.0</v>
      </c>
      <c r="D1506" t="str">
        <f>VLOOKUP(B1506,ERA_MOTIF_TYPES.csv!$A$1:$C$119,2,1)</f>
        <v>Single Ring + cup</v>
      </c>
      <c r="E1506" t="str">
        <f>VLOOKUP(A1506,Panels!$A$1:$E$2104,5,0)</f>
        <v>Snook Bank</v>
      </c>
    </row>
    <row r="1507">
      <c r="A1507" s="3">
        <v>422.0</v>
      </c>
      <c r="B1507" s="3">
        <v>57.0</v>
      </c>
      <c r="C1507" s="3">
        <v>1.0</v>
      </c>
      <c r="D1507" t="str">
        <f>VLOOKUP(B1507,ERA_MOTIF_TYPES.csv!$A$1:$C$119,2,1)</f>
        <v>Cup and ring</v>
      </c>
      <c r="E1507" t="str">
        <f>VLOOKUP(A1507,Panels!$A$1:$E$2104,5,0)</f>
        <v>Snook Bank</v>
      </c>
    </row>
    <row r="1508">
      <c r="A1508" s="3">
        <v>422.0</v>
      </c>
      <c r="B1508" s="3">
        <v>58.0</v>
      </c>
      <c r="C1508" s="3">
        <v>1.0</v>
      </c>
      <c r="D1508" t="str">
        <f>VLOOKUP(B1508,ERA_MOTIF_TYPES.csv!$A$1:$C$119,2,1)</f>
        <v>Cup and multiple rings</v>
      </c>
      <c r="E1508" t="str">
        <f>VLOOKUP(A1508,Panels!$A$1:$E$2104,5,0)</f>
        <v>Snook Bank</v>
      </c>
    </row>
    <row r="1509">
      <c r="A1509" s="3">
        <v>423.0</v>
      </c>
      <c r="B1509" s="3">
        <v>52.0</v>
      </c>
      <c r="C1509" s="3">
        <v>4.0</v>
      </c>
      <c r="D1509" t="str">
        <f>VLOOKUP(B1509,ERA_MOTIF_TYPES.csv!$A$1:$C$119,2,1)</f>
        <v>Single or multiple cups</v>
      </c>
      <c r="E1509" t="str">
        <f>VLOOKUP(A1509,Panels!$A$1:$E$2104,5,0)</f>
        <v>Snook Bank</v>
      </c>
    </row>
    <row r="1510">
      <c r="A1510" s="3">
        <v>423.0</v>
      </c>
      <c r="B1510" s="3">
        <v>57.0</v>
      </c>
      <c r="C1510" s="3">
        <v>1.0</v>
      </c>
      <c r="D1510" t="str">
        <f>VLOOKUP(B1510,ERA_MOTIF_TYPES.csv!$A$1:$C$119,2,1)</f>
        <v>Cup and ring</v>
      </c>
      <c r="E1510" t="str">
        <f>VLOOKUP(A1510,Panels!$A$1:$E$2104,5,0)</f>
        <v>Snook Bank</v>
      </c>
    </row>
    <row r="1511">
      <c r="A1511" s="3">
        <v>423.0</v>
      </c>
      <c r="B1511" s="3">
        <v>73.0</v>
      </c>
      <c r="C1511" s="3">
        <v>1.0</v>
      </c>
      <c r="D1511" t="str">
        <f>VLOOKUP(B1511,ERA_MOTIF_TYPES.csv!$A$1:$C$119,2,1)</f>
        <v>Arc</v>
      </c>
      <c r="E1511" t="str">
        <f>VLOOKUP(A1511,Panels!$A$1:$E$2104,5,0)</f>
        <v>Snook Bank</v>
      </c>
    </row>
    <row r="1512">
      <c r="A1512" s="3">
        <v>423.0</v>
      </c>
      <c r="B1512" s="3">
        <v>87.0</v>
      </c>
      <c r="C1512" s="3">
        <v>1.0</v>
      </c>
      <c r="D1512" t="str">
        <f>VLOOKUP(B1512,ERA_MOTIF_TYPES.csv!$A$1:$C$119,2,1)</f>
        <v>Linear and angular groove</v>
      </c>
      <c r="E1512" t="str">
        <f>VLOOKUP(A1512,Panels!$A$1:$E$2104,5,0)</f>
        <v>Snook Bank</v>
      </c>
    </row>
    <row r="1513">
      <c r="A1513" s="3">
        <v>424.0</v>
      </c>
      <c r="B1513" s="3">
        <v>1.0</v>
      </c>
      <c r="C1513" s="3">
        <v>6.0</v>
      </c>
      <c r="D1513" t="str">
        <f>VLOOKUP(B1513,ERA_MOTIF_TYPES.csv!$A$1:$C$119,2,1)</f>
        <v>Cups Single</v>
      </c>
      <c r="E1513" t="str">
        <f>VLOOKUP(A1513,Panels!$A$1:$E$2104,5,0)</f>
        <v>Snook Bank</v>
      </c>
    </row>
    <row r="1514">
      <c r="A1514" s="3">
        <v>424.0</v>
      </c>
      <c r="B1514" s="3">
        <v>13.0</v>
      </c>
      <c r="C1514" s="3">
        <v>3.0</v>
      </c>
      <c r="D1514" t="str">
        <f>VLOOKUP(B1514,ERA_MOTIF_TYPES.csv!$A$1:$C$119,2,1)</f>
        <v>Single Ring + cup</v>
      </c>
      <c r="E1514" t="str">
        <f>VLOOKUP(A1514,Panels!$A$1:$E$2104,5,0)</f>
        <v>Snook Bank</v>
      </c>
    </row>
    <row r="1515">
      <c r="A1515" s="3">
        <v>424.0</v>
      </c>
      <c r="B1515" s="3">
        <v>14.0</v>
      </c>
      <c r="C1515" s="3">
        <v>3.0</v>
      </c>
      <c r="D1515" t="str">
        <f>VLOOKUP(B1515,ERA_MOTIF_TYPES.csv!$A$1:$C$119,2,1)</f>
        <v>Multi Ring + cup</v>
      </c>
      <c r="E1515" t="str">
        <f>VLOOKUP(A1515,Panels!$A$1:$E$2104,5,0)</f>
        <v>Snook Bank</v>
      </c>
    </row>
    <row r="1516">
      <c r="A1516" s="3">
        <v>424.0</v>
      </c>
      <c r="B1516" s="3">
        <v>33.0</v>
      </c>
      <c r="C1516" s="3">
        <v>1.0</v>
      </c>
      <c r="D1516" t="str">
        <f>VLOOKUP(B1516,ERA_MOTIF_TYPES.csv!$A$1:$C$119,2,1)</f>
        <v>Cup Groove and multi ring</v>
      </c>
      <c r="E1516" t="str">
        <f>VLOOKUP(A1516,Panels!$A$1:$E$2104,5,0)</f>
        <v>Snook Bank</v>
      </c>
    </row>
    <row r="1517">
      <c r="A1517" s="3">
        <v>424.0</v>
      </c>
      <c r="B1517" s="3">
        <v>52.0</v>
      </c>
      <c r="C1517" s="3">
        <v>6.0</v>
      </c>
      <c r="D1517" t="str">
        <f>VLOOKUP(B1517,ERA_MOTIF_TYPES.csv!$A$1:$C$119,2,1)</f>
        <v>Single or multiple cups</v>
      </c>
      <c r="E1517" t="str">
        <f>VLOOKUP(A1517,Panels!$A$1:$E$2104,5,0)</f>
        <v>Snook Bank</v>
      </c>
    </row>
    <row r="1518">
      <c r="A1518" s="3">
        <v>424.0</v>
      </c>
      <c r="B1518" s="3">
        <v>57.0</v>
      </c>
      <c r="C1518" s="3">
        <v>6.0</v>
      </c>
      <c r="D1518" t="str">
        <f>VLOOKUP(B1518,ERA_MOTIF_TYPES.csv!$A$1:$C$119,2,1)</f>
        <v>Cup and ring</v>
      </c>
      <c r="E1518" t="str">
        <f>VLOOKUP(A1518,Panels!$A$1:$E$2104,5,0)</f>
        <v>Snook Bank</v>
      </c>
    </row>
    <row r="1519">
      <c r="A1519" s="3">
        <v>424.0</v>
      </c>
      <c r="B1519" s="3">
        <v>58.0</v>
      </c>
      <c r="C1519" s="3">
        <v>5.0</v>
      </c>
      <c r="D1519" t="str">
        <f>VLOOKUP(B1519,ERA_MOTIF_TYPES.csv!$A$1:$C$119,2,1)</f>
        <v>Cup and multiple rings</v>
      </c>
      <c r="E1519" t="str">
        <f>VLOOKUP(A1519,Panels!$A$1:$E$2104,5,0)</f>
        <v>Snook Bank</v>
      </c>
    </row>
    <row r="1520">
      <c r="A1520" s="3">
        <v>424.0</v>
      </c>
      <c r="B1520" s="3">
        <v>61.0</v>
      </c>
      <c r="C1520" s="3">
        <v>1.0</v>
      </c>
      <c r="D1520" t="str">
        <f>VLOOKUP(B1520,ERA_MOTIF_TYPES.csv!$A$1:$C$119,2,1)</f>
        <v>Cup and arc (or semi-ovoid)</v>
      </c>
      <c r="E1520" t="str">
        <f>VLOOKUP(A1520,Panels!$A$1:$E$2104,5,0)</f>
        <v>Snook Bank</v>
      </c>
    </row>
    <row r="1521">
      <c r="A1521" s="3">
        <v>425.0</v>
      </c>
      <c r="B1521" s="3">
        <v>1.0</v>
      </c>
      <c r="C1521" s="3">
        <v>2.0</v>
      </c>
      <c r="D1521" t="str">
        <f>VLOOKUP(B1521,ERA_MOTIF_TYPES.csv!$A$1:$C$119,2,1)</f>
        <v>Cups Single</v>
      </c>
      <c r="E1521" t="str">
        <f>VLOOKUP(A1521,Panels!$A$1:$E$2104,5,0)</f>
        <v>Snook Bank</v>
      </c>
    </row>
    <row r="1522">
      <c r="A1522" s="3">
        <v>425.0</v>
      </c>
      <c r="B1522" s="3">
        <v>13.0</v>
      </c>
      <c r="C1522" s="3">
        <v>1.0</v>
      </c>
      <c r="D1522" t="str">
        <f>VLOOKUP(B1522,ERA_MOTIF_TYPES.csv!$A$1:$C$119,2,1)</f>
        <v>Single Ring + cup</v>
      </c>
      <c r="E1522" t="str">
        <f>VLOOKUP(A1522,Panels!$A$1:$E$2104,5,0)</f>
        <v>Snook Bank</v>
      </c>
    </row>
    <row r="1523">
      <c r="A1523" s="3">
        <v>426.0</v>
      </c>
      <c r="B1523" s="3">
        <v>1.0</v>
      </c>
      <c r="C1523" s="3">
        <v>14.0</v>
      </c>
      <c r="D1523" t="str">
        <f>VLOOKUP(B1523,ERA_MOTIF_TYPES.csv!$A$1:$C$119,2,1)</f>
        <v>Cups Single</v>
      </c>
      <c r="E1523" t="str">
        <f>VLOOKUP(A1523,Panels!$A$1:$E$2104,5,0)</f>
        <v>Snook Bank</v>
      </c>
    </row>
    <row r="1524">
      <c r="A1524" s="3">
        <v>426.0</v>
      </c>
      <c r="B1524" s="3">
        <v>13.0</v>
      </c>
      <c r="C1524" s="3">
        <v>6.0</v>
      </c>
      <c r="D1524" t="str">
        <f>VLOOKUP(B1524,ERA_MOTIF_TYPES.csv!$A$1:$C$119,2,1)</f>
        <v>Single Ring + cup</v>
      </c>
      <c r="E1524" t="str">
        <f>VLOOKUP(A1524,Panels!$A$1:$E$2104,5,0)</f>
        <v>Snook Bank</v>
      </c>
    </row>
    <row r="1525">
      <c r="A1525" s="3">
        <v>426.0</v>
      </c>
      <c r="B1525" s="3">
        <v>14.0</v>
      </c>
      <c r="C1525" s="3">
        <v>2.0</v>
      </c>
      <c r="D1525" t="str">
        <f>VLOOKUP(B1525,ERA_MOTIF_TYPES.csv!$A$1:$C$119,2,1)</f>
        <v>Multi Ring + cup</v>
      </c>
      <c r="E1525" t="str">
        <f>VLOOKUP(A1525,Panels!$A$1:$E$2104,5,0)</f>
        <v>Snook Bank</v>
      </c>
    </row>
    <row r="1526">
      <c r="A1526" s="3">
        <v>426.0</v>
      </c>
      <c r="B1526" s="3">
        <v>25.0</v>
      </c>
      <c r="C1526" s="3">
        <v>14.0</v>
      </c>
      <c r="D1526" t="str">
        <f>VLOOKUP(B1526,ERA_MOTIF_TYPES.csv!$A$1:$C$119,2,1)</f>
        <v>Linear</v>
      </c>
      <c r="E1526" t="str">
        <f>VLOOKUP(A1526,Panels!$A$1:$E$2104,5,0)</f>
        <v>Snook Bank</v>
      </c>
    </row>
    <row r="1527">
      <c r="A1527" s="3">
        <v>426.0</v>
      </c>
      <c r="B1527" s="3">
        <v>52.0</v>
      </c>
      <c r="C1527" s="3">
        <v>12.0</v>
      </c>
      <c r="D1527" t="str">
        <f>VLOOKUP(B1527,ERA_MOTIF_TYPES.csv!$A$1:$C$119,2,1)</f>
        <v>Single or multiple cups</v>
      </c>
      <c r="E1527" t="str">
        <f>VLOOKUP(A1527,Panels!$A$1:$E$2104,5,0)</f>
        <v>Snook Bank</v>
      </c>
    </row>
    <row r="1528">
      <c r="A1528" s="3">
        <v>426.0</v>
      </c>
      <c r="B1528" s="3">
        <v>57.0</v>
      </c>
      <c r="C1528" s="3">
        <v>2.0</v>
      </c>
      <c r="D1528" t="str">
        <f>VLOOKUP(B1528,ERA_MOTIF_TYPES.csv!$A$1:$C$119,2,1)</f>
        <v>Cup and ring</v>
      </c>
      <c r="E1528" t="str">
        <f>VLOOKUP(A1528,Panels!$A$1:$E$2104,5,0)</f>
        <v>Snook Bank</v>
      </c>
    </row>
    <row r="1529">
      <c r="A1529" s="3">
        <v>426.0</v>
      </c>
      <c r="B1529" s="3">
        <v>59.0</v>
      </c>
      <c r="C1529" s="3">
        <v>1.0</v>
      </c>
      <c r="D1529" t="str">
        <f>VLOOKUP(B1529,ERA_MOTIF_TYPES.csv!$A$1:$C$119,2,1)</f>
        <v>Cup and penannular</v>
      </c>
      <c r="E1529" t="str">
        <f>VLOOKUP(A1529,Panels!$A$1:$E$2104,5,0)</f>
        <v>Snook Bank</v>
      </c>
    </row>
    <row r="1530">
      <c r="A1530" s="3">
        <v>426.0</v>
      </c>
      <c r="B1530" s="3">
        <v>63.0</v>
      </c>
      <c r="C1530" s="3">
        <v>1.0</v>
      </c>
      <c r="D1530" t="str">
        <f>VLOOKUP(B1530,ERA_MOTIF_TYPES.csv!$A$1:$C$119,2,1)</f>
        <v>Cup with groove cutting through ring</v>
      </c>
      <c r="E1530" t="str">
        <f>VLOOKUP(A1530,Panels!$A$1:$E$2104,5,0)</f>
        <v>Snook Bank</v>
      </c>
    </row>
    <row r="1531">
      <c r="A1531" s="3">
        <v>426.0</v>
      </c>
      <c r="B1531" s="3">
        <v>64.0</v>
      </c>
      <c r="C1531" s="3">
        <v>1.0</v>
      </c>
      <c r="D1531" t="str">
        <f>VLOOKUP(B1531,ERA_MOTIF_TYPES.csv!$A$1:$C$119,2,1)</f>
        <v>Cup with groove cutting through multiple rings</v>
      </c>
      <c r="E1531" t="str">
        <f>VLOOKUP(A1531,Panels!$A$1:$E$2104,5,0)</f>
        <v>Snook Bank</v>
      </c>
    </row>
    <row r="1532">
      <c r="A1532" s="3">
        <v>426.0</v>
      </c>
      <c r="B1532" s="3">
        <v>69.0</v>
      </c>
      <c r="C1532" s="3">
        <v>1.0</v>
      </c>
      <c r="D1532" t="str">
        <f>VLOOKUP(B1532,ERA_MOTIF_TYPES.csv!$A$1:$C$119,2,1)</f>
        <v>Ring</v>
      </c>
      <c r="E1532" t="str">
        <f>VLOOKUP(A1532,Panels!$A$1:$E$2104,5,0)</f>
        <v>Snook Bank</v>
      </c>
    </row>
    <row r="1533">
      <c r="A1533" s="3">
        <v>426.0</v>
      </c>
      <c r="B1533" s="3">
        <v>87.0</v>
      </c>
      <c r="C1533" s="3">
        <v>2.0</v>
      </c>
      <c r="D1533" t="str">
        <f>VLOOKUP(B1533,ERA_MOTIF_TYPES.csv!$A$1:$C$119,2,1)</f>
        <v>Linear and angular groove</v>
      </c>
      <c r="E1533" t="str">
        <f>VLOOKUP(A1533,Panels!$A$1:$E$2104,5,0)</f>
        <v>Snook Bank</v>
      </c>
    </row>
    <row r="1534">
      <c r="A1534" s="3">
        <v>426.0</v>
      </c>
      <c r="B1534" s="3">
        <v>103.0</v>
      </c>
      <c r="C1534" s="3">
        <v>4.0</v>
      </c>
      <c r="D1534" t="str">
        <f>VLOOKUP(B1534,ERA_MOTIF_TYPES.csv!$A$1:$C$119,2,1)</f>
        <v>Cup and groove</v>
      </c>
      <c r="E1534" t="str">
        <f>VLOOKUP(A1534,Panels!$A$1:$E$2104,5,0)</f>
        <v>Snook Bank</v>
      </c>
    </row>
    <row r="1535">
      <c r="A1535" s="3">
        <v>426.0</v>
      </c>
      <c r="B1535" s="3">
        <v>105.0</v>
      </c>
      <c r="C1535" s="3">
        <v>3.0</v>
      </c>
      <c r="D1535" t="str">
        <f>VLOOKUP(B1535,ERA_MOTIF_TYPES.csv!$A$1:$C$119,2,1)</f>
        <v>Two cups linked by a groove</v>
      </c>
      <c r="E1535" t="str">
        <f>VLOOKUP(A1535,Panels!$A$1:$E$2104,5,0)</f>
        <v>Snook Bank</v>
      </c>
    </row>
    <row r="1536">
      <c r="A1536" s="3">
        <v>426.0</v>
      </c>
      <c r="B1536" s="3">
        <v>107.0</v>
      </c>
      <c r="C1536" s="3">
        <v>4.0</v>
      </c>
      <c r="D1536" t="str">
        <f>VLOOKUP(B1536,ERA_MOTIF_TYPES.csv!$A$1:$C$119,2,1)</f>
        <v>Cup and ring with exterior groove</v>
      </c>
      <c r="E1536" t="str">
        <f>VLOOKUP(A1536,Panels!$A$1:$E$2104,5,0)</f>
        <v>Snook Bank</v>
      </c>
    </row>
    <row r="1537">
      <c r="A1537" s="3">
        <v>427.0</v>
      </c>
      <c r="B1537" s="3">
        <v>13.0</v>
      </c>
      <c r="C1537" s="3">
        <v>3.0</v>
      </c>
      <c r="D1537" t="str">
        <f>VLOOKUP(B1537,ERA_MOTIF_TYPES.csv!$A$1:$C$119,2,1)</f>
        <v>Single Ring + cup</v>
      </c>
      <c r="E1537" t="str">
        <f>VLOOKUP(A1537,Panels!$A$1:$E$2104,5,0)</f>
        <v>Snook Bank</v>
      </c>
    </row>
    <row r="1538">
      <c r="A1538" s="3">
        <v>427.0</v>
      </c>
      <c r="B1538" s="3">
        <v>25.0</v>
      </c>
      <c r="C1538" s="3">
        <v>1.0</v>
      </c>
      <c r="D1538" t="str">
        <f>VLOOKUP(B1538,ERA_MOTIF_TYPES.csv!$A$1:$C$119,2,1)</f>
        <v>Linear</v>
      </c>
      <c r="E1538" t="str">
        <f>VLOOKUP(A1538,Panels!$A$1:$E$2104,5,0)</f>
        <v>Snook Bank</v>
      </c>
    </row>
    <row r="1539">
      <c r="A1539" s="3">
        <v>427.0</v>
      </c>
      <c r="B1539" s="3">
        <v>27.0</v>
      </c>
      <c r="C1539" s="3">
        <v>1.0</v>
      </c>
      <c r="D1539" t="str">
        <f>VLOOKUP(B1539,ERA_MOTIF_TYPES.csv!$A$1:$C$119,2,1)</f>
        <v>Serpentine</v>
      </c>
      <c r="E1539" t="str">
        <f>VLOOKUP(A1539,Panels!$A$1:$E$2104,5,0)</f>
        <v>Snook Bank</v>
      </c>
    </row>
    <row r="1540">
      <c r="A1540" s="3">
        <v>427.0</v>
      </c>
      <c r="B1540" s="3">
        <v>52.0</v>
      </c>
      <c r="C1540" s="3">
        <v>15.0</v>
      </c>
      <c r="D1540" t="str">
        <f>VLOOKUP(B1540,ERA_MOTIF_TYPES.csv!$A$1:$C$119,2,1)</f>
        <v>Single or multiple cups</v>
      </c>
      <c r="E1540" t="str">
        <f>VLOOKUP(A1540,Panels!$A$1:$E$2104,5,0)</f>
        <v>Snook Bank</v>
      </c>
    </row>
    <row r="1541">
      <c r="A1541" s="3">
        <v>427.0</v>
      </c>
      <c r="B1541" s="3">
        <v>57.0</v>
      </c>
      <c r="C1541" s="3">
        <v>1.0</v>
      </c>
      <c r="D1541" t="str">
        <f>VLOOKUP(B1541,ERA_MOTIF_TYPES.csv!$A$1:$C$119,2,1)</f>
        <v>Cup and ring</v>
      </c>
      <c r="E1541" t="str">
        <f>VLOOKUP(A1541,Panels!$A$1:$E$2104,5,0)</f>
        <v>Snook Bank</v>
      </c>
    </row>
    <row r="1542">
      <c r="A1542" s="3">
        <v>427.0</v>
      </c>
      <c r="B1542" s="3">
        <v>87.0</v>
      </c>
      <c r="C1542" s="3">
        <v>4.0</v>
      </c>
      <c r="D1542" t="str">
        <f>VLOOKUP(B1542,ERA_MOTIF_TYPES.csv!$A$1:$C$119,2,1)</f>
        <v>Linear and angular groove</v>
      </c>
      <c r="E1542" t="str">
        <f>VLOOKUP(A1542,Panels!$A$1:$E$2104,5,0)</f>
        <v>Snook Bank</v>
      </c>
    </row>
    <row r="1543">
      <c r="A1543" s="3">
        <v>427.0</v>
      </c>
      <c r="B1543" s="3">
        <v>100.0</v>
      </c>
      <c r="C1543" s="3">
        <v>1.0</v>
      </c>
      <c r="D1543" t="str">
        <f>VLOOKUP(B1543,ERA_MOTIF_TYPES.csv!$A$1:$C$119,2,1)</f>
        <v>Pick marks</v>
      </c>
      <c r="E1543" t="str">
        <f>VLOOKUP(A1543,Panels!$A$1:$E$2104,5,0)</f>
        <v>Snook Bank</v>
      </c>
    </row>
    <row r="1544">
      <c r="A1544" s="3">
        <v>427.0</v>
      </c>
      <c r="B1544" s="3">
        <v>106.0</v>
      </c>
      <c r="C1544" s="3">
        <v>1.0</v>
      </c>
      <c r="D1544" t="str">
        <f>VLOOKUP(B1544,ERA_MOTIF_TYPES.csv!$A$1:$C$119,2,1)</f>
        <v>Long groove</v>
      </c>
      <c r="E1544" t="str">
        <f>VLOOKUP(A1544,Panels!$A$1:$E$2104,5,0)</f>
        <v>Snook Bank</v>
      </c>
    </row>
    <row r="1545">
      <c r="A1545" s="3">
        <v>427.0</v>
      </c>
      <c r="B1545" s="3">
        <v>107.0</v>
      </c>
      <c r="C1545" s="3">
        <v>2.0</v>
      </c>
      <c r="D1545" t="str">
        <f>VLOOKUP(B1545,ERA_MOTIF_TYPES.csv!$A$1:$C$119,2,1)</f>
        <v>Cup and ring with exterior groove</v>
      </c>
      <c r="E1545" t="str">
        <f>VLOOKUP(A1545,Panels!$A$1:$E$2104,5,0)</f>
        <v>Snook Bank</v>
      </c>
    </row>
    <row r="1546">
      <c r="A1546" s="3">
        <v>427.0</v>
      </c>
      <c r="B1546" s="3">
        <v>1.0</v>
      </c>
      <c r="C1546" s="3">
        <v>3.0</v>
      </c>
      <c r="D1546" t="str">
        <f>VLOOKUP(B1546,ERA_MOTIF_TYPES.csv!$A$1:$C$119,2,1)</f>
        <v>Cups Single</v>
      </c>
      <c r="E1546" t="str">
        <f>VLOOKUP(A1546,Panels!$A$1:$E$2104,5,0)</f>
        <v>Snook Bank</v>
      </c>
    </row>
    <row r="1547">
      <c r="A1547" s="3">
        <v>428.0</v>
      </c>
      <c r="B1547" s="3">
        <v>1.0</v>
      </c>
      <c r="C1547" s="3">
        <v>9.0</v>
      </c>
      <c r="D1547" t="str">
        <f>VLOOKUP(B1547,ERA_MOTIF_TYPES.csv!$A$1:$C$119,2,1)</f>
        <v>Cups Single</v>
      </c>
      <c r="E1547" t="str">
        <f>VLOOKUP(A1547,Panels!$A$1:$E$2104,5,0)</f>
        <v>Snook Bank</v>
      </c>
    </row>
    <row r="1548">
      <c r="A1548" s="3">
        <v>428.0</v>
      </c>
      <c r="B1548" s="3">
        <v>15.0</v>
      </c>
      <c r="C1548" s="3">
        <v>1.0</v>
      </c>
      <c r="D1548" t="str">
        <f>VLOOKUP(B1548,ERA_MOTIF_TYPES.csv!$A$1:$C$119,2,1)</f>
        <v>Multi Penanular + cup</v>
      </c>
      <c r="E1548" t="str">
        <f>VLOOKUP(A1548,Panels!$A$1:$E$2104,5,0)</f>
        <v>Snook Bank</v>
      </c>
    </row>
    <row r="1549">
      <c r="A1549" s="3">
        <v>428.0</v>
      </c>
      <c r="B1549" s="3">
        <v>17.0</v>
      </c>
      <c r="C1549" s="3">
        <v>5.0</v>
      </c>
      <c r="D1549" t="str">
        <f>VLOOKUP(B1549,ERA_MOTIF_TYPES.csv!$A$1:$C$119,2,1)</f>
        <v>Single Penannular + cup</v>
      </c>
      <c r="E1549" t="str">
        <f>VLOOKUP(A1549,Panels!$A$1:$E$2104,5,0)</f>
        <v>Snook Bank</v>
      </c>
    </row>
    <row r="1550">
      <c r="A1550" s="3">
        <v>428.0</v>
      </c>
      <c r="B1550" s="3">
        <v>27.0</v>
      </c>
      <c r="C1550" s="3">
        <v>1.0</v>
      </c>
      <c r="D1550" t="str">
        <f>VLOOKUP(B1550,ERA_MOTIF_TYPES.csv!$A$1:$C$119,2,1)</f>
        <v>Serpentine</v>
      </c>
      <c r="E1550" t="str">
        <f>VLOOKUP(A1550,Panels!$A$1:$E$2104,5,0)</f>
        <v>Snook Bank</v>
      </c>
    </row>
    <row r="1551">
      <c r="A1551" s="3">
        <v>428.0</v>
      </c>
      <c r="B1551" s="3">
        <v>52.0</v>
      </c>
      <c r="C1551" s="3">
        <v>15.0</v>
      </c>
      <c r="D1551" t="str">
        <f>VLOOKUP(B1551,ERA_MOTIF_TYPES.csv!$A$1:$C$119,2,1)</f>
        <v>Single or multiple cups</v>
      </c>
      <c r="E1551" t="str">
        <f>VLOOKUP(A1551,Panels!$A$1:$E$2104,5,0)</f>
        <v>Snook Bank</v>
      </c>
    </row>
    <row r="1552">
      <c r="A1552" s="3">
        <v>428.0</v>
      </c>
      <c r="B1552" s="3">
        <v>57.0</v>
      </c>
      <c r="C1552" s="3">
        <v>2.0</v>
      </c>
      <c r="D1552" t="str">
        <f>VLOOKUP(B1552,ERA_MOTIF_TYPES.csv!$A$1:$C$119,2,1)</f>
        <v>Cup and ring</v>
      </c>
      <c r="E1552" t="str">
        <f>VLOOKUP(A1552,Panels!$A$1:$E$2104,5,0)</f>
        <v>Snook Bank</v>
      </c>
    </row>
    <row r="1553">
      <c r="A1553" s="3">
        <v>428.0</v>
      </c>
      <c r="B1553" s="3">
        <v>59.0</v>
      </c>
      <c r="C1553" s="3">
        <v>2.0</v>
      </c>
      <c r="D1553" t="str">
        <f>VLOOKUP(B1553,ERA_MOTIF_TYPES.csv!$A$1:$C$119,2,1)</f>
        <v>Cup and penannular</v>
      </c>
      <c r="E1553" t="str">
        <f>VLOOKUP(A1553,Panels!$A$1:$E$2104,5,0)</f>
        <v>Snook Bank</v>
      </c>
    </row>
    <row r="1554">
      <c r="A1554" s="3">
        <v>428.0</v>
      </c>
      <c r="B1554" s="3">
        <v>61.0</v>
      </c>
      <c r="C1554" s="3">
        <v>2.0</v>
      </c>
      <c r="D1554" t="str">
        <f>VLOOKUP(B1554,ERA_MOTIF_TYPES.csv!$A$1:$C$119,2,1)</f>
        <v>Cup and arc (or semi-ovoid)</v>
      </c>
      <c r="E1554" t="str">
        <f>VLOOKUP(A1554,Panels!$A$1:$E$2104,5,0)</f>
        <v>Snook Bank</v>
      </c>
    </row>
    <row r="1555">
      <c r="A1555" s="3">
        <v>428.0</v>
      </c>
      <c r="B1555" s="3">
        <v>64.0</v>
      </c>
      <c r="C1555" s="3">
        <v>1.0</v>
      </c>
      <c r="D1555" t="str">
        <f>VLOOKUP(B1555,ERA_MOTIF_TYPES.csv!$A$1:$C$119,2,1)</f>
        <v>Cup with groove cutting through multiple rings</v>
      </c>
      <c r="E1555" t="str">
        <f>VLOOKUP(A1555,Panels!$A$1:$E$2104,5,0)</f>
        <v>Snook Bank</v>
      </c>
    </row>
    <row r="1556">
      <c r="A1556" s="3">
        <v>428.0</v>
      </c>
      <c r="B1556" s="3">
        <v>87.0</v>
      </c>
      <c r="C1556" s="3">
        <v>1.0</v>
      </c>
      <c r="D1556" t="str">
        <f>VLOOKUP(B1556,ERA_MOTIF_TYPES.csv!$A$1:$C$119,2,1)</f>
        <v>Linear and angular groove</v>
      </c>
      <c r="E1556" t="str">
        <f>VLOOKUP(A1556,Panels!$A$1:$E$2104,5,0)</f>
        <v>Snook Bank</v>
      </c>
    </row>
    <row r="1557">
      <c r="A1557" s="3">
        <v>428.0</v>
      </c>
      <c r="B1557" s="3">
        <v>100.0</v>
      </c>
      <c r="C1557" s="3">
        <v>1.0</v>
      </c>
      <c r="D1557" t="str">
        <f>VLOOKUP(B1557,ERA_MOTIF_TYPES.csv!$A$1:$C$119,2,1)</f>
        <v>Pick marks</v>
      </c>
      <c r="E1557" t="str">
        <f>VLOOKUP(A1557,Panels!$A$1:$E$2104,5,0)</f>
        <v>Snook Bank</v>
      </c>
    </row>
    <row r="1558">
      <c r="A1558" s="3">
        <v>428.0</v>
      </c>
      <c r="B1558" s="3">
        <v>103.0</v>
      </c>
      <c r="C1558" s="3">
        <v>1.0</v>
      </c>
      <c r="D1558" t="str">
        <f>VLOOKUP(B1558,ERA_MOTIF_TYPES.csv!$A$1:$C$119,2,1)</f>
        <v>Cup and groove</v>
      </c>
      <c r="E1558" t="str">
        <f>VLOOKUP(A1558,Panels!$A$1:$E$2104,5,0)</f>
        <v>Snook Bank</v>
      </c>
    </row>
    <row r="1559">
      <c r="A1559" s="3">
        <v>428.0</v>
      </c>
      <c r="B1559" s="3">
        <v>107.0</v>
      </c>
      <c r="C1559" s="3">
        <v>1.0</v>
      </c>
      <c r="D1559" t="str">
        <f>VLOOKUP(B1559,ERA_MOTIF_TYPES.csv!$A$1:$C$119,2,1)</f>
        <v>Cup and ring with exterior groove</v>
      </c>
      <c r="E1559" t="str">
        <f>VLOOKUP(A1559,Panels!$A$1:$E$2104,5,0)</f>
        <v>Snook Bank</v>
      </c>
    </row>
    <row r="1560">
      <c r="A1560" s="3">
        <v>428.0</v>
      </c>
      <c r="B1560" s="3">
        <v>110.0</v>
      </c>
      <c r="C1560" s="3">
        <v>2.0</v>
      </c>
      <c r="D1560" t="str">
        <f>VLOOKUP(B1560,ERA_MOTIF_TYPES.csv!$A$1:$C$119,2,1)</f>
        <v>Curved groove</v>
      </c>
      <c r="E1560" t="str">
        <f>VLOOKUP(A1560,Panels!$A$1:$E$2104,5,0)</f>
        <v>Snook Bank</v>
      </c>
    </row>
    <row r="1561">
      <c r="A1561" s="3">
        <v>429.0</v>
      </c>
      <c r="B1561" s="3">
        <v>1.0</v>
      </c>
      <c r="C1561" s="3">
        <v>5.0</v>
      </c>
      <c r="D1561" t="str">
        <f>VLOOKUP(B1561,ERA_MOTIF_TYPES.csv!$A$1:$C$119,2,1)</f>
        <v>Cups Single</v>
      </c>
      <c r="E1561" t="str">
        <f>VLOOKUP(A1561,Panels!$A$1:$E$2104,5,0)</f>
        <v>Snook Bank</v>
      </c>
    </row>
    <row r="1562">
      <c r="A1562" s="3">
        <v>429.0</v>
      </c>
      <c r="B1562" s="3">
        <v>17.0</v>
      </c>
      <c r="C1562" s="3">
        <v>1.0</v>
      </c>
      <c r="D1562" t="str">
        <f>VLOOKUP(B1562,ERA_MOTIF_TYPES.csv!$A$1:$C$119,2,1)</f>
        <v>Single Penannular + cup</v>
      </c>
      <c r="E1562" t="str">
        <f>VLOOKUP(A1562,Panels!$A$1:$E$2104,5,0)</f>
        <v>Snook Bank</v>
      </c>
    </row>
    <row r="1563">
      <c r="A1563" s="3">
        <v>429.0</v>
      </c>
      <c r="B1563" s="3">
        <v>52.0</v>
      </c>
      <c r="C1563" s="3">
        <v>5.0</v>
      </c>
      <c r="D1563" t="str">
        <f>VLOOKUP(B1563,ERA_MOTIF_TYPES.csv!$A$1:$C$119,2,1)</f>
        <v>Single or multiple cups</v>
      </c>
      <c r="E1563" t="str">
        <f>VLOOKUP(A1563,Panels!$A$1:$E$2104,5,0)</f>
        <v>Snook Bank</v>
      </c>
    </row>
    <row r="1564">
      <c r="A1564" s="3">
        <v>430.0</v>
      </c>
      <c r="B1564" s="3">
        <v>1.0</v>
      </c>
      <c r="C1564" s="3">
        <v>2.0</v>
      </c>
      <c r="D1564" t="str">
        <f>VLOOKUP(B1564,ERA_MOTIF_TYPES.csv!$A$1:$C$119,2,1)</f>
        <v>Cups Single</v>
      </c>
      <c r="E1564" t="str">
        <f>VLOOKUP(A1564,Panels!$A$1:$E$2104,5,0)</f>
        <v>Snook Bank</v>
      </c>
    </row>
    <row r="1565">
      <c r="A1565" s="3">
        <v>430.0</v>
      </c>
      <c r="B1565" s="3">
        <v>10.0</v>
      </c>
      <c r="C1565" s="3">
        <v>1.0</v>
      </c>
      <c r="D1565" t="str">
        <f>VLOOKUP(B1565,ERA_MOTIF_TYPES.csv!$A$1:$C$119,2,1)</f>
        <v>Single Arc</v>
      </c>
      <c r="E1565" t="str">
        <f>VLOOKUP(A1565,Panels!$A$1:$E$2104,5,0)</f>
        <v>Snook Bank</v>
      </c>
    </row>
    <row r="1566">
      <c r="A1566" s="3">
        <v>430.0</v>
      </c>
      <c r="B1566" s="3">
        <v>17.0</v>
      </c>
      <c r="C1566" s="3">
        <v>1.0</v>
      </c>
      <c r="D1566" t="str">
        <f>VLOOKUP(B1566,ERA_MOTIF_TYPES.csv!$A$1:$C$119,2,1)</f>
        <v>Single Penannular + cup</v>
      </c>
      <c r="E1566" t="str">
        <f>VLOOKUP(A1566,Panels!$A$1:$E$2104,5,0)</f>
        <v>Snook Bank</v>
      </c>
    </row>
    <row r="1567">
      <c r="A1567" s="3">
        <v>430.0</v>
      </c>
      <c r="B1567" s="3">
        <v>52.0</v>
      </c>
      <c r="C1567" s="3">
        <v>3.0</v>
      </c>
      <c r="D1567" t="str">
        <f>VLOOKUP(B1567,ERA_MOTIF_TYPES.csv!$A$1:$C$119,2,1)</f>
        <v>Single or multiple cups</v>
      </c>
      <c r="E1567" t="str">
        <f>VLOOKUP(A1567,Panels!$A$1:$E$2104,5,0)</f>
        <v>Snook Bank</v>
      </c>
    </row>
    <row r="1568">
      <c r="A1568" s="3">
        <v>431.0</v>
      </c>
      <c r="B1568" s="3">
        <v>1.0</v>
      </c>
      <c r="C1568" s="3">
        <v>3.0</v>
      </c>
      <c r="D1568" t="str">
        <f>VLOOKUP(B1568,ERA_MOTIF_TYPES.csv!$A$1:$C$119,2,1)</f>
        <v>Cups Single</v>
      </c>
      <c r="E1568" t="str">
        <f>VLOOKUP(A1568,Panels!$A$1:$E$2104,5,0)</f>
        <v>Snook Bank</v>
      </c>
    </row>
    <row r="1569">
      <c r="A1569" s="3">
        <v>431.0</v>
      </c>
      <c r="B1569" s="3">
        <v>52.0</v>
      </c>
      <c r="C1569" s="3">
        <v>2.0</v>
      </c>
      <c r="D1569" t="str">
        <f>VLOOKUP(B1569,ERA_MOTIF_TYPES.csv!$A$1:$C$119,2,1)</f>
        <v>Single or multiple cups</v>
      </c>
      <c r="E1569" t="str">
        <f>VLOOKUP(A1569,Panels!$A$1:$E$2104,5,0)</f>
        <v>Snook Bank</v>
      </c>
    </row>
    <row r="1570">
      <c r="A1570" s="3">
        <v>432.0</v>
      </c>
      <c r="B1570" s="3">
        <v>1.0</v>
      </c>
      <c r="C1570" s="3">
        <v>3.0</v>
      </c>
      <c r="D1570" t="str">
        <f>VLOOKUP(B1570,ERA_MOTIF_TYPES.csv!$A$1:$C$119,2,1)</f>
        <v>Cups Single</v>
      </c>
      <c r="E1570" t="str">
        <f>VLOOKUP(A1570,Panels!$A$1:$E$2104,5,0)</f>
        <v>Snook Bank</v>
      </c>
    </row>
    <row r="1571">
      <c r="A1571" s="3">
        <v>432.0</v>
      </c>
      <c r="B1571" s="3">
        <v>52.0</v>
      </c>
      <c r="C1571" s="3">
        <v>6.0</v>
      </c>
      <c r="D1571" t="str">
        <f>VLOOKUP(B1571,ERA_MOTIF_TYPES.csv!$A$1:$C$119,2,1)</f>
        <v>Single or multiple cups</v>
      </c>
      <c r="E1571" t="str">
        <f>VLOOKUP(A1571,Panels!$A$1:$E$2104,5,0)</f>
        <v>Snook Bank</v>
      </c>
    </row>
    <row r="1572">
      <c r="A1572" s="3">
        <v>433.0</v>
      </c>
      <c r="B1572" s="3">
        <v>1.0</v>
      </c>
      <c r="C1572" s="3">
        <v>35.0</v>
      </c>
      <c r="D1572" t="str">
        <f>VLOOKUP(B1572,ERA_MOTIF_TYPES.csv!$A$1:$C$119,2,1)</f>
        <v>Cups Single</v>
      </c>
      <c r="E1572" t="str">
        <f>VLOOKUP(A1572,Panels!$A$1:$E$2104,5,0)</f>
        <v>Snook Bank</v>
      </c>
    </row>
    <row r="1573">
      <c r="A1573" s="3">
        <v>433.0</v>
      </c>
      <c r="B1573" s="3">
        <v>17.0</v>
      </c>
      <c r="C1573" s="3">
        <v>2.0</v>
      </c>
      <c r="D1573" t="str">
        <f>VLOOKUP(B1573,ERA_MOTIF_TYPES.csv!$A$1:$C$119,2,1)</f>
        <v>Single Penannular + cup</v>
      </c>
      <c r="E1573" t="str">
        <f>VLOOKUP(A1573,Panels!$A$1:$E$2104,5,0)</f>
        <v>Snook Bank</v>
      </c>
    </row>
    <row r="1574">
      <c r="A1574" s="3">
        <v>433.0</v>
      </c>
      <c r="B1574" s="3">
        <v>25.0</v>
      </c>
      <c r="C1574" s="3">
        <v>3.0</v>
      </c>
      <c r="D1574" t="str">
        <f>VLOOKUP(B1574,ERA_MOTIF_TYPES.csv!$A$1:$C$119,2,1)</f>
        <v>Linear</v>
      </c>
      <c r="E1574" t="str">
        <f>VLOOKUP(A1574,Panels!$A$1:$E$2104,5,0)</f>
        <v>Snook Bank</v>
      </c>
    </row>
    <row r="1575">
      <c r="A1575" s="3">
        <v>433.0</v>
      </c>
      <c r="B1575" s="3">
        <v>31.0</v>
      </c>
      <c r="C1575" s="3">
        <v>7.0</v>
      </c>
      <c r="D1575" t="str">
        <f>VLOOKUP(B1575,ERA_MOTIF_TYPES.csv!$A$1:$C$119,2,1)</f>
        <v>Cup and Groove</v>
      </c>
      <c r="E1575" t="str">
        <f>VLOOKUP(A1575,Panels!$A$1:$E$2104,5,0)</f>
        <v>Snook Bank</v>
      </c>
    </row>
    <row r="1576">
      <c r="A1576" s="3">
        <v>433.0</v>
      </c>
      <c r="B1576" s="3">
        <v>52.0</v>
      </c>
      <c r="C1576" s="3">
        <v>32.0</v>
      </c>
      <c r="D1576" t="str">
        <f>VLOOKUP(B1576,ERA_MOTIF_TYPES.csv!$A$1:$C$119,2,1)</f>
        <v>Single or multiple cups</v>
      </c>
      <c r="E1576" t="str">
        <f>VLOOKUP(A1576,Panels!$A$1:$E$2104,5,0)</f>
        <v>Snook Bank</v>
      </c>
    </row>
    <row r="1577">
      <c r="A1577" s="3">
        <v>433.0</v>
      </c>
      <c r="B1577" s="3">
        <v>57.0</v>
      </c>
      <c r="C1577" s="3">
        <v>2.0</v>
      </c>
      <c r="D1577" t="str">
        <f>VLOOKUP(B1577,ERA_MOTIF_TYPES.csv!$A$1:$C$119,2,1)</f>
        <v>Cup and ring</v>
      </c>
      <c r="E1577" t="str">
        <f>VLOOKUP(A1577,Panels!$A$1:$E$2104,5,0)</f>
        <v>Snook Bank</v>
      </c>
    </row>
    <row r="1578">
      <c r="A1578" s="3">
        <v>433.0</v>
      </c>
      <c r="B1578" s="3">
        <v>87.0</v>
      </c>
      <c r="C1578" s="3">
        <v>3.0</v>
      </c>
      <c r="D1578" t="str">
        <f>VLOOKUP(B1578,ERA_MOTIF_TYPES.csv!$A$1:$C$119,2,1)</f>
        <v>Linear and angular groove</v>
      </c>
      <c r="E1578" t="str">
        <f>VLOOKUP(A1578,Panels!$A$1:$E$2104,5,0)</f>
        <v>Snook Bank</v>
      </c>
    </row>
    <row r="1579">
      <c r="A1579" s="3">
        <v>433.0</v>
      </c>
      <c r="B1579" s="3">
        <v>100.0</v>
      </c>
      <c r="C1579" s="3">
        <v>1.0</v>
      </c>
      <c r="D1579" t="str">
        <f>VLOOKUP(B1579,ERA_MOTIF_TYPES.csv!$A$1:$C$119,2,1)</f>
        <v>Pick marks</v>
      </c>
      <c r="E1579" t="str">
        <f>VLOOKUP(A1579,Panels!$A$1:$E$2104,5,0)</f>
        <v>Snook Bank</v>
      </c>
    </row>
    <row r="1580">
      <c r="A1580" s="3">
        <v>433.0</v>
      </c>
      <c r="B1580" s="3">
        <v>102.0</v>
      </c>
      <c r="C1580" s="3">
        <v>1.0</v>
      </c>
      <c r="D1580" t="str">
        <f>VLOOKUP(B1580,ERA_MOTIF_TYPES.csv!$A$1:$C$119,2,1)</f>
        <v>Crossed groove</v>
      </c>
      <c r="E1580" t="str">
        <f>VLOOKUP(A1580,Panels!$A$1:$E$2104,5,0)</f>
        <v>Snook Bank</v>
      </c>
    </row>
    <row r="1581">
      <c r="A1581" s="3">
        <v>433.0</v>
      </c>
      <c r="B1581" s="3">
        <v>103.0</v>
      </c>
      <c r="C1581" s="3">
        <v>3.0</v>
      </c>
      <c r="D1581" t="str">
        <f>VLOOKUP(B1581,ERA_MOTIF_TYPES.csv!$A$1:$C$119,2,1)</f>
        <v>Cup and groove</v>
      </c>
      <c r="E1581" t="str">
        <f>VLOOKUP(A1581,Panels!$A$1:$E$2104,5,0)</f>
        <v>Snook Bank</v>
      </c>
    </row>
    <row r="1582">
      <c r="A1582" s="3">
        <v>433.0</v>
      </c>
      <c r="B1582" s="3">
        <v>107.0</v>
      </c>
      <c r="C1582" s="3">
        <v>1.0</v>
      </c>
      <c r="D1582" t="str">
        <f>VLOOKUP(B1582,ERA_MOTIF_TYPES.csv!$A$1:$C$119,2,1)</f>
        <v>Cup and ring with exterior groove</v>
      </c>
      <c r="E1582" t="str">
        <f>VLOOKUP(A1582,Panels!$A$1:$E$2104,5,0)</f>
        <v>Snook Bank</v>
      </c>
    </row>
    <row r="1583">
      <c r="A1583" s="3">
        <v>434.0</v>
      </c>
      <c r="B1583" s="3">
        <v>1.0</v>
      </c>
      <c r="C1583" s="3">
        <v>7.0</v>
      </c>
      <c r="D1583" t="str">
        <f>VLOOKUP(B1583,ERA_MOTIF_TYPES.csv!$A$1:$C$119,2,1)</f>
        <v>Cups Single</v>
      </c>
      <c r="E1583" t="str">
        <f>VLOOKUP(A1583,Panels!$A$1:$E$2104,5,0)</f>
        <v>Snook Bank</v>
      </c>
    </row>
    <row r="1584">
      <c r="A1584" s="3">
        <v>434.0</v>
      </c>
      <c r="B1584" s="3">
        <v>25.0</v>
      </c>
      <c r="C1584" s="3">
        <v>2.0</v>
      </c>
      <c r="D1584" t="str">
        <f>VLOOKUP(B1584,ERA_MOTIF_TYPES.csv!$A$1:$C$119,2,1)</f>
        <v>Linear</v>
      </c>
      <c r="E1584" t="str">
        <f>VLOOKUP(A1584,Panels!$A$1:$E$2104,5,0)</f>
        <v>Snook Bank</v>
      </c>
    </row>
    <row r="1585">
      <c r="A1585" s="3">
        <v>434.0</v>
      </c>
      <c r="B1585" s="3">
        <v>52.0</v>
      </c>
      <c r="C1585" s="3">
        <v>9.0</v>
      </c>
      <c r="D1585" t="str">
        <f>VLOOKUP(B1585,ERA_MOTIF_TYPES.csv!$A$1:$C$119,2,1)</f>
        <v>Single or multiple cups</v>
      </c>
      <c r="E1585" t="str">
        <f>VLOOKUP(A1585,Panels!$A$1:$E$2104,5,0)</f>
        <v>Snook Bank</v>
      </c>
    </row>
    <row r="1586">
      <c r="A1586" s="3">
        <v>434.0</v>
      </c>
      <c r="B1586" s="3">
        <v>57.0</v>
      </c>
      <c r="C1586" s="3">
        <v>1.0</v>
      </c>
      <c r="D1586" t="str">
        <f>VLOOKUP(B1586,ERA_MOTIF_TYPES.csv!$A$1:$C$119,2,1)</f>
        <v>Cup and ring</v>
      </c>
      <c r="E1586" t="str">
        <f>VLOOKUP(A1586,Panels!$A$1:$E$2104,5,0)</f>
        <v>Snook Bank</v>
      </c>
    </row>
    <row r="1587">
      <c r="A1587" s="3">
        <v>434.0</v>
      </c>
      <c r="B1587" s="3">
        <v>105.0</v>
      </c>
      <c r="C1587" s="3">
        <v>2.0</v>
      </c>
      <c r="D1587" t="str">
        <f>VLOOKUP(B1587,ERA_MOTIF_TYPES.csv!$A$1:$C$119,2,1)</f>
        <v>Two cups linked by a groove</v>
      </c>
      <c r="E1587" t="str">
        <f>VLOOKUP(A1587,Panels!$A$1:$E$2104,5,0)</f>
        <v>Snook Bank</v>
      </c>
    </row>
    <row r="1588">
      <c r="A1588" s="3">
        <v>435.0</v>
      </c>
      <c r="B1588" s="3">
        <v>1.0</v>
      </c>
      <c r="C1588" s="3">
        <v>1.0</v>
      </c>
      <c r="D1588" t="str">
        <f>VLOOKUP(B1588,ERA_MOTIF_TYPES.csv!$A$1:$C$119,2,1)</f>
        <v>Cups Single</v>
      </c>
      <c r="E1588" t="str">
        <f>VLOOKUP(A1588,Panels!$A$1:$E$2104,5,0)</f>
        <v>Snook Bank</v>
      </c>
    </row>
    <row r="1589">
      <c r="A1589" s="3">
        <v>435.0</v>
      </c>
      <c r="B1589" s="3">
        <v>52.0</v>
      </c>
      <c r="C1589" s="3">
        <v>1.0</v>
      </c>
      <c r="D1589" t="str">
        <f>VLOOKUP(B1589,ERA_MOTIF_TYPES.csv!$A$1:$C$119,2,1)</f>
        <v>Single or multiple cups</v>
      </c>
      <c r="E1589" t="str">
        <f>VLOOKUP(A1589,Panels!$A$1:$E$2104,5,0)</f>
        <v>Snook Bank</v>
      </c>
    </row>
    <row r="1590">
      <c r="A1590" s="3">
        <v>436.0</v>
      </c>
      <c r="B1590" s="3">
        <v>1.0</v>
      </c>
      <c r="C1590" s="3">
        <v>10.0</v>
      </c>
      <c r="D1590" t="str">
        <f>VLOOKUP(B1590,ERA_MOTIF_TYPES.csv!$A$1:$C$119,2,1)</f>
        <v>Cups Single</v>
      </c>
      <c r="E1590" t="str">
        <f>VLOOKUP(A1590,Panels!$A$1:$E$2104,5,0)</f>
        <v>Snook Bank</v>
      </c>
    </row>
    <row r="1591">
      <c r="A1591" s="3">
        <v>436.0</v>
      </c>
      <c r="B1591" s="3">
        <v>25.0</v>
      </c>
      <c r="C1591" s="3">
        <v>7.0</v>
      </c>
      <c r="D1591" t="str">
        <f>VLOOKUP(B1591,ERA_MOTIF_TYPES.csv!$A$1:$C$119,2,1)</f>
        <v>Linear</v>
      </c>
      <c r="E1591" t="str">
        <f>VLOOKUP(A1591,Panels!$A$1:$E$2104,5,0)</f>
        <v>Snook Bank</v>
      </c>
    </row>
    <row r="1592">
      <c r="A1592" s="3">
        <v>436.0</v>
      </c>
      <c r="B1592" s="3">
        <v>52.0</v>
      </c>
      <c r="C1592" s="3">
        <v>9.0</v>
      </c>
      <c r="D1592" t="str">
        <f>VLOOKUP(B1592,ERA_MOTIF_TYPES.csv!$A$1:$C$119,2,1)</f>
        <v>Single or multiple cups</v>
      </c>
      <c r="E1592" t="str">
        <f>VLOOKUP(A1592,Panels!$A$1:$E$2104,5,0)</f>
        <v>Snook Bank</v>
      </c>
    </row>
    <row r="1593">
      <c r="A1593" s="3">
        <v>436.0</v>
      </c>
      <c r="B1593" s="3">
        <v>93.0</v>
      </c>
      <c r="C1593" s="3">
        <v>7.0</v>
      </c>
      <c r="D1593" t="str">
        <f>VLOOKUP(B1593,ERA_MOTIF_TYPES.csv!$A$1:$C$119,2,1)</f>
        <v>Midget cup</v>
      </c>
      <c r="E1593" t="str">
        <f>VLOOKUP(A1593,Panels!$A$1:$E$2104,5,0)</f>
        <v>Snook Bank</v>
      </c>
    </row>
    <row r="1594">
      <c r="A1594" s="3">
        <v>436.0</v>
      </c>
      <c r="B1594" s="3">
        <v>105.0</v>
      </c>
      <c r="C1594" s="3">
        <v>1.0</v>
      </c>
      <c r="D1594" t="str">
        <f>VLOOKUP(B1594,ERA_MOTIF_TYPES.csv!$A$1:$C$119,2,1)</f>
        <v>Two cups linked by a groove</v>
      </c>
      <c r="E1594" t="str">
        <f>VLOOKUP(A1594,Panels!$A$1:$E$2104,5,0)</f>
        <v>Snook Bank</v>
      </c>
    </row>
    <row r="1595">
      <c r="A1595" s="3">
        <v>437.0</v>
      </c>
      <c r="B1595" s="3">
        <v>1.0</v>
      </c>
      <c r="C1595" s="3">
        <v>2.0</v>
      </c>
      <c r="D1595" t="str">
        <f>VLOOKUP(B1595,ERA_MOTIF_TYPES.csv!$A$1:$C$119,2,1)</f>
        <v>Cups Single</v>
      </c>
      <c r="E1595" t="str">
        <f>VLOOKUP(A1595,Panels!$A$1:$E$2104,5,0)</f>
        <v>Snook Bank</v>
      </c>
    </row>
    <row r="1596">
      <c r="A1596" s="3">
        <v>437.0</v>
      </c>
      <c r="B1596" s="3">
        <v>52.0</v>
      </c>
      <c r="C1596" s="3">
        <v>2.0</v>
      </c>
      <c r="D1596" t="str">
        <f>VLOOKUP(B1596,ERA_MOTIF_TYPES.csv!$A$1:$C$119,2,1)</f>
        <v>Single or multiple cups</v>
      </c>
      <c r="E1596" t="str">
        <f>VLOOKUP(A1596,Panels!$A$1:$E$2104,5,0)</f>
        <v>Snook Bank</v>
      </c>
    </row>
    <row r="1597">
      <c r="A1597" s="3">
        <v>438.0</v>
      </c>
      <c r="B1597" s="3">
        <v>1.0</v>
      </c>
      <c r="C1597" s="3">
        <v>2.0</v>
      </c>
      <c r="D1597" t="str">
        <f>VLOOKUP(B1597,ERA_MOTIF_TYPES.csv!$A$1:$C$119,2,1)</f>
        <v>Cups Single</v>
      </c>
      <c r="E1597" t="str">
        <f>VLOOKUP(A1597,Panels!$A$1:$E$2104,5,0)</f>
        <v>Snook Bank</v>
      </c>
    </row>
    <row r="1598">
      <c r="A1598" s="3">
        <v>438.0</v>
      </c>
      <c r="B1598" s="3">
        <v>52.0</v>
      </c>
      <c r="C1598" s="3">
        <v>2.0</v>
      </c>
      <c r="D1598" t="str">
        <f>VLOOKUP(B1598,ERA_MOTIF_TYPES.csv!$A$1:$C$119,2,1)</f>
        <v>Single or multiple cups</v>
      </c>
      <c r="E1598" t="str">
        <f>VLOOKUP(A1598,Panels!$A$1:$E$2104,5,0)</f>
        <v>Snook Bank</v>
      </c>
    </row>
    <row r="1599">
      <c r="A1599" s="3">
        <v>439.0</v>
      </c>
      <c r="B1599" s="3">
        <v>1.0</v>
      </c>
      <c r="C1599" s="3">
        <v>8.0</v>
      </c>
      <c r="D1599" t="str">
        <f>VLOOKUP(B1599,ERA_MOTIF_TYPES.csv!$A$1:$C$119,2,1)</f>
        <v>Cups Single</v>
      </c>
      <c r="E1599" t="str">
        <f>VLOOKUP(A1599,Panels!$A$1:$E$2104,5,0)</f>
        <v>Snook Bank</v>
      </c>
    </row>
    <row r="1600">
      <c r="A1600" s="3">
        <v>439.0</v>
      </c>
      <c r="B1600" s="3">
        <v>52.0</v>
      </c>
      <c r="C1600" s="3">
        <v>4.0</v>
      </c>
      <c r="D1600" t="str">
        <f>VLOOKUP(B1600,ERA_MOTIF_TYPES.csv!$A$1:$C$119,2,1)</f>
        <v>Single or multiple cups</v>
      </c>
      <c r="E1600" t="str">
        <f>VLOOKUP(A1600,Panels!$A$1:$E$2104,5,0)</f>
        <v>Snook Bank</v>
      </c>
    </row>
    <row r="1601">
      <c r="A1601" s="3">
        <v>439.0</v>
      </c>
      <c r="B1601" s="3">
        <v>93.0</v>
      </c>
      <c r="C1601" s="3">
        <v>1.0</v>
      </c>
      <c r="D1601" t="str">
        <f>VLOOKUP(B1601,ERA_MOTIF_TYPES.csv!$A$1:$C$119,2,1)</f>
        <v>Midget cup</v>
      </c>
      <c r="E1601" t="str">
        <f>VLOOKUP(A1601,Panels!$A$1:$E$2104,5,0)</f>
        <v>Snook Bank</v>
      </c>
    </row>
    <row r="1602">
      <c r="A1602" s="3">
        <v>440.0</v>
      </c>
      <c r="B1602" s="3">
        <v>1.0</v>
      </c>
      <c r="C1602" s="3">
        <v>5.0</v>
      </c>
      <c r="D1602" t="str">
        <f>VLOOKUP(B1602,ERA_MOTIF_TYPES.csv!$A$1:$C$119,2,1)</f>
        <v>Cups Single</v>
      </c>
      <c r="E1602" t="str">
        <f>VLOOKUP(A1602,Panels!$A$1:$E$2104,5,0)</f>
        <v>Snook Bank</v>
      </c>
    </row>
    <row r="1603">
      <c r="A1603" s="3">
        <v>440.0</v>
      </c>
      <c r="B1603" s="3">
        <v>13.0</v>
      </c>
      <c r="C1603" s="3">
        <v>1.0</v>
      </c>
      <c r="D1603" t="str">
        <f>VLOOKUP(B1603,ERA_MOTIF_TYPES.csv!$A$1:$C$119,2,1)</f>
        <v>Single Ring + cup</v>
      </c>
      <c r="E1603" t="str">
        <f>VLOOKUP(A1603,Panels!$A$1:$E$2104,5,0)</f>
        <v>Snook Bank</v>
      </c>
    </row>
    <row r="1604">
      <c r="A1604" s="3">
        <v>440.0</v>
      </c>
      <c r="B1604" s="3">
        <v>52.0</v>
      </c>
      <c r="C1604" s="3">
        <v>4.0</v>
      </c>
      <c r="D1604" t="str">
        <f>VLOOKUP(B1604,ERA_MOTIF_TYPES.csv!$A$1:$C$119,2,1)</f>
        <v>Single or multiple cups</v>
      </c>
      <c r="E1604" t="str">
        <f>VLOOKUP(A1604,Panels!$A$1:$E$2104,5,0)</f>
        <v>Snook Bank</v>
      </c>
    </row>
    <row r="1605">
      <c r="A1605" s="3">
        <v>440.0</v>
      </c>
      <c r="B1605" s="3">
        <v>57.0</v>
      </c>
      <c r="C1605" s="3">
        <v>1.0</v>
      </c>
      <c r="D1605" t="str">
        <f>VLOOKUP(B1605,ERA_MOTIF_TYPES.csv!$A$1:$C$119,2,1)</f>
        <v>Cup and ring</v>
      </c>
      <c r="E1605" t="str">
        <f>VLOOKUP(A1605,Panels!$A$1:$E$2104,5,0)</f>
        <v>Snook Bank</v>
      </c>
    </row>
    <row r="1606">
      <c r="A1606" s="3">
        <v>441.0</v>
      </c>
      <c r="B1606" s="3">
        <v>1.0</v>
      </c>
      <c r="C1606" s="3">
        <v>4.0</v>
      </c>
      <c r="D1606" t="str">
        <f>VLOOKUP(B1606,ERA_MOTIF_TYPES.csv!$A$1:$C$119,2,1)</f>
        <v>Cups Single</v>
      </c>
      <c r="E1606" t="str">
        <f>VLOOKUP(A1606,Panels!$A$1:$E$2104,5,0)</f>
        <v>Snook Bank</v>
      </c>
    </row>
    <row r="1607">
      <c r="A1607" s="3">
        <v>441.0</v>
      </c>
      <c r="B1607" s="3">
        <v>16.0</v>
      </c>
      <c r="C1607" s="3">
        <v>1.0</v>
      </c>
      <c r="D1607" t="str">
        <f>VLOOKUP(B1607,ERA_MOTIF_TYPES.csv!$A$1:$C$119,2,1)</f>
        <v>Single Arc + cup</v>
      </c>
      <c r="E1607" t="str">
        <f>VLOOKUP(A1607,Panels!$A$1:$E$2104,5,0)</f>
        <v>Snook Bank</v>
      </c>
    </row>
    <row r="1608">
      <c r="A1608" s="3">
        <v>441.0</v>
      </c>
      <c r="B1608" s="3">
        <v>17.0</v>
      </c>
      <c r="C1608" s="3">
        <v>1.0</v>
      </c>
      <c r="D1608" t="str">
        <f>VLOOKUP(B1608,ERA_MOTIF_TYPES.csv!$A$1:$C$119,2,1)</f>
        <v>Single Penannular + cup</v>
      </c>
      <c r="E1608" t="str">
        <f>VLOOKUP(A1608,Panels!$A$1:$E$2104,5,0)</f>
        <v>Snook Bank</v>
      </c>
    </row>
    <row r="1609">
      <c r="A1609" s="3">
        <v>441.0</v>
      </c>
      <c r="B1609" s="3">
        <v>52.0</v>
      </c>
      <c r="C1609" s="3">
        <v>15.0</v>
      </c>
      <c r="D1609" t="str">
        <f>VLOOKUP(B1609,ERA_MOTIF_TYPES.csv!$A$1:$C$119,2,1)</f>
        <v>Single or multiple cups</v>
      </c>
      <c r="E1609" t="str">
        <f>VLOOKUP(A1609,Panels!$A$1:$E$2104,5,0)</f>
        <v>Snook Bank</v>
      </c>
    </row>
    <row r="1610">
      <c r="A1610" s="3">
        <v>441.0</v>
      </c>
      <c r="B1610" s="3">
        <v>57.0</v>
      </c>
      <c r="C1610" s="3">
        <v>2.0</v>
      </c>
      <c r="D1610" t="str">
        <f>VLOOKUP(B1610,ERA_MOTIF_TYPES.csv!$A$1:$C$119,2,1)</f>
        <v>Cup and ring</v>
      </c>
      <c r="E1610" t="str">
        <f>VLOOKUP(A1610,Panels!$A$1:$E$2104,5,0)</f>
        <v>Snook Bank</v>
      </c>
    </row>
    <row r="1611">
      <c r="A1611" s="3">
        <v>441.0</v>
      </c>
      <c r="B1611" s="3">
        <v>73.0</v>
      </c>
      <c r="C1611" s="3">
        <v>1.0</v>
      </c>
      <c r="D1611" t="str">
        <f>VLOOKUP(B1611,ERA_MOTIF_TYPES.csv!$A$1:$C$119,2,1)</f>
        <v>Arc</v>
      </c>
      <c r="E1611" t="str">
        <f>VLOOKUP(A1611,Panels!$A$1:$E$2104,5,0)</f>
        <v>Snook Bank</v>
      </c>
    </row>
    <row r="1612">
      <c r="A1612" s="3">
        <v>441.0</v>
      </c>
      <c r="B1612" s="3">
        <v>87.0</v>
      </c>
      <c r="C1612" s="3">
        <v>1.0</v>
      </c>
      <c r="D1612" t="str">
        <f>VLOOKUP(B1612,ERA_MOTIF_TYPES.csv!$A$1:$C$119,2,1)</f>
        <v>Linear and angular groove</v>
      </c>
      <c r="E1612" t="str">
        <f>VLOOKUP(A1612,Panels!$A$1:$E$2104,5,0)</f>
        <v>Snook Bank</v>
      </c>
    </row>
    <row r="1613">
      <c r="A1613" s="3">
        <v>442.0</v>
      </c>
      <c r="B1613" s="3">
        <v>1.0</v>
      </c>
      <c r="C1613" s="3">
        <v>12.0</v>
      </c>
      <c r="D1613" t="str">
        <f>VLOOKUP(B1613,ERA_MOTIF_TYPES.csv!$A$1:$C$119,2,1)</f>
        <v>Cups Single</v>
      </c>
      <c r="E1613" t="str">
        <f>VLOOKUP(A1613,Panels!$A$1:$E$2104,5,0)</f>
        <v>Snook Bank</v>
      </c>
    </row>
    <row r="1614">
      <c r="A1614" s="3">
        <v>442.0</v>
      </c>
      <c r="B1614" s="3">
        <v>52.0</v>
      </c>
      <c r="C1614" s="3">
        <v>13.0</v>
      </c>
      <c r="D1614" t="str">
        <f>VLOOKUP(B1614,ERA_MOTIF_TYPES.csv!$A$1:$C$119,2,1)</f>
        <v>Single or multiple cups</v>
      </c>
      <c r="E1614" t="str">
        <f>VLOOKUP(A1614,Panels!$A$1:$E$2104,5,0)</f>
        <v>Snook Bank</v>
      </c>
    </row>
    <row r="1615">
      <c r="A1615" s="3">
        <v>443.0</v>
      </c>
      <c r="B1615" s="3">
        <v>1.0</v>
      </c>
      <c r="C1615" s="3">
        <v>6.0</v>
      </c>
      <c r="D1615" t="str">
        <f>VLOOKUP(B1615,ERA_MOTIF_TYPES.csv!$A$1:$C$119,2,1)</f>
        <v>Cups Single</v>
      </c>
      <c r="E1615" t="str">
        <f>VLOOKUP(A1615,Panels!$A$1:$E$2104,5,0)</f>
        <v>Snook Bank</v>
      </c>
    </row>
    <row r="1616">
      <c r="A1616" s="3">
        <v>443.0</v>
      </c>
      <c r="B1616" s="3">
        <v>52.0</v>
      </c>
      <c r="C1616" s="3">
        <v>5.0</v>
      </c>
      <c r="D1616" t="str">
        <f>VLOOKUP(B1616,ERA_MOTIF_TYPES.csv!$A$1:$C$119,2,1)</f>
        <v>Single or multiple cups</v>
      </c>
      <c r="E1616" t="str">
        <f>VLOOKUP(A1616,Panels!$A$1:$E$2104,5,0)</f>
        <v>Snook Bank</v>
      </c>
    </row>
    <row r="1617">
      <c r="A1617" s="3">
        <v>443.0</v>
      </c>
      <c r="B1617" s="3">
        <v>55.0</v>
      </c>
      <c r="C1617" s="3">
        <v>1.0</v>
      </c>
      <c r="D1617" t="str">
        <f>VLOOKUP(B1617,ERA_MOTIF_TYPES.csv!$A$1:$C$119,2,1)</f>
        <v>Cups in a straight or curved line</v>
      </c>
      <c r="E1617" t="str">
        <f>VLOOKUP(A1617,Panels!$A$1:$E$2104,5,0)</f>
        <v>Snook Bank</v>
      </c>
    </row>
    <row r="1618">
      <c r="A1618" s="3">
        <v>444.0</v>
      </c>
      <c r="B1618" s="3">
        <v>1.0</v>
      </c>
      <c r="C1618" s="3">
        <v>2.0</v>
      </c>
      <c r="D1618" t="str">
        <f>VLOOKUP(B1618,ERA_MOTIF_TYPES.csv!$A$1:$C$119,2,1)</f>
        <v>Cups Single</v>
      </c>
      <c r="E1618" t="str">
        <f>VLOOKUP(A1618,Panels!$A$1:$E$2104,5,0)</f>
        <v>Snook Bank</v>
      </c>
    </row>
    <row r="1619">
      <c r="A1619" s="3">
        <v>444.0</v>
      </c>
      <c r="B1619" s="3">
        <v>25.0</v>
      </c>
      <c r="C1619" s="3">
        <v>1.0</v>
      </c>
      <c r="D1619" t="str">
        <f>VLOOKUP(B1619,ERA_MOTIF_TYPES.csv!$A$1:$C$119,2,1)</f>
        <v>Linear</v>
      </c>
      <c r="E1619" t="str">
        <f>VLOOKUP(A1619,Panels!$A$1:$E$2104,5,0)</f>
        <v>Snook Bank</v>
      </c>
    </row>
    <row r="1620">
      <c r="A1620" s="3">
        <v>444.0</v>
      </c>
      <c r="B1620" s="3">
        <v>52.0</v>
      </c>
      <c r="C1620" s="3">
        <v>3.0</v>
      </c>
      <c r="D1620" t="str">
        <f>VLOOKUP(B1620,ERA_MOTIF_TYPES.csv!$A$1:$C$119,2,1)</f>
        <v>Single or multiple cups</v>
      </c>
      <c r="E1620" t="str">
        <f>VLOOKUP(A1620,Panels!$A$1:$E$2104,5,0)</f>
        <v>Snook Bank</v>
      </c>
    </row>
    <row r="1621">
      <c r="A1621" s="3">
        <v>445.0</v>
      </c>
      <c r="B1621" s="3">
        <v>1.0</v>
      </c>
      <c r="C1621" s="3">
        <v>2.0</v>
      </c>
      <c r="D1621" t="str">
        <f>VLOOKUP(B1621,ERA_MOTIF_TYPES.csv!$A$1:$C$119,2,1)</f>
        <v>Cups Single</v>
      </c>
      <c r="E1621" t="str">
        <f>VLOOKUP(A1621,Panels!$A$1:$E$2104,5,0)</f>
        <v>Snook Bank</v>
      </c>
    </row>
    <row r="1622">
      <c r="A1622" s="3">
        <v>445.0</v>
      </c>
      <c r="B1622" s="3">
        <v>52.0</v>
      </c>
      <c r="C1622" s="3">
        <v>1.0</v>
      </c>
      <c r="D1622" t="str">
        <f>VLOOKUP(B1622,ERA_MOTIF_TYPES.csv!$A$1:$C$119,2,1)</f>
        <v>Single or multiple cups</v>
      </c>
      <c r="E1622" t="str">
        <f>VLOOKUP(A1622,Panels!$A$1:$E$2104,5,0)</f>
        <v>Snook Bank</v>
      </c>
    </row>
    <row r="1623">
      <c r="A1623" s="3">
        <v>446.0</v>
      </c>
      <c r="B1623" s="3">
        <v>1.0</v>
      </c>
      <c r="C1623" s="3">
        <v>4.0</v>
      </c>
      <c r="D1623" t="str">
        <f>VLOOKUP(B1623,ERA_MOTIF_TYPES.csv!$A$1:$C$119,2,1)</f>
        <v>Cups Single</v>
      </c>
      <c r="E1623" t="str">
        <f>VLOOKUP(A1623,Panels!$A$1:$E$2104,5,0)</f>
        <v>Snook Bank</v>
      </c>
    </row>
    <row r="1624">
      <c r="A1624" s="3">
        <v>446.0</v>
      </c>
      <c r="B1624" s="3">
        <v>31.0</v>
      </c>
      <c r="C1624" s="3">
        <v>1.0</v>
      </c>
      <c r="D1624" t="str">
        <f>VLOOKUP(B1624,ERA_MOTIF_TYPES.csv!$A$1:$C$119,2,1)</f>
        <v>Cup and Groove</v>
      </c>
      <c r="E1624" t="str">
        <f>VLOOKUP(A1624,Panels!$A$1:$E$2104,5,0)</f>
        <v>Snook Bank</v>
      </c>
    </row>
    <row r="1625">
      <c r="A1625" s="3">
        <v>446.0</v>
      </c>
      <c r="B1625" s="3">
        <v>52.0</v>
      </c>
      <c r="C1625" s="3">
        <v>2.0</v>
      </c>
      <c r="D1625" t="str">
        <f>VLOOKUP(B1625,ERA_MOTIF_TYPES.csv!$A$1:$C$119,2,1)</f>
        <v>Single or multiple cups</v>
      </c>
      <c r="E1625" t="str">
        <f>VLOOKUP(A1625,Panels!$A$1:$E$2104,5,0)</f>
        <v>Snook Bank</v>
      </c>
    </row>
    <row r="1626">
      <c r="A1626" s="3">
        <v>446.0</v>
      </c>
      <c r="B1626" s="3">
        <v>103.0</v>
      </c>
      <c r="C1626" s="3">
        <v>1.0</v>
      </c>
      <c r="D1626" t="str">
        <f>VLOOKUP(B1626,ERA_MOTIF_TYPES.csv!$A$1:$C$119,2,1)</f>
        <v>Cup and groove</v>
      </c>
      <c r="E1626" t="str">
        <f>VLOOKUP(A1626,Panels!$A$1:$E$2104,5,0)</f>
        <v>Snook Bank</v>
      </c>
    </row>
    <row r="1627">
      <c r="A1627" s="3">
        <v>447.0</v>
      </c>
      <c r="B1627" s="3">
        <v>1.0</v>
      </c>
      <c r="C1627" s="3">
        <v>5.0</v>
      </c>
      <c r="D1627" t="str">
        <f>VLOOKUP(B1627,ERA_MOTIF_TYPES.csv!$A$1:$C$119,2,1)</f>
        <v>Cups Single</v>
      </c>
      <c r="E1627" t="str">
        <f>VLOOKUP(A1627,Panels!$A$1:$E$2104,5,0)</f>
        <v>Snook Bank</v>
      </c>
    </row>
    <row r="1628">
      <c r="A1628" s="3">
        <v>447.0</v>
      </c>
      <c r="B1628" s="3">
        <v>52.0</v>
      </c>
      <c r="C1628" s="3">
        <v>5.0</v>
      </c>
      <c r="D1628" t="str">
        <f>VLOOKUP(B1628,ERA_MOTIF_TYPES.csv!$A$1:$C$119,2,1)</f>
        <v>Single or multiple cups</v>
      </c>
      <c r="E1628" t="str">
        <f>VLOOKUP(A1628,Panels!$A$1:$E$2104,5,0)</f>
        <v>Snook Bank</v>
      </c>
    </row>
    <row r="1629">
      <c r="A1629" s="3">
        <v>448.0</v>
      </c>
      <c r="B1629" s="3">
        <v>1.0</v>
      </c>
      <c r="C1629" s="3">
        <v>1.0</v>
      </c>
      <c r="D1629" t="str">
        <f>VLOOKUP(B1629,ERA_MOTIF_TYPES.csv!$A$1:$C$119,2,1)</f>
        <v>Cups Single</v>
      </c>
      <c r="E1629" t="str">
        <f>VLOOKUP(A1629,Panels!$A$1:$E$2104,5,0)</f>
        <v>Snook Bank</v>
      </c>
    </row>
    <row r="1630">
      <c r="A1630" s="3">
        <v>448.0</v>
      </c>
      <c r="B1630" s="3">
        <v>52.0</v>
      </c>
      <c r="C1630" s="3">
        <v>1.0</v>
      </c>
      <c r="D1630" t="str">
        <f>VLOOKUP(B1630,ERA_MOTIF_TYPES.csv!$A$1:$C$119,2,1)</f>
        <v>Single or multiple cups</v>
      </c>
      <c r="E1630" t="str">
        <f>VLOOKUP(A1630,Panels!$A$1:$E$2104,5,0)</f>
        <v>Snook Bank</v>
      </c>
    </row>
    <row r="1631">
      <c r="A1631" s="3">
        <v>449.0</v>
      </c>
      <c r="B1631" s="3">
        <v>1.0</v>
      </c>
      <c r="C1631" s="3">
        <v>4.0</v>
      </c>
      <c r="D1631" t="str">
        <f>VLOOKUP(B1631,ERA_MOTIF_TYPES.csv!$A$1:$C$119,2,1)</f>
        <v>Cups Single</v>
      </c>
      <c r="E1631" t="str">
        <f>VLOOKUP(A1631,Panels!$A$1:$E$2104,5,0)</f>
        <v>Snook Bank</v>
      </c>
    </row>
    <row r="1632">
      <c r="A1632" s="3">
        <v>449.0</v>
      </c>
      <c r="B1632" s="3">
        <v>52.0</v>
      </c>
      <c r="C1632" s="3">
        <v>4.0</v>
      </c>
      <c r="D1632" t="str">
        <f>VLOOKUP(B1632,ERA_MOTIF_TYPES.csv!$A$1:$C$119,2,1)</f>
        <v>Single or multiple cups</v>
      </c>
      <c r="E1632" t="str">
        <f>VLOOKUP(A1632,Panels!$A$1:$E$2104,5,0)</f>
        <v>Snook Bank</v>
      </c>
    </row>
    <row r="1633">
      <c r="A1633" s="3">
        <v>450.0</v>
      </c>
      <c r="B1633" s="3">
        <v>1.0</v>
      </c>
      <c r="C1633" s="3">
        <v>6.0</v>
      </c>
      <c r="D1633" t="str">
        <f>VLOOKUP(B1633,ERA_MOTIF_TYPES.csv!$A$1:$C$119,2,1)</f>
        <v>Cups Single</v>
      </c>
      <c r="E1633" t="str">
        <f>VLOOKUP(A1633,Panels!$A$1:$E$2104,5,0)</f>
        <v>Snook Bank</v>
      </c>
    </row>
    <row r="1634">
      <c r="A1634" s="3">
        <v>450.0</v>
      </c>
      <c r="B1634" s="3">
        <v>13.0</v>
      </c>
      <c r="C1634" s="3">
        <v>1.0</v>
      </c>
      <c r="D1634" t="str">
        <f>VLOOKUP(B1634,ERA_MOTIF_TYPES.csv!$A$1:$C$119,2,1)</f>
        <v>Single Ring + cup</v>
      </c>
      <c r="E1634" t="str">
        <f>VLOOKUP(A1634,Panels!$A$1:$E$2104,5,0)</f>
        <v>Snook Bank</v>
      </c>
    </row>
    <row r="1635">
      <c r="A1635" s="3">
        <v>450.0</v>
      </c>
      <c r="B1635" s="3">
        <v>52.0</v>
      </c>
      <c r="C1635" s="3">
        <v>5.0</v>
      </c>
      <c r="D1635" t="str">
        <f>VLOOKUP(B1635,ERA_MOTIF_TYPES.csv!$A$1:$C$119,2,1)</f>
        <v>Single or multiple cups</v>
      </c>
      <c r="E1635" t="str">
        <f>VLOOKUP(A1635,Panels!$A$1:$E$2104,5,0)</f>
        <v>Snook Bank</v>
      </c>
    </row>
    <row r="1636">
      <c r="A1636" s="3">
        <v>451.0</v>
      </c>
      <c r="B1636" s="3">
        <v>1.0</v>
      </c>
      <c r="C1636" s="3">
        <v>3.0</v>
      </c>
      <c r="D1636" t="str">
        <f>VLOOKUP(B1636,ERA_MOTIF_TYPES.csv!$A$1:$C$119,2,1)</f>
        <v>Cups Single</v>
      </c>
      <c r="E1636" t="str">
        <f>VLOOKUP(A1636,Panels!$A$1:$E$2104,5,0)</f>
        <v>Snook Bank</v>
      </c>
    </row>
    <row r="1637">
      <c r="A1637" s="3">
        <v>452.0</v>
      </c>
      <c r="B1637" s="3">
        <v>1.0</v>
      </c>
      <c r="C1637" s="3">
        <v>2.0</v>
      </c>
      <c r="D1637" t="str">
        <f>VLOOKUP(B1637,ERA_MOTIF_TYPES.csv!$A$1:$C$119,2,1)</f>
        <v>Cups Single</v>
      </c>
      <c r="E1637" t="str">
        <f>VLOOKUP(A1637,Panels!$A$1:$E$2104,5,0)</f>
        <v>Snook Bank</v>
      </c>
    </row>
    <row r="1638">
      <c r="A1638" s="3">
        <v>453.0</v>
      </c>
      <c r="B1638" s="3">
        <v>1.0</v>
      </c>
      <c r="C1638" s="3">
        <v>13.0</v>
      </c>
      <c r="D1638" t="str">
        <f>VLOOKUP(B1638,ERA_MOTIF_TYPES.csv!$A$1:$C$119,2,1)</f>
        <v>Cups Single</v>
      </c>
      <c r="E1638" t="str">
        <f>VLOOKUP(A1638,Panels!$A$1:$E$2104,5,0)</f>
        <v>Snook Bank</v>
      </c>
    </row>
    <row r="1639">
      <c r="A1639" s="3">
        <v>453.0</v>
      </c>
      <c r="B1639" s="3">
        <v>6.0</v>
      </c>
      <c r="C1639" s="3">
        <v>1.0</v>
      </c>
      <c r="D1639" t="str">
        <f>VLOOKUP(B1639,ERA_MOTIF_TYPES.csv!$A$1:$C$119,2,1)</f>
        <v>curved or straight line</v>
      </c>
      <c r="E1639" t="str">
        <f>VLOOKUP(A1639,Panels!$A$1:$E$2104,5,0)</f>
        <v>Snook Bank</v>
      </c>
    </row>
    <row r="1640">
      <c r="A1640" s="3">
        <v>454.0</v>
      </c>
      <c r="B1640" s="3">
        <v>1.0</v>
      </c>
      <c r="C1640" s="3">
        <v>1.0</v>
      </c>
      <c r="D1640" t="str">
        <f>VLOOKUP(B1640,ERA_MOTIF_TYPES.csv!$A$1:$C$119,2,1)</f>
        <v>Cups Single</v>
      </c>
      <c r="E1640" t="str">
        <f>VLOOKUP(A1640,Panels!$A$1:$E$2104,5,0)</f>
        <v>Snook Bank</v>
      </c>
    </row>
    <row r="1641">
      <c r="A1641" s="3">
        <v>455.0</v>
      </c>
      <c r="B1641" s="3">
        <v>1.0</v>
      </c>
      <c r="C1641" s="3">
        <v>1.0</v>
      </c>
      <c r="D1641" t="str">
        <f>VLOOKUP(B1641,ERA_MOTIF_TYPES.csv!$A$1:$C$119,2,1)</f>
        <v>Cups Single</v>
      </c>
      <c r="E1641" t="str">
        <f>VLOOKUP(A1641,Panels!$A$1:$E$2104,5,0)</f>
        <v>Snook Bank</v>
      </c>
    </row>
    <row r="1642">
      <c r="A1642" s="3">
        <v>456.0</v>
      </c>
      <c r="B1642" s="3">
        <v>13.0</v>
      </c>
      <c r="C1642" s="3">
        <v>1.0</v>
      </c>
      <c r="D1642" t="str">
        <f>VLOOKUP(B1642,ERA_MOTIF_TYPES.csv!$A$1:$C$119,2,1)</f>
        <v>Single Ring + cup</v>
      </c>
      <c r="E1642" t="str">
        <f>VLOOKUP(A1642,Panels!$A$1:$E$2104,5,0)</f>
        <v>Snook Bank</v>
      </c>
    </row>
    <row r="1643">
      <c r="A1643" s="3">
        <v>457.0</v>
      </c>
      <c r="B1643" s="3">
        <v>13.0</v>
      </c>
      <c r="C1643" s="3">
        <v>1.0</v>
      </c>
      <c r="D1643" t="str">
        <f>VLOOKUP(B1643,ERA_MOTIF_TYPES.csv!$A$1:$C$119,2,1)</f>
        <v>Single Ring + cup</v>
      </c>
      <c r="E1643" t="str">
        <f>VLOOKUP(A1643,Panels!$A$1:$E$2104,5,0)</f>
        <v>Snook Bank</v>
      </c>
    </row>
    <row r="1644">
      <c r="A1644" s="3">
        <v>457.0</v>
      </c>
      <c r="B1644" s="3">
        <v>52.0</v>
      </c>
      <c r="C1644" s="3">
        <v>1.0</v>
      </c>
      <c r="D1644" t="str">
        <f>VLOOKUP(B1644,ERA_MOTIF_TYPES.csv!$A$1:$C$119,2,1)</f>
        <v>Single or multiple cups</v>
      </c>
      <c r="E1644" t="str">
        <f>VLOOKUP(A1644,Panels!$A$1:$E$2104,5,0)</f>
        <v>Snook Bank</v>
      </c>
    </row>
    <row r="1645">
      <c r="A1645" s="3">
        <v>457.0</v>
      </c>
      <c r="B1645" s="3">
        <v>57.0</v>
      </c>
      <c r="C1645" s="3">
        <v>1.0</v>
      </c>
      <c r="D1645" t="str">
        <f>VLOOKUP(B1645,ERA_MOTIF_TYPES.csv!$A$1:$C$119,2,1)</f>
        <v>Cup and ring</v>
      </c>
      <c r="E1645" t="str">
        <f>VLOOKUP(A1645,Panels!$A$1:$E$2104,5,0)</f>
        <v>Snook Bank</v>
      </c>
    </row>
    <row r="1646">
      <c r="A1646" s="3">
        <v>458.0</v>
      </c>
      <c r="B1646" s="3">
        <v>1.0</v>
      </c>
      <c r="C1646" s="3">
        <v>1.0</v>
      </c>
      <c r="D1646" t="str">
        <f>VLOOKUP(B1646,ERA_MOTIF_TYPES.csv!$A$1:$C$119,2,1)</f>
        <v>Cups Single</v>
      </c>
      <c r="E1646" t="str">
        <f>VLOOKUP(A1646,Panels!$A$1:$E$2104,5,0)</f>
        <v>Snook Bank</v>
      </c>
    </row>
    <row r="1647">
      <c r="A1647" s="3">
        <v>459.0</v>
      </c>
      <c r="B1647" s="3">
        <v>1.0</v>
      </c>
      <c r="C1647" s="3">
        <v>1.0</v>
      </c>
      <c r="D1647" t="str">
        <f>VLOOKUP(B1647,ERA_MOTIF_TYPES.csv!$A$1:$C$119,2,1)</f>
        <v>Cups Single</v>
      </c>
      <c r="E1647" t="str">
        <f>VLOOKUP(A1647,Panels!$A$1:$E$2104,5,0)</f>
        <v>Snook Bank</v>
      </c>
    </row>
    <row r="1648">
      <c r="A1648" s="3">
        <v>460.0</v>
      </c>
      <c r="B1648" s="3">
        <v>1.0</v>
      </c>
      <c r="C1648" s="3">
        <v>2.0</v>
      </c>
      <c r="D1648" t="str">
        <f>VLOOKUP(B1648,ERA_MOTIF_TYPES.csv!$A$1:$C$119,2,1)</f>
        <v>Cups Single</v>
      </c>
      <c r="E1648" t="str">
        <f>VLOOKUP(A1648,Panels!$A$1:$E$2104,5,0)</f>
        <v>Snook Bank</v>
      </c>
    </row>
    <row r="1649">
      <c r="A1649" s="3">
        <v>460.0</v>
      </c>
      <c r="B1649" s="3">
        <v>52.0</v>
      </c>
      <c r="C1649" s="3">
        <v>2.0</v>
      </c>
      <c r="D1649" t="str">
        <f>VLOOKUP(B1649,ERA_MOTIF_TYPES.csv!$A$1:$C$119,2,1)</f>
        <v>Single or multiple cups</v>
      </c>
      <c r="E1649" t="str">
        <f>VLOOKUP(A1649,Panels!$A$1:$E$2104,5,0)</f>
        <v>Snook Bank</v>
      </c>
    </row>
    <row r="1650">
      <c r="A1650" s="3">
        <v>461.0</v>
      </c>
      <c r="B1650" s="3">
        <v>1.0</v>
      </c>
      <c r="C1650" s="3">
        <v>11.0</v>
      </c>
      <c r="D1650" t="str">
        <f>VLOOKUP(B1650,ERA_MOTIF_TYPES.csv!$A$1:$C$119,2,1)</f>
        <v>Cups Single</v>
      </c>
      <c r="E1650" t="str">
        <f>VLOOKUP(A1650,Panels!$A$1:$E$2104,5,0)</f>
        <v>Snook Bank</v>
      </c>
    </row>
    <row r="1651">
      <c r="A1651" s="3">
        <v>461.0</v>
      </c>
      <c r="B1651" s="3">
        <v>52.0</v>
      </c>
      <c r="C1651" s="3">
        <v>11.0</v>
      </c>
      <c r="D1651" t="str">
        <f>VLOOKUP(B1651,ERA_MOTIF_TYPES.csv!$A$1:$C$119,2,1)</f>
        <v>Single or multiple cups</v>
      </c>
      <c r="E1651" t="str">
        <f>VLOOKUP(A1651,Panels!$A$1:$E$2104,5,0)</f>
        <v>Snook Bank</v>
      </c>
    </row>
    <row r="1652">
      <c r="A1652" s="3">
        <v>461.0</v>
      </c>
      <c r="B1652" s="3">
        <v>59.0</v>
      </c>
      <c r="C1652" s="3">
        <v>1.0</v>
      </c>
      <c r="D1652" t="str">
        <f>VLOOKUP(B1652,ERA_MOTIF_TYPES.csv!$A$1:$C$119,2,1)</f>
        <v>Cup and penannular</v>
      </c>
      <c r="E1652" t="str">
        <f>VLOOKUP(A1652,Panels!$A$1:$E$2104,5,0)</f>
        <v>Snook Bank</v>
      </c>
    </row>
    <row r="1653">
      <c r="A1653" s="3">
        <v>461.0</v>
      </c>
      <c r="B1653" s="3">
        <v>100.0</v>
      </c>
      <c r="C1653" s="3">
        <v>1.0</v>
      </c>
      <c r="D1653" t="str">
        <f>VLOOKUP(B1653,ERA_MOTIF_TYPES.csv!$A$1:$C$119,2,1)</f>
        <v>Pick marks</v>
      </c>
      <c r="E1653" t="str">
        <f>VLOOKUP(A1653,Panels!$A$1:$E$2104,5,0)</f>
        <v>Snook Bank</v>
      </c>
    </row>
    <row r="1654">
      <c r="A1654" s="3">
        <v>461.0</v>
      </c>
      <c r="B1654" s="3">
        <v>110.0</v>
      </c>
      <c r="C1654" s="3">
        <v>1.0</v>
      </c>
      <c r="D1654" t="str">
        <f>VLOOKUP(B1654,ERA_MOTIF_TYPES.csv!$A$1:$C$119,2,1)</f>
        <v>Curved groove</v>
      </c>
      <c r="E1654" t="str">
        <f>VLOOKUP(A1654,Panels!$A$1:$E$2104,5,0)</f>
        <v>Snook Bank</v>
      </c>
    </row>
    <row r="1655">
      <c r="A1655" s="3">
        <v>462.0</v>
      </c>
      <c r="B1655" s="3">
        <v>1.0</v>
      </c>
      <c r="C1655" s="3">
        <v>2.0</v>
      </c>
      <c r="D1655" t="str">
        <f>VLOOKUP(B1655,ERA_MOTIF_TYPES.csv!$A$1:$C$119,2,1)</f>
        <v>Cups Single</v>
      </c>
      <c r="E1655" t="str">
        <f>VLOOKUP(A1655,Panels!$A$1:$E$2104,5,0)</f>
        <v>Snook Bank</v>
      </c>
    </row>
    <row r="1656">
      <c r="A1656" s="3">
        <v>463.0</v>
      </c>
      <c r="B1656" s="3">
        <v>52.0</v>
      </c>
      <c r="C1656" s="3">
        <v>10.0</v>
      </c>
      <c r="D1656" t="str">
        <f>VLOOKUP(B1656,ERA_MOTIF_TYPES.csv!$A$1:$C$119,2,1)</f>
        <v>Single or multiple cups</v>
      </c>
      <c r="E1656" t="str">
        <f>VLOOKUP(A1656,Panels!$A$1:$E$2104,5,0)</f>
        <v>Snook Bank</v>
      </c>
    </row>
    <row r="1657">
      <c r="A1657" s="3">
        <v>464.0</v>
      </c>
      <c r="B1657" s="3">
        <v>1.0</v>
      </c>
      <c r="C1657" s="3">
        <v>2.0</v>
      </c>
      <c r="D1657" t="str">
        <f>VLOOKUP(B1657,ERA_MOTIF_TYPES.csv!$A$1:$C$119,2,1)</f>
        <v>Cups Single</v>
      </c>
      <c r="E1657" t="str">
        <f>VLOOKUP(A1657,Panels!$A$1:$E$2104,5,0)</f>
        <v>Snook Bank</v>
      </c>
    </row>
    <row r="1658">
      <c r="A1658" s="3">
        <v>464.0</v>
      </c>
      <c r="B1658" s="3">
        <v>52.0</v>
      </c>
      <c r="C1658" s="3">
        <v>2.0</v>
      </c>
      <c r="D1658" t="str">
        <f>VLOOKUP(B1658,ERA_MOTIF_TYPES.csv!$A$1:$C$119,2,1)</f>
        <v>Single or multiple cups</v>
      </c>
      <c r="E1658" t="str">
        <f>VLOOKUP(A1658,Panels!$A$1:$E$2104,5,0)</f>
        <v>Snook Bank</v>
      </c>
    </row>
    <row r="1659">
      <c r="A1659" s="3">
        <v>465.0</v>
      </c>
      <c r="B1659" s="3">
        <v>1.0</v>
      </c>
      <c r="C1659" s="3">
        <v>2.0</v>
      </c>
      <c r="D1659" t="str">
        <f>VLOOKUP(B1659,ERA_MOTIF_TYPES.csv!$A$1:$C$119,2,1)</f>
        <v>Cups Single</v>
      </c>
      <c r="E1659" t="str">
        <f>VLOOKUP(A1659,Panels!$A$1:$E$2104,5,0)</f>
        <v>Snook Bank</v>
      </c>
    </row>
    <row r="1660">
      <c r="A1660" s="3">
        <v>465.0</v>
      </c>
      <c r="B1660" s="3">
        <v>33.0</v>
      </c>
      <c r="C1660" s="3">
        <v>1.0</v>
      </c>
      <c r="D1660" t="str">
        <f>VLOOKUP(B1660,ERA_MOTIF_TYPES.csv!$A$1:$C$119,2,1)</f>
        <v>Cup Groove and multi ring</v>
      </c>
      <c r="E1660" t="str">
        <f>VLOOKUP(A1660,Panels!$A$1:$E$2104,5,0)</f>
        <v>Snook Bank</v>
      </c>
    </row>
    <row r="1661">
      <c r="A1661" s="3">
        <v>465.0</v>
      </c>
      <c r="B1661" s="3">
        <v>52.0</v>
      </c>
      <c r="C1661" s="3">
        <v>2.0</v>
      </c>
      <c r="D1661" t="str">
        <f>VLOOKUP(B1661,ERA_MOTIF_TYPES.csv!$A$1:$C$119,2,1)</f>
        <v>Single or multiple cups</v>
      </c>
      <c r="E1661" t="str">
        <f>VLOOKUP(A1661,Panels!$A$1:$E$2104,5,0)</f>
        <v>Snook Bank</v>
      </c>
    </row>
    <row r="1662">
      <c r="A1662" s="3">
        <v>465.0</v>
      </c>
      <c r="B1662" s="3">
        <v>58.0</v>
      </c>
      <c r="C1662" s="3">
        <v>1.0</v>
      </c>
      <c r="D1662" t="str">
        <f>VLOOKUP(B1662,ERA_MOTIF_TYPES.csv!$A$1:$C$119,2,1)</f>
        <v>Cup and multiple rings</v>
      </c>
      <c r="E1662" t="str">
        <f>VLOOKUP(A1662,Panels!$A$1:$E$2104,5,0)</f>
        <v>Snook Bank</v>
      </c>
    </row>
    <row r="1663">
      <c r="A1663" s="3">
        <v>466.0</v>
      </c>
      <c r="B1663" s="3">
        <v>1.0</v>
      </c>
      <c r="C1663" s="3">
        <v>1.0</v>
      </c>
      <c r="D1663" t="str">
        <f>VLOOKUP(B1663,ERA_MOTIF_TYPES.csv!$A$1:$C$119,2,1)</f>
        <v>Cups Single</v>
      </c>
      <c r="E1663" t="str">
        <f>VLOOKUP(A1663,Panels!$A$1:$E$2104,5,0)</f>
        <v>Snook Bank</v>
      </c>
    </row>
    <row r="1664">
      <c r="A1664" s="3">
        <v>466.0</v>
      </c>
      <c r="B1664" s="3">
        <v>13.0</v>
      </c>
      <c r="C1664" s="3">
        <v>1.0</v>
      </c>
      <c r="D1664" t="str">
        <f>VLOOKUP(B1664,ERA_MOTIF_TYPES.csv!$A$1:$C$119,2,1)</f>
        <v>Single Ring + cup</v>
      </c>
      <c r="E1664" t="str">
        <f>VLOOKUP(A1664,Panels!$A$1:$E$2104,5,0)</f>
        <v>Snook Bank</v>
      </c>
    </row>
    <row r="1665">
      <c r="A1665" s="3">
        <v>467.0</v>
      </c>
      <c r="B1665" s="3">
        <v>1.0</v>
      </c>
      <c r="C1665" s="3">
        <v>1.0</v>
      </c>
      <c r="D1665" t="str">
        <f>VLOOKUP(B1665,ERA_MOTIF_TYPES.csv!$A$1:$C$119,2,1)</f>
        <v>Cups Single</v>
      </c>
      <c r="E1665" t="str">
        <f>VLOOKUP(A1665,Panels!$A$1:$E$2104,5,0)</f>
        <v>Snook Bank</v>
      </c>
    </row>
    <row r="1666">
      <c r="A1666" s="3">
        <v>467.0</v>
      </c>
      <c r="B1666" s="3">
        <v>13.0</v>
      </c>
      <c r="C1666" s="3">
        <v>1.0</v>
      </c>
      <c r="D1666" t="str">
        <f>VLOOKUP(B1666,ERA_MOTIF_TYPES.csv!$A$1:$C$119,2,1)</f>
        <v>Single Ring + cup</v>
      </c>
      <c r="E1666" t="str">
        <f>VLOOKUP(A1666,Panels!$A$1:$E$2104,5,0)</f>
        <v>Snook Bank</v>
      </c>
    </row>
    <row r="1667">
      <c r="A1667" s="3">
        <v>467.0</v>
      </c>
      <c r="B1667" s="3">
        <v>14.0</v>
      </c>
      <c r="C1667" s="3">
        <v>1.0</v>
      </c>
      <c r="D1667" t="str">
        <f>VLOOKUP(B1667,ERA_MOTIF_TYPES.csv!$A$1:$C$119,2,1)</f>
        <v>Multi Ring + cup</v>
      </c>
      <c r="E1667" t="str">
        <f>VLOOKUP(A1667,Panels!$A$1:$E$2104,5,0)</f>
        <v>Snook Bank</v>
      </c>
    </row>
    <row r="1668">
      <c r="A1668" s="3">
        <v>468.0</v>
      </c>
      <c r="B1668" s="3">
        <v>1.0</v>
      </c>
      <c r="C1668" s="3">
        <v>3.0</v>
      </c>
      <c r="D1668" t="str">
        <f>VLOOKUP(B1668,ERA_MOTIF_TYPES.csv!$A$1:$C$119,2,1)</f>
        <v>Cups Single</v>
      </c>
      <c r="E1668" t="str">
        <f>VLOOKUP(A1668,Panels!$A$1:$E$2104,5,0)</f>
        <v>Snook Bank</v>
      </c>
    </row>
    <row r="1669">
      <c r="A1669" s="3">
        <v>469.0</v>
      </c>
      <c r="B1669" s="3">
        <v>1.0</v>
      </c>
      <c r="C1669" s="3">
        <v>2.0</v>
      </c>
      <c r="D1669" t="str">
        <f>VLOOKUP(B1669,ERA_MOTIF_TYPES.csv!$A$1:$C$119,2,1)</f>
        <v>Cups Single</v>
      </c>
      <c r="E1669" t="str">
        <f>VLOOKUP(A1669,Panels!$A$1:$E$2104,5,0)</f>
        <v>Snook Bank</v>
      </c>
    </row>
    <row r="1670">
      <c r="A1670" s="3">
        <v>470.0</v>
      </c>
      <c r="B1670" s="3">
        <v>31.0</v>
      </c>
      <c r="C1670" s="3">
        <v>1.0</v>
      </c>
      <c r="D1670" t="str">
        <f>VLOOKUP(B1670,ERA_MOTIF_TYPES.csv!$A$1:$C$119,2,1)</f>
        <v>Cup and Groove</v>
      </c>
      <c r="E1670" t="str">
        <f>VLOOKUP(A1670,Panels!$A$1:$E$2104,5,0)</f>
        <v>Snook Bank</v>
      </c>
    </row>
    <row r="1671">
      <c r="A1671" s="3">
        <v>471.0</v>
      </c>
      <c r="B1671" s="3">
        <v>1.0</v>
      </c>
      <c r="C1671" s="3">
        <v>1.0</v>
      </c>
      <c r="D1671" t="str">
        <f>VLOOKUP(B1671,ERA_MOTIF_TYPES.csv!$A$1:$C$119,2,1)</f>
        <v>Cups Single</v>
      </c>
      <c r="E1671" t="str">
        <f>VLOOKUP(A1671,Panels!$A$1:$E$2104,5,0)</f>
        <v>Snook Bank</v>
      </c>
    </row>
    <row r="1672">
      <c r="A1672" s="3">
        <v>472.0</v>
      </c>
      <c r="B1672" s="3">
        <v>1.0</v>
      </c>
      <c r="C1672" s="3">
        <v>1.0</v>
      </c>
      <c r="D1672" t="str">
        <f>VLOOKUP(B1672,ERA_MOTIF_TYPES.csv!$A$1:$C$119,2,1)</f>
        <v>Cups Single</v>
      </c>
      <c r="E1672" t="str">
        <f>VLOOKUP(A1672,Panels!$A$1:$E$2104,5,0)</f>
        <v>Snook Bank</v>
      </c>
    </row>
    <row r="1673">
      <c r="A1673" s="3">
        <v>473.0</v>
      </c>
      <c r="B1673" s="3">
        <v>1.0</v>
      </c>
      <c r="C1673" s="3">
        <v>20.0</v>
      </c>
      <c r="D1673" t="str">
        <f>VLOOKUP(B1673,ERA_MOTIF_TYPES.csv!$A$1:$C$119,2,1)</f>
        <v>Cups Single</v>
      </c>
      <c r="E1673" t="str">
        <f>VLOOKUP(A1673,Panels!$A$1:$E$2104,5,0)</f>
        <v>Hunterheugh</v>
      </c>
    </row>
    <row r="1674">
      <c r="A1674" s="3">
        <v>473.0</v>
      </c>
      <c r="B1674" s="3">
        <v>2.0</v>
      </c>
      <c r="C1674" s="3">
        <v>5.0</v>
      </c>
      <c r="D1674" t="str">
        <f>VLOOKUP(B1674,ERA_MOTIF_TYPES.csv!$A$1:$C$119,2,1)</f>
        <v>Random Cluster</v>
      </c>
      <c r="E1674" t="str">
        <f>VLOOKUP(A1674,Panels!$A$1:$E$2104,5,0)</f>
        <v>Hunterheugh</v>
      </c>
    </row>
    <row r="1675">
      <c r="A1675" s="3">
        <v>473.0</v>
      </c>
      <c r="B1675" s="3">
        <v>5.0</v>
      </c>
      <c r="C1675" s="3">
        <v>1.0</v>
      </c>
      <c r="D1675" t="str">
        <f>VLOOKUP(B1675,ERA_MOTIF_TYPES.csv!$A$1:$C$119,2,1)</f>
        <v>Rosette</v>
      </c>
      <c r="E1675" t="str">
        <f>VLOOKUP(A1675,Panels!$A$1:$E$2104,5,0)</f>
        <v>Hunterheugh</v>
      </c>
    </row>
    <row r="1676">
      <c r="A1676" s="3">
        <v>473.0</v>
      </c>
      <c r="B1676" s="3">
        <v>6.0</v>
      </c>
      <c r="C1676" s="3">
        <v>1.0</v>
      </c>
      <c r="D1676" t="str">
        <f>VLOOKUP(B1676,ERA_MOTIF_TYPES.csv!$A$1:$C$119,2,1)</f>
        <v>curved or straight line</v>
      </c>
      <c r="E1676" t="str">
        <f>VLOOKUP(A1676,Panels!$A$1:$E$2104,5,0)</f>
        <v>Hunterheugh</v>
      </c>
    </row>
    <row r="1677">
      <c r="A1677" s="3">
        <v>473.0</v>
      </c>
      <c r="B1677" s="3">
        <v>13.0</v>
      </c>
      <c r="C1677" s="3">
        <v>15.0</v>
      </c>
      <c r="D1677" t="str">
        <f>VLOOKUP(B1677,ERA_MOTIF_TYPES.csv!$A$1:$C$119,2,1)</f>
        <v>Single Ring + cup</v>
      </c>
      <c r="E1677" t="str">
        <f>VLOOKUP(A1677,Panels!$A$1:$E$2104,5,0)</f>
        <v>Hunterheugh</v>
      </c>
    </row>
    <row r="1678">
      <c r="A1678" s="3">
        <v>473.0</v>
      </c>
      <c r="B1678" s="3">
        <v>14.0</v>
      </c>
      <c r="C1678" s="3">
        <v>2.0</v>
      </c>
      <c r="D1678" t="str">
        <f>VLOOKUP(B1678,ERA_MOTIF_TYPES.csv!$A$1:$C$119,2,1)</f>
        <v>Multi Ring + cup</v>
      </c>
      <c r="E1678" t="str">
        <f>VLOOKUP(A1678,Panels!$A$1:$E$2104,5,0)</f>
        <v>Hunterheugh</v>
      </c>
    </row>
    <row r="1679">
      <c r="A1679" s="3">
        <v>473.0</v>
      </c>
      <c r="B1679" s="3">
        <v>27.0</v>
      </c>
      <c r="C1679" s="3">
        <v>1.0</v>
      </c>
      <c r="D1679" t="str">
        <f>VLOOKUP(B1679,ERA_MOTIF_TYPES.csv!$A$1:$C$119,2,1)</f>
        <v>Serpentine</v>
      </c>
      <c r="E1679" t="str">
        <f>VLOOKUP(A1679,Panels!$A$1:$E$2104,5,0)</f>
        <v>Hunterheugh</v>
      </c>
    </row>
    <row r="1680">
      <c r="A1680" s="3">
        <v>473.0</v>
      </c>
      <c r="B1680" s="3">
        <v>32.0</v>
      </c>
      <c r="C1680" s="3">
        <v>2.0</v>
      </c>
      <c r="D1680" t="str">
        <f>VLOOKUP(B1680,ERA_MOTIF_TYPES.csv!$A$1:$C$119,2,1)</f>
        <v>Cup Groove and single ring</v>
      </c>
      <c r="E1680" t="str">
        <f>VLOOKUP(A1680,Panels!$A$1:$E$2104,5,0)</f>
        <v>Hunterheugh</v>
      </c>
    </row>
    <row r="1681">
      <c r="A1681" s="3">
        <v>473.0</v>
      </c>
      <c r="B1681" s="3">
        <v>34.0</v>
      </c>
      <c r="C1681" s="3">
        <v>2.0</v>
      </c>
      <c r="D1681" t="str">
        <f>VLOOKUP(B1681,ERA_MOTIF_TYPES.csv!$A$1:$C$119,2,1)</f>
        <v>Cup Groove and penannular</v>
      </c>
      <c r="E1681" t="str">
        <f>VLOOKUP(A1681,Panels!$A$1:$E$2104,5,0)</f>
        <v>Hunterheugh</v>
      </c>
    </row>
    <row r="1682">
      <c r="A1682" s="3">
        <v>473.0</v>
      </c>
      <c r="B1682" s="3">
        <v>51.0</v>
      </c>
      <c r="C1682" s="3">
        <v>5.0</v>
      </c>
      <c r="D1682" t="str">
        <f>VLOOKUP(B1682,ERA_MOTIF_TYPES.csv!$A$1:$C$119,2,1)</f>
        <v>Bowls</v>
      </c>
      <c r="E1682" t="str">
        <f>VLOOKUP(A1682,Panels!$A$1:$E$2104,5,0)</f>
        <v>Hunterheugh</v>
      </c>
    </row>
    <row r="1683">
      <c r="A1683" s="3">
        <v>473.0</v>
      </c>
      <c r="B1683" s="3">
        <v>52.0</v>
      </c>
      <c r="C1683" s="3">
        <v>134.0</v>
      </c>
      <c r="D1683" t="str">
        <f>VLOOKUP(B1683,ERA_MOTIF_TYPES.csv!$A$1:$C$119,2,1)</f>
        <v>Single or multiple cups</v>
      </c>
      <c r="E1683" t="str">
        <f>VLOOKUP(A1683,Panels!$A$1:$E$2104,5,0)</f>
        <v>Hunterheugh</v>
      </c>
    </row>
    <row r="1684">
      <c r="A1684" s="3">
        <v>473.0</v>
      </c>
      <c r="B1684" s="3">
        <v>53.0</v>
      </c>
      <c r="C1684" s="3">
        <v>2.0</v>
      </c>
      <c r="D1684" t="str">
        <f>VLOOKUP(B1684,ERA_MOTIF_TYPES.csv!$A$1:$C$119,2,1)</f>
        <v>Domino patterns and parallel lines</v>
      </c>
      <c r="E1684" t="str">
        <f>VLOOKUP(A1684,Panels!$A$1:$E$2104,5,0)</f>
        <v>Hunterheugh</v>
      </c>
    </row>
    <row r="1685">
      <c r="A1685" s="3">
        <v>473.0</v>
      </c>
      <c r="B1685" s="3">
        <v>55.0</v>
      </c>
      <c r="C1685" s="3">
        <v>5.0</v>
      </c>
      <c r="D1685" t="str">
        <f>VLOOKUP(B1685,ERA_MOTIF_TYPES.csv!$A$1:$C$119,2,1)</f>
        <v>Cups in a straight or curved line</v>
      </c>
      <c r="E1685" t="str">
        <f>VLOOKUP(A1685,Panels!$A$1:$E$2104,5,0)</f>
        <v>Hunterheugh</v>
      </c>
    </row>
    <row r="1686">
      <c r="A1686" s="3">
        <v>473.0</v>
      </c>
      <c r="B1686" s="3">
        <v>56.0</v>
      </c>
      <c r="C1686" s="3">
        <v>2.0</v>
      </c>
      <c r="D1686" t="str">
        <f>VLOOKUP(B1686,ERA_MOTIF_TYPES.csv!$A$1:$C$119,2,1)</f>
        <v>Cups countersunk</v>
      </c>
      <c r="E1686" t="str">
        <f>VLOOKUP(A1686,Panels!$A$1:$E$2104,5,0)</f>
        <v>Hunterheugh</v>
      </c>
    </row>
    <row r="1687">
      <c r="A1687" s="3">
        <v>473.0</v>
      </c>
      <c r="B1687" s="3">
        <v>57.0</v>
      </c>
      <c r="C1687" s="3">
        <v>19.0</v>
      </c>
      <c r="D1687" t="str">
        <f>VLOOKUP(B1687,ERA_MOTIF_TYPES.csv!$A$1:$C$119,2,1)</f>
        <v>Cup and ring</v>
      </c>
      <c r="E1687" t="str">
        <f>VLOOKUP(A1687,Panels!$A$1:$E$2104,5,0)</f>
        <v>Hunterheugh</v>
      </c>
    </row>
    <row r="1688">
      <c r="A1688" s="3">
        <v>473.0</v>
      </c>
      <c r="B1688" s="3">
        <v>58.0</v>
      </c>
      <c r="C1688" s="3">
        <v>3.0</v>
      </c>
      <c r="D1688" t="str">
        <f>VLOOKUP(B1688,ERA_MOTIF_TYPES.csv!$A$1:$C$119,2,1)</f>
        <v>Cup and multiple rings</v>
      </c>
      <c r="E1688" t="str">
        <f>VLOOKUP(A1688,Panels!$A$1:$E$2104,5,0)</f>
        <v>Hunterheugh</v>
      </c>
    </row>
    <row r="1689">
      <c r="A1689" s="3">
        <v>473.0</v>
      </c>
      <c r="B1689" s="3">
        <v>59.0</v>
      </c>
      <c r="C1689" s="3">
        <v>3.0</v>
      </c>
      <c r="D1689" t="str">
        <f>VLOOKUP(B1689,ERA_MOTIF_TYPES.csv!$A$1:$C$119,2,1)</f>
        <v>Cup and penannular</v>
      </c>
      <c r="E1689" t="str">
        <f>VLOOKUP(A1689,Panels!$A$1:$E$2104,5,0)</f>
        <v>Hunterheugh</v>
      </c>
    </row>
    <row r="1690">
      <c r="A1690" s="3">
        <v>473.0</v>
      </c>
      <c r="B1690" s="3">
        <v>63.0</v>
      </c>
      <c r="C1690" s="3">
        <v>2.0</v>
      </c>
      <c r="D1690" t="str">
        <f>VLOOKUP(B1690,ERA_MOTIF_TYPES.csv!$A$1:$C$119,2,1)</f>
        <v>Cup with groove cutting through ring</v>
      </c>
      <c r="E1690" t="str">
        <f>VLOOKUP(A1690,Panels!$A$1:$E$2104,5,0)</f>
        <v>Hunterheugh</v>
      </c>
    </row>
    <row r="1691">
      <c r="A1691" s="3">
        <v>473.0</v>
      </c>
      <c r="B1691" s="3">
        <v>65.0</v>
      </c>
      <c r="C1691" s="3">
        <v>3.0</v>
      </c>
      <c r="D1691" t="str">
        <f>VLOOKUP(B1691,ERA_MOTIF_TYPES.csv!$A$1:$C$119,2,1)</f>
        <v>Cup and groove with penannular</v>
      </c>
      <c r="E1691" t="str">
        <f>VLOOKUP(A1691,Panels!$A$1:$E$2104,5,0)</f>
        <v>Hunterheugh</v>
      </c>
    </row>
    <row r="1692">
      <c r="A1692" s="3">
        <v>473.0</v>
      </c>
      <c r="B1692" s="3">
        <v>66.0</v>
      </c>
      <c r="C1692" s="3">
        <v>1.0</v>
      </c>
      <c r="D1692" t="str">
        <f>VLOOKUP(B1692,ERA_MOTIF_TYPES.csv!$A$1:$C$119,2,1)</f>
        <v>Cup and groove with multiple penannulars</v>
      </c>
      <c r="E1692" t="str">
        <f>VLOOKUP(A1692,Panels!$A$1:$E$2104,5,0)</f>
        <v>Hunterheugh</v>
      </c>
    </row>
    <row r="1693">
      <c r="A1693" s="3">
        <v>473.0</v>
      </c>
      <c r="B1693" s="3">
        <v>69.0</v>
      </c>
      <c r="C1693" s="3">
        <v>1.0</v>
      </c>
      <c r="D1693" t="str">
        <f>VLOOKUP(B1693,ERA_MOTIF_TYPES.csv!$A$1:$C$119,2,1)</f>
        <v>Ring</v>
      </c>
      <c r="E1693" t="str">
        <f>VLOOKUP(A1693,Panels!$A$1:$E$2104,5,0)</f>
        <v>Hunterheugh</v>
      </c>
    </row>
    <row r="1694">
      <c r="A1694" s="3">
        <v>473.0</v>
      </c>
      <c r="B1694" s="3">
        <v>71.0</v>
      </c>
      <c r="C1694" s="3">
        <v>2.0</v>
      </c>
      <c r="D1694" t="str">
        <f>VLOOKUP(B1694,ERA_MOTIF_TYPES.csv!$A$1:$C$119,2,1)</f>
        <v>Penannular</v>
      </c>
      <c r="E1694" t="str">
        <f>VLOOKUP(A1694,Panels!$A$1:$E$2104,5,0)</f>
        <v>Hunterheugh</v>
      </c>
    </row>
    <row r="1695">
      <c r="A1695" s="3">
        <v>473.0</v>
      </c>
      <c r="B1695" s="3">
        <v>73.0</v>
      </c>
      <c r="C1695" s="3">
        <v>1.0</v>
      </c>
      <c r="D1695" t="str">
        <f>VLOOKUP(B1695,ERA_MOTIF_TYPES.csv!$A$1:$C$119,2,1)</f>
        <v>Arc</v>
      </c>
      <c r="E1695" t="str">
        <f>VLOOKUP(A1695,Panels!$A$1:$E$2104,5,0)</f>
        <v>Hunterheugh</v>
      </c>
    </row>
    <row r="1696">
      <c r="A1696" s="3">
        <v>473.0</v>
      </c>
      <c r="B1696" s="3">
        <v>80.0</v>
      </c>
      <c r="C1696" s="3">
        <v>1.0</v>
      </c>
      <c r="D1696" t="str">
        <f>VLOOKUP(B1696,ERA_MOTIF_TYPES.csv!$A$1:$C$119,2,1)</f>
        <v>Cup and keyhole</v>
      </c>
      <c r="E1696" t="str">
        <f>VLOOKUP(A1696,Panels!$A$1:$E$2104,5,0)</f>
        <v>Hunterheugh</v>
      </c>
    </row>
    <row r="1697">
      <c r="A1697" s="3">
        <v>473.0</v>
      </c>
      <c r="B1697" s="3">
        <v>87.0</v>
      </c>
      <c r="C1697" s="3">
        <v>1.0</v>
      </c>
      <c r="D1697" t="str">
        <f>VLOOKUP(B1697,ERA_MOTIF_TYPES.csv!$A$1:$C$119,2,1)</f>
        <v>Linear and angular groove</v>
      </c>
      <c r="E1697" t="str">
        <f>VLOOKUP(A1697,Panels!$A$1:$E$2104,5,0)</f>
        <v>Hunterheugh</v>
      </c>
    </row>
    <row r="1698">
      <c r="A1698" s="3">
        <v>473.0</v>
      </c>
      <c r="B1698" s="3">
        <v>90.0</v>
      </c>
      <c r="C1698" s="3">
        <v>1.0</v>
      </c>
      <c r="D1698" t="str">
        <f>VLOOKUP(B1698,ERA_MOTIF_TYPES.csv!$A$1:$C$119,2,1)</f>
        <v>Serpentine groove</v>
      </c>
      <c r="E1698" t="str">
        <f>VLOOKUP(A1698,Panels!$A$1:$E$2104,5,0)</f>
        <v>Hunterheugh</v>
      </c>
    </row>
    <row r="1699">
      <c r="A1699" s="3">
        <v>473.0</v>
      </c>
      <c r="B1699" s="3">
        <v>100.0</v>
      </c>
      <c r="C1699" s="3">
        <v>1.0</v>
      </c>
      <c r="D1699" t="str">
        <f>VLOOKUP(B1699,ERA_MOTIF_TYPES.csv!$A$1:$C$119,2,1)</f>
        <v>Pick marks</v>
      </c>
      <c r="E1699" t="str">
        <f>VLOOKUP(A1699,Panels!$A$1:$E$2104,5,0)</f>
        <v>Hunterheugh</v>
      </c>
    </row>
    <row r="1700">
      <c r="A1700" s="3">
        <v>473.0</v>
      </c>
      <c r="B1700" s="3">
        <v>103.0</v>
      </c>
      <c r="C1700" s="3">
        <v>6.0</v>
      </c>
      <c r="D1700" t="str">
        <f>VLOOKUP(B1700,ERA_MOTIF_TYPES.csv!$A$1:$C$119,2,1)</f>
        <v>Cup and groove</v>
      </c>
      <c r="E1700" t="str">
        <f>VLOOKUP(A1700,Panels!$A$1:$E$2104,5,0)</f>
        <v>Hunterheugh</v>
      </c>
    </row>
    <row r="1701">
      <c r="A1701" s="3">
        <v>473.0</v>
      </c>
      <c r="B1701" s="3">
        <v>105.0</v>
      </c>
      <c r="C1701" s="3">
        <v>1.0</v>
      </c>
      <c r="D1701" t="str">
        <f>VLOOKUP(B1701,ERA_MOTIF_TYPES.csv!$A$1:$C$119,2,1)</f>
        <v>Two cups linked by a groove</v>
      </c>
      <c r="E1701" t="str">
        <f>VLOOKUP(A1701,Panels!$A$1:$E$2104,5,0)</f>
        <v>Hunterheugh</v>
      </c>
    </row>
    <row r="1702">
      <c r="A1702" s="3">
        <v>473.0</v>
      </c>
      <c r="B1702" s="3">
        <v>111.0</v>
      </c>
      <c r="C1702" s="3">
        <v>1.0</v>
      </c>
      <c r="D1702" t="str">
        <f>VLOOKUP(B1702,ERA_MOTIF_TYPES.csv!$A$1:$C$119,2,1)</f>
        <v>Cluster of midget cups</v>
      </c>
      <c r="E1702" t="str">
        <f>VLOOKUP(A1702,Panels!$A$1:$E$2104,5,0)</f>
        <v>Hunterheugh</v>
      </c>
    </row>
    <row r="1703">
      <c r="A1703" s="3">
        <v>474.0</v>
      </c>
      <c r="B1703" s="3">
        <v>1.0</v>
      </c>
      <c r="C1703" s="3">
        <v>29.0</v>
      </c>
      <c r="D1703" t="str">
        <f>VLOOKUP(B1703,ERA_MOTIF_TYPES.csv!$A$1:$C$119,2,1)</f>
        <v>Cups Single</v>
      </c>
      <c r="E1703" t="str">
        <f>VLOOKUP(A1703,Panels!$A$1:$E$2104,5,0)</f>
        <v>Hunterheugh</v>
      </c>
    </row>
    <row r="1704">
      <c r="A1704" s="3">
        <v>474.0</v>
      </c>
      <c r="B1704" s="3">
        <v>13.0</v>
      </c>
      <c r="C1704" s="3">
        <v>1.0</v>
      </c>
      <c r="D1704" t="str">
        <f>VLOOKUP(B1704,ERA_MOTIF_TYPES.csv!$A$1:$C$119,2,1)</f>
        <v>Single Ring + cup</v>
      </c>
      <c r="E1704" t="str">
        <f>VLOOKUP(A1704,Panels!$A$1:$E$2104,5,0)</f>
        <v>Hunterheugh</v>
      </c>
    </row>
    <row r="1705">
      <c r="A1705" s="3">
        <v>474.0</v>
      </c>
      <c r="B1705" s="3">
        <v>31.0</v>
      </c>
      <c r="C1705" s="3">
        <v>4.0</v>
      </c>
      <c r="D1705" t="str">
        <f>VLOOKUP(B1705,ERA_MOTIF_TYPES.csv!$A$1:$C$119,2,1)</f>
        <v>Cup and Groove</v>
      </c>
      <c r="E1705" t="str">
        <f>VLOOKUP(A1705,Panels!$A$1:$E$2104,5,0)</f>
        <v>Hunterheugh</v>
      </c>
    </row>
    <row r="1706">
      <c r="A1706" s="3">
        <v>474.0</v>
      </c>
      <c r="B1706" s="3">
        <v>33.0</v>
      </c>
      <c r="C1706" s="3">
        <v>6.0</v>
      </c>
      <c r="D1706" t="str">
        <f>VLOOKUP(B1706,ERA_MOTIF_TYPES.csv!$A$1:$C$119,2,1)</f>
        <v>Cup Groove and multi ring</v>
      </c>
      <c r="E1706" t="str">
        <f>VLOOKUP(A1706,Panels!$A$1:$E$2104,5,0)</f>
        <v>Hunterheugh</v>
      </c>
    </row>
    <row r="1707">
      <c r="A1707" s="3">
        <v>474.0</v>
      </c>
      <c r="B1707" s="3">
        <v>52.0</v>
      </c>
      <c r="C1707" s="3">
        <v>32.0</v>
      </c>
      <c r="D1707" t="str">
        <f>VLOOKUP(B1707,ERA_MOTIF_TYPES.csv!$A$1:$C$119,2,1)</f>
        <v>Single or multiple cups</v>
      </c>
      <c r="E1707" t="str">
        <f>VLOOKUP(A1707,Panels!$A$1:$E$2104,5,0)</f>
        <v>Hunterheugh</v>
      </c>
    </row>
    <row r="1708">
      <c r="A1708" s="3">
        <v>474.0</v>
      </c>
      <c r="B1708" s="3">
        <v>53.0</v>
      </c>
      <c r="C1708" s="3">
        <v>1.0</v>
      </c>
      <c r="D1708" t="str">
        <f>VLOOKUP(B1708,ERA_MOTIF_TYPES.csv!$A$1:$C$119,2,1)</f>
        <v>Domino patterns and parallel lines</v>
      </c>
      <c r="E1708" t="str">
        <f>VLOOKUP(A1708,Panels!$A$1:$E$2104,5,0)</f>
        <v>Hunterheugh</v>
      </c>
    </row>
    <row r="1709">
      <c r="A1709" s="3">
        <v>474.0</v>
      </c>
      <c r="B1709" s="3">
        <v>56.0</v>
      </c>
      <c r="C1709" s="3">
        <v>1.0</v>
      </c>
      <c r="D1709" t="str">
        <f>VLOOKUP(B1709,ERA_MOTIF_TYPES.csv!$A$1:$C$119,2,1)</f>
        <v>Cups countersunk</v>
      </c>
      <c r="E1709" t="str">
        <f>VLOOKUP(A1709,Panels!$A$1:$E$2104,5,0)</f>
        <v>Hunterheugh</v>
      </c>
    </row>
    <row r="1710">
      <c r="A1710" s="3">
        <v>474.0</v>
      </c>
      <c r="B1710" s="3">
        <v>57.0</v>
      </c>
      <c r="C1710" s="3">
        <v>1.0</v>
      </c>
      <c r="D1710" t="str">
        <f>VLOOKUP(B1710,ERA_MOTIF_TYPES.csv!$A$1:$C$119,2,1)</f>
        <v>Cup and ring</v>
      </c>
      <c r="E1710" t="str">
        <f>VLOOKUP(A1710,Panels!$A$1:$E$2104,5,0)</f>
        <v>Hunterheugh</v>
      </c>
    </row>
    <row r="1711">
      <c r="A1711" s="3">
        <v>474.0</v>
      </c>
      <c r="B1711" s="3">
        <v>64.0</v>
      </c>
      <c r="C1711" s="3">
        <v>4.0</v>
      </c>
      <c r="D1711" t="str">
        <f>VLOOKUP(B1711,ERA_MOTIF_TYPES.csv!$A$1:$C$119,2,1)</f>
        <v>Cup with groove cutting through multiple rings</v>
      </c>
      <c r="E1711" t="str">
        <f>VLOOKUP(A1711,Panels!$A$1:$E$2104,5,0)</f>
        <v>Hunterheugh</v>
      </c>
    </row>
    <row r="1712">
      <c r="A1712" s="3">
        <v>474.0</v>
      </c>
      <c r="B1712" s="3">
        <v>66.0</v>
      </c>
      <c r="C1712" s="3">
        <v>2.0</v>
      </c>
      <c r="D1712" t="str">
        <f>VLOOKUP(B1712,ERA_MOTIF_TYPES.csv!$A$1:$C$119,2,1)</f>
        <v>Cup and groove with multiple penannulars</v>
      </c>
      <c r="E1712" t="str">
        <f>VLOOKUP(A1712,Panels!$A$1:$E$2104,5,0)</f>
        <v>Hunterheugh</v>
      </c>
    </row>
    <row r="1713">
      <c r="A1713" s="3">
        <v>474.0</v>
      </c>
      <c r="B1713" s="3">
        <v>90.0</v>
      </c>
      <c r="C1713" s="3">
        <v>1.0</v>
      </c>
      <c r="D1713" t="str">
        <f>VLOOKUP(B1713,ERA_MOTIF_TYPES.csv!$A$1:$C$119,2,1)</f>
        <v>Serpentine groove</v>
      </c>
      <c r="E1713" t="str">
        <f>VLOOKUP(A1713,Panels!$A$1:$E$2104,5,0)</f>
        <v>Hunterheugh</v>
      </c>
    </row>
    <row r="1714">
      <c r="A1714" s="3">
        <v>474.0</v>
      </c>
      <c r="B1714" s="3">
        <v>100.0</v>
      </c>
      <c r="C1714" s="3">
        <v>1.0</v>
      </c>
      <c r="D1714" t="str">
        <f>VLOOKUP(B1714,ERA_MOTIF_TYPES.csv!$A$1:$C$119,2,1)</f>
        <v>Pick marks</v>
      </c>
      <c r="E1714" t="str">
        <f>VLOOKUP(A1714,Panels!$A$1:$E$2104,5,0)</f>
        <v>Hunterheugh</v>
      </c>
    </row>
    <row r="1715">
      <c r="A1715" s="3">
        <v>474.0</v>
      </c>
      <c r="B1715" s="3">
        <v>103.0</v>
      </c>
      <c r="C1715" s="3">
        <v>1.0</v>
      </c>
      <c r="D1715" t="str">
        <f>VLOOKUP(B1715,ERA_MOTIF_TYPES.csv!$A$1:$C$119,2,1)</f>
        <v>Cup and groove</v>
      </c>
      <c r="E1715" t="str">
        <f>VLOOKUP(A1715,Panels!$A$1:$E$2104,5,0)</f>
        <v>Hunterheugh</v>
      </c>
    </row>
    <row r="1716">
      <c r="A1716" s="3">
        <v>474.0</v>
      </c>
      <c r="B1716" s="3">
        <v>110.0</v>
      </c>
      <c r="C1716" s="3">
        <v>3.0</v>
      </c>
      <c r="D1716" t="str">
        <f>VLOOKUP(B1716,ERA_MOTIF_TYPES.csv!$A$1:$C$119,2,1)</f>
        <v>Curved groove</v>
      </c>
      <c r="E1716" t="str">
        <f>VLOOKUP(A1716,Panels!$A$1:$E$2104,5,0)</f>
        <v>Hunterheugh</v>
      </c>
    </row>
    <row r="1717">
      <c r="A1717" s="3">
        <v>475.0</v>
      </c>
      <c r="B1717" s="3">
        <v>1.0</v>
      </c>
      <c r="C1717" s="3">
        <v>7.0</v>
      </c>
      <c r="D1717" t="str">
        <f>VLOOKUP(B1717,ERA_MOTIF_TYPES.csv!$A$1:$C$119,2,1)</f>
        <v>Cups Single</v>
      </c>
      <c r="E1717" t="str">
        <f>VLOOKUP(A1717,Panels!$A$1:$E$2104,5,0)</f>
        <v>Hunterheugh</v>
      </c>
    </row>
    <row r="1718">
      <c r="A1718" s="3">
        <v>475.0</v>
      </c>
      <c r="B1718" s="3">
        <v>13.0</v>
      </c>
      <c r="C1718" s="3">
        <v>1.0</v>
      </c>
      <c r="D1718" t="str">
        <f>VLOOKUP(B1718,ERA_MOTIF_TYPES.csv!$A$1:$C$119,2,1)</f>
        <v>Single Ring + cup</v>
      </c>
      <c r="E1718" t="str">
        <f>VLOOKUP(A1718,Panels!$A$1:$E$2104,5,0)</f>
        <v>Hunterheugh</v>
      </c>
    </row>
    <row r="1719">
      <c r="A1719" s="3">
        <v>475.0</v>
      </c>
      <c r="B1719" s="3">
        <v>14.0</v>
      </c>
      <c r="C1719" s="3">
        <v>1.0</v>
      </c>
      <c r="D1719" t="str">
        <f>VLOOKUP(B1719,ERA_MOTIF_TYPES.csv!$A$1:$C$119,2,1)</f>
        <v>Multi Ring + cup</v>
      </c>
      <c r="E1719" t="str">
        <f>VLOOKUP(A1719,Panels!$A$1:$E$2104,5,0)</f>
        <v>Hunterheugh</v>
      </c>
    </row>
    <row r="1720">
      <c r="A1720" s="3">
        <v>475.0</v>
      </c>
      <c r="B1720" s="3">
        <v>52.0</v>
      </c>
      <c r="C1720" s="3">
        <v>20.0</v>
      </c>
      <c r="D1720" t="str">
        <f>VLOOKUP(B1720,ERA_MOTIF_TYPES.csv!$A$1:$C$119,2,1)</f>
        <v>Single or multiple cups</v>
      </c>
      <c r="E1720" t="str">
        <f>VLOOKUP(A1720,Panels!$A$1:$E$2104,5,0)</f>
        <v>Hunterheugh</v>
      </c>
    </row>
    <row r="1721">
      <c r="A1721" s="3">
        <v>475.0</v>
      </c>
      <c r="B1721" s="3">
        <v>57.0</v>
      </c>
      <c r="C1721" s="3">
        <v>1.0</v>
      </c>
      <c r="D1721" t="str">
        <f>VLOOKUP(B1721,ERA_MOTIF_TYPES.csv!$A$1:$C$119,2,1)</f>
        <v>Cup and ring</v>
      </c>
      <c r="E1721" t="str">
        <f>VLOOKUP(A1721,Panels!$A$1:$E$2104,5,0)</f>
        <v>Hunterheugh</v>
      </c>
    </row>
    <row r="1722">
      <c r="A1722" s="3">
        <v>475.0</v>
      </c>
      <c r="B1722" s="3">
        <v>58.0</v>
      </c>
      <c r="C1722" s="3">
        <v>1.0</v>
      </c>
      <c r="D1722" t="str">
        <f>VLOOKUP(B1722,ERA_MOTIF_TYPES.csv!$A$1:$C$119,2,1)</f>
        <v>Cup and multiple rings</v>
      </c>
      <c r="E1722" t="str">
        <f>VLOOKUP(A1722,Panels!$A$1:$E$2104,5,0)</f>
        <v>Hunterheugh</v>
      </c>
    </row>
    <row r="1723">
      <c r="A1723" s="3">
        <v>475.0</v>
      </c>
      <c r="B1723" s="3">
        <v>64.0</v>
      </c>
      <c r="C1723" s="3">
        <v>1.0</v>
      </c>
      <c r="D1723" t="str">
        <f>VLOOKUP(B1723,ERA_MOTIF_TYPES.csv!$A$1:$C$119,2,1)</f>
        <v>Cup with groove cutting through multiple rings</v>
      </c>
      <c r="E1723" t="str">
        <f>VLOOKUP(A1723,Panels!$A$1:$E$2104,5,0)</f>
        <v>Hunterheugh</v>
      </c>
    </row>
    <row r="1724">
      <c r="A1724" s="3">
        <v>475.0</v>
      </c>
      <c r="B1724" s="3">
        <v>71.0</v>
      </c>
      <c r="C1724" s="3">
        <v>1.0</v>
      </c>
      <c r="D1724" t="str">
        <f>VLOOKUP(B1724,ERA_MOTIF_TYPES.csv!$A$1:$C$119,2,1)</f>
        <v>Penannular</v>
      </c>
      <c r="E1724" t="str">
        <f>VLOOKUP(A1724,Panels!$A$1:$E$2104,5,0)</f>
        <v>Hunterheugh</v>
      </c>
    </row>
    <row r="1725">
      <c r="A1725" s="3">
        <v>475.0</v>
      </c>
      <c r="B1725" s="3">
        <v>73.0</v>
      </c>
      <c r="C1725" s="3">
        <v>1.0</v>
      </c>
      <c r="D1725" t="str">
        <f>VLOOKUP(B1725,ERA_MOTIF_TYPES.csv!$A$1:$C$119,2,1)</f>
        <v>Arc</v>
      </c>
      <c r="E1725" t="str">
        <f>VLOOKUP(A1725,Panels!$A$1:$E$2104,5,0)</f>
        <v>Hunterheugh</v>
      </c>
    </row>
    <row r="1726">
      <c r="A1726" s="3">
        <v>475.0</v>
      </c>
      <c r="B1726" s="3">
        <v>110.0</v>
      </c>
      <c r="C1726" s="3">
        <v>1.0</v>
      </c>
      <c r="D1726" t="str">
        <f>VLOOKUP(B1726,ERA_MOTIF_TYPES.csv!$A$1:$C$119,2,1)</f>
        <v>Curved groove</v>
      </c>
      <c r="E1726" t="str">
        <f>VLOOKUP(A1726,Panels!$A$1:$E$2104,5,0)</f>
        <v>Hunterheugh</v>
      </c>
    </row>
    <row r="1727">
      <c r="A1727" s="3">
        <v>476.0</v>
      </c>
      <c r="B1727" s="3">
        <v>1.0</v>
      </c>
      <c r="C1727" s="3">
        <v>1.0</v>
      </c>
      <c r="D1727" t="str">
        <f>VLOOKUP(B1727,ERA_MOTIF_TYPES.csv!$A$1:$C$119,2,1)</f>
        <v>Cups Single</v>
      </c>
      <c r="E1727" t="str">
        <f>VLOOKUP(A1727,Panels!$A$1:$E$2104,5,0)</f>
        <v>Hunterheugh</v>
      </c>
    </row>
    <row r="1728">
      <c r="A1728" s="3">
        <v>476.0</v>
      </c>
      <c r="B1728" s="3">
        <v>13.0</v>
      </c>
      <c r="C1728" s="3">
        <v>2.0</v>
      </c>
      <c r="D1728" t="str">
        <f>VLOOKUP(B1728,ERA_MOTIF_TYPES.csv!$A$1:$C$119,2,1)</f>
        <v>Single Ring + cup</v>
      </c>
      <c r="E1728" t="str">
        <f>VLOOKUP(A1728,Panels!$A$1:$E$2104,5,0)</f>
        <v>Hunterheugh</v>
      </c>
    </row>
    <row r="1729">
      <c r="A1729" s="3">
        <v>476.0</v>
      </c>
      <c r="B1729" s="3">
        <v>25.0</v>
      </c>
      <c r="C1729" s="3">
        <v>1.0</v>
      </c>
      <c r="D1729" t="str">
        <f>VLOOKUP(B1729,ERA_MOTIF_TYPES.csv!$A$1:$C$119,2,1)</f>
        <v>Linear</v>
      </c>
      <c r="E1729" t="str">
        <f>VLOOKUP(A1729,Panels!$A$1:$E$2104,5,0)</f>
        <v>Hunterheugh</v>
      </c>
    </row>
    <row r="1730">
      <c r="A1730" s="3">
        <v>476.0</v>
      </c>
      <c r="B1730" s="3">
        <v>52.0</v>
      </c>
      <c r="C1730" s="3">
        <v>1.0</v>
      </c>
      <c r="D1730" t="str">
        <f>VLOOKUP(B1730,ERA_MOTIF_TYPES.csv!$A$1:$C$119,2,1)</f>
        <v>Single or multiple cups</v>
      </c>
      <c r="E1730" t="str">
        <f>VLOOKUP(A1730,Panels!$A$1:$E$2104,5,0)</f>
        <v>Hunterheugh</v>
      </c>
    </row>
    <row r="1731">
      <c r="A1731" s="3">
        <v>476.0</v>
      </c>
      <c r="B1731" s="3">
        <v>57.0</v>
      </c>
      <c r="C1731" s="3">
        <v>4.0</v>
      </c>
      <c r="D1731" t="str">
        <f>VLOOKUP(B1731,ERA_MOTIF_TYPES.csv!$A$1:$C$119,2,1)</f>
        <v>Cup and ring</v>
      </c>
      <c r="E1731" t="str">
        <f>VLOOKUP(A1731,Panels!$A$1:$E$2104,5,0)</f>
        <v>Hunterheugh</v>
      </c>
    </row>
    <row r="1732">
      <c r="A1732" s="3">
        <v>477.0</v>
      </c>
      <c r="B1732" s="3">
        <v>1.0</v>
      </c>
      <c r="C1732" s="3">
        <v>1.0</v>
      </c>
      <c r="D1732" t="str">
        <f>VLOOKUP(B1732,ERA_MOTIF_TYPES.csv!$A$1:$C$119,2,1)</f>
        <v>Cups Single</v>
      </c>
      <c r="E1732" t="str">
        <f>VLOOKUP(A1732,Panels!$A$1:$E$2104,5,0)</f>
        <v>Hunterheugh</v>
      </c>
    </row>
    <row r="1733">
      <c r="A1733" s="3">
        <v>477.0</v>
      </c>
      <c r="B1733" s="3">
        <v>51.0</v>
      </c>
      <c r="C1733" s="3">
        <v>1.0</v>
      </c>
      <c r="D1733" t="str">
        <f>VLOOKUP(B1733,ERA_MOTIF_TYPES.csv!$A$1:$C$119,2,1)</f>
        <v>Bowls</v>
      </c>
      <c r="E1733" t="str">
        <f>VLOOKUP(A1733,Panels!$A$1:$E$2104,5,0)</f>
        <v>Hunterheugh</v>
      </c>
    </row>
    <row r="1734">
      <c r="A1734" s="3">
        <v>477.0</v>
      </c>
      <c r="B1734" s="3">
        <v>57.0</v>
      </c>
      <c r="C1734" s="3">
        <v>1.0</v>
      </c>
      <c r="D1734" t="str">
        <f>VLOOKUP(B1734,ERA_MOTIF_TYPES.csv!$A$1:$C$119,2,1)</f>
        <v>Cup and ring</v>
      </c>
      <c r="E1734" t="str">
        <f>VLOOKUP(A1734,Panels!$A$1:$E$2104,5,0)</f>
        <v>Hunterheugh</v>
      </c>
    </row>
    <row r="1735">
      <c r="A1735" s="3">
        <v>477.0</v>
      </c>
      <c r="B1735" s="3">
        <v>71.0</v>
      </c>
      <c r="C1735" s="3">
        <v>1.0</v>
      </c>
      <c r="D1735" t="str">
        <f>VLOOKUP(B1735,ERA_MOTIF_TYPES.csv!$A$1:$C$119,2,1)</f>
        <v>Penannular</v>
      </c>
      <c r="E1735" t="str">
        <f>VLOOKUP(A1735,Panels!$A$1:$E$2104,5,0)</f>
        <v>Hunterheugh</v>
      </c>
    </row>
    <row r="1736">
      <c r="A1736" s="3">
        <v>477.0</v>
      </c>
      <c r="B1736" s="3">
        <v>94.0</v>
      </c>
      <c r="C1736" s="3">
        <v>1.0</v>
      </c>
      <c r="D1736" t="str">
        <f>VLOOKUP(B1736,ERA_MOTIF_TYPES.csv!$A$1:$C$119,2,1)</f>
        <v>Basin</v>
      </c>
      <c r="E1736" t="str">
        <f>VLOOKUP(A1736,Panels!$A$1:$E$2104,5,0)</f>
        <v>Hunterheugh</v>
      </c>
    </row>
    <row r="1737">
      <c r="A1737" s="3">
        <v>478.0</v>
      </c>
      <c r="B1737" s="3">
        <v>1.0</v>
      </c>
      <c r="C1737" s="3">
        <v>10.0</v>
      </c>
      <c r="D1737" t="str">
        <f>VLOOKUP(B1737,ERA_MOTIF_TYPES.csv!$A$1:$C$119,2,1)</f>
        <v>Cups Single</v>
      </c>
      <c r="E1737" t="str">
        <f>VLOOKUP(A1737,Panels!$A$1:$E$2104,5,0)</f>
        <v>Hunterheugh</v>
      </c>
    </row>
    <row r="1738">
      <c r="A1738" s="3">
        <v>478.0</v>
      </c>
      <c r="B1738" s="3">
        <v>13.0</v>
      </c>
      <c r="C1738" s="3">
        <v>1.0</v>
      </c>
      <c r="D1738" t="str">
        <f>VLOOKUP(B1738,ERA_MOTIF_TYPES.csv!$A$1:$C$119,2,1)</f>
        <v>Single Ring + cup</v>
      </c>
      <c r="E1738" t="str">
        <f>VLOOKUP(A1738,Panels!$A$1:$E$2104,5,0)</f>
        <v>Hunterheugh</v>
      </c>
    </row>
    <row r="1739">
      <c r="A1739" s="3">
        <v>479.0</v>
      </c>
      <c r="B1739" s="3">
        <v>1.0</v>
      </c>
      <c r="C1739" s="3">
        <v>5.0</v>
      </c>
      <c r="D1739" t="str">
        <f>VLOOKUP(B1739,ERA_MOTIF_TYPES.csv!$A$1:$C$119,2,1)</f>
        <v>Cups Single</v>
      </c>
      <c r="E1739" t="str">
        <f>VLOOKUP(A1739,Panels!$A$1:$E$2104,5,0)</f>
        <v>Hunterheugh</v>
      </c>
    </row>
    <row r="1740">
      <c r="A1740" s="3">
        <v>479.0</v>
      </c>
      <c r="B1740" s="3">
        <v>31.0</v>
      </c>
      <c r="C1740" s="3">
        <v>1.0</v>
      </c>
      <c r="D1740" t="str">
        <f>VLOOKUP(B1740,ERA_MOTIF_TYPES.csv!$A$1:$C$119,2,1)</f>
        <v>Cup and Groove</v>
      </c>
      <c r="E1740" t="str">
        <f>VLOOKUP(A1740,Panels!$A$1:$E$2104,5,0)</f>
        <v>Hunterheugh</v>
      </c>
    </row>
    <row r="1741">
      <c r="A1741" s="3">
        <v>480.0</v>
      </c>
      <c r="B1741" s="3">
        <v>1.0</v>
      </c>
      <c r="C1741" s="3">
        <v>1.0</v>
      </c>
      <c r="D1741" t="str">
        <f>VLOOKUP(B1741,ERA_MOTIF_TYPES.csv!$A$1:$C$119,2,1)</f>
        <v>Cups Single</v>
      </c>
      <c r="E1741" t="str">
        <f>VLOOKUP(A1741,Panels!$A$1:$E$2104,5,0)</f>
        <v>Hunterheugh</v>
      </c>
    </row>
    <row r="1742">
      <c r="A1742" s="3">
        <v>480.0</v>
      </c>
      <c r="B1742" s="3">
        <v>52.0</v>
      </c>
      <c r="C1742" s="3">
        <v>1.0</v>
      </c>
      <c r="D1742" t="str">
        <f>VLOOKUP(B1742,ERA_MOTIF_TYPES.csv!$A$1:$C$119,2,1)</f>
        <v>Single or multiple cups</v>
      </c>
      <c r="E1742" t="str">
        <f>VLOOKUP(A1742,Panels!$A$1:$E$2104,5,0)</f>
        <v>Hunterheugh</v>
      </c>
    </row>
    <row r="1743">
      <c r="A1743" s="3">
        <v>481.0</v>
      </c>
      <c r="B1743" s="3">
        <v>1.0</v>
      </c>
      <c r="C1743" s="3">
        <v>3.0</v>
      </c>
      <c r="D1743" t="str">
        <f>VLOOKUP(B1743,ERA_MOTIF_TYPES.csv!$A$1:$C$119,2,1)</f>
        <v>Cups Single</v>
      </c>
      <c r="E1743" t="str">
        <f>VLOOKUP(A1743,Panels!$A$1:$E$2104,5,0)</f>
        <v>Hunterheugh</v>
      </c>
    </row>
    <row r="1744">
      <c r="A1744" s="3">
        <v>481.0</v>
      </c>
      <c r="B1744" s="3">
        <v>25.0</v>
      </c>
      <c r="C1744" s="3">
        <v>1.0</v>
      </c>
      <c r="D1744" t="str">
        <f>VLOOKUP(B1744,ERA_MOTIF_TYPES.csv!$A$1:$C$119,2,1)</f>
        <v>Linear</v>
      </c>
      <c r="E1744" t="str">
        <f>VLOOKUP(A1744,Panels!$A$1:$E$2104,5,0)</f>
        <v>Hunterheugh</v>
      </c>
    </row>
    <row r="1745">
      <c r="A1745" s="3">
        <v>482.0</v>
      </c>
      <c r="B1745" s="3">
        <v>1.0</v>
      </c>
      <c r="C1745" s="3">
        <v>1.0</v>
      </c>
      <c r="D1745" t="str">
        <f>VLOOKUP(B1745,ERA_MOTIF_TYPES.csv!$A$1:$C$119,2,1)</f>
        <v>Cups Single</v>
      </c>
      <c r="E1745" t="str">
        <f>VLOOKUP(A1745,Panels!$A$1:$E$2104,5,0)</f>
        <v>Hunterheugh</v>
      </c>
    </row>
    <row r="1746">
      <c r="A1746" s="3">
        <v>482.0</v>
      </c>
      <c r="B1746" s="3">
        <v>51.0</v>
      </c>
      <c r="C1746" s="3">
        <v>1.0</v>
      </c>
      <c r="D1746" t="str">
        <f>VLOOKUP(B1746,ERA_MOTIF_TYPES.csv!$A$1:$C$119,2,1)</f>
        <v>Bowls</v>
      </c>
      <c r="E1746" t="str">
        <f>VLOOKUP(A1746,Panels!$A$1:$E$2104,5,0)</f>
        <v>Hunterheugh</v>
      </c>
    </row>
    <row r="1747">
      <c r="A1747" s="3">
        <v>482.0</v>
      </c>
      <c r="B1747" s="3">
        <v>52.0</v>
      </c>
      <c r="C1747" s="3">
        <v>1.0</v>
      </c>
      <c r="D1747" t="str">
        <f>VLOOKUP(B1747,ERA_MOTIF_TYPES.csv!$A$1:$C$119,2,1)</f>
        <v>Single or multiple cups</v>
      </c>
      <c r="E1747" t="str">
        <f>VLOOKUP(A1747,Panels!$A$1:$E$2104,5,0)</f>
        <v>Hunterheugh</v>
      </c>
    </row>
    <row r="1748">
      <c r="A1748" s="3">
        <v>482.0</v>
      </c>
      <c r="B1748" s="3">
        <v>94.0</v>
      </c>
      <c r="C1748" s="3">
        <v>1.0</v>
      </c>
      <c r="D1748" t="str">
        <f>VLOOKUP(B1748,ERA_MOTIF_TYPES.csv!$A$1:$C$119,2,1)</f>
        <v>Basin</v>
      </c>
      <c r="E1748" t="str">
        <f>VLOOKUP(A1748,Panels!$A$1:$E$2104,5,0)</f>
        <v>Hunterheugh</v>
      </c>
    </row>
    <row r="1749">
      <c r="A1749" s="3">
        <v>483.0</v>
      </c>
      <c r="B1749" s="3">
        <v>1.0</v>
      </c>
      <c r="C1749" s="3">
        <v>1.0</v>
      </c>
      <c r="D1749" t="str">
        <f>VLOOKUP(B1749,ERA_MOTIF_TYPES.csv!$A$1:$C$119,2,1)</f>
        <v>Cups Single</v>
      </c>
      <c r="E1749" t="str">
        <f>VLOOKUP(A1749,Panels!$A$1:$E$2104,5,0)</f>
        <v>Hunterheugh</v>
      </c>
    </row>
    <row r="1750">
      <c r="A1750" s="3">
        <v>483.0</v>
      </c>
      <c r="B1750" s="3">
        <v>51.0</v>
      </c>
      <c r="C1750" s="3">
        <v>1.0</v>
      </c>
      <c r="D1750" t="str">
        <f>VLOOKUP(B1750,ERA_MOTIF_TYPES.csv!$A$1:$C$119,2,1)</f>
        <v>Bowls</v>
      </c>
      <c r="E1750" t="str">
        <f>VLOOKUP(A1750,Panels!$A$1:$E$2104,5,0)</f>
        <v>Hunterheugh</v>
      </c>
    </row>
    <row r="1751">
      <c r="A1751" s="3">
        <v>483.0</v>
      </c>
      <c r="B1751" s="3">
        <v>52.0</v>
      </c>
      <c r="C1751" s="3">
        <v>1.0</v>
      </c>
      <c r="D1751" t="str">
        <f>VLOOKUP(B1751,ERA_MOTIF_TYPES.csv!$A$1:$C$119,2,1)</f>
        <v>Single or multiple cups</v>
      </c>
      <c r="E1751" t="str">
        <f>VLOOKUP(A1751,Panels!$A$1:$E$2104,5,0)</f>
        <v>Hunterheugh</v>
      </c>
    </row>
    <row r="1752">
      <c r="A1752" s="3">
        <v>483.0</v>
      </c>
      <c r="B1752" s="3">
        <v>94.0</v>
      </c>
      <c r="C1752" s="3">
        <v>1.0</v>
      </c>
      <c r="D1752" t="str">
        <f>VLOOKUP(B1752,ERA_MOTIF_TYPES.csv!$A$1:$C$119,2,1)</f>
        <v>Basin</v>
      </c>
      <c r="E1752" t="str">
        <f>VLOOKUP(A1752,Panels!$A$1:$E$2104,5,0)</f>
        <v>Hunterheugh</v>
      </c>
    </row>
    <row r="1753">
      <c r="A1753" s="3">
        <v>485.0</v>
      </c>
      <c r="B1753" s="3">
        <v>1.0</v>
      </c>
      <c r="C1753" s="3">
        <v>1.0</v>
      </c>
      <c r="D1753" t="str">
        <f>VLOOKUP(B1753,ERA_MOTIF_TYPES.csv!$A$1:$C$119,2,1)</f>
        <v>Cups Single</v>
      </c>
      <c r="E1753" t="str">
        <f>VLOOKUP(A1753,Panels!$A$1:$E$2104,5,0)</f>
        <v>Hunterheugh</v>
      </c>
    </row>
    <row r="1754">
      <c r="A1754" s="3">
        <v>485.0</v>
      </c>
      <c r="B1754" s="3">
        <v>57.0</v>
      </c>
      <c r="C1754" s="3">
        <v>1.0</v>
      </c>
      <c r="D1754" t="str">
        <f>VLOOKUP(B1754,ERA_MOTIF_TYPES.csv!$A$1:$C$119,2,1)</f>
        <v>Cup and ring</v>
      </c>
      <c r="E1754" t="str">
        <f>VLOOKUP(A1754,Panels!$A$1:$E$2104,5,0)</f>
        <v>Hunterheugh</v>
      </c>
    </row>
    <row r="1755">
      <c r="A1755" s="3">
        <v>486.0</v>
      </c>
      <c r="B1755" s="3">
        <v>51.0</v>
      </c>
      <c r="C1755" s="3">
        <v>1.0</v>
      </c>
      <c r="D1755" t="str">
        <f>VLOOKUP(B1755,ERA_MOTIF_TYPES.csv!$A$1:$C$119,2,1)</f>
        <v>Bowls</v>
      </c>
      <c r="E1755" t="str">
        <f>VLOOKUP(A1755,Panels!$A$1:$E$2104,5,0)</f>
        <v>Hunterheugh</v>
      </c>
    </row>
    <row r="1756">
      <c r="A1756" s="3">
        <v>486.0</v>
      </c>
      <c r="B1756" s="3">
        <v>94.0</v>
      </c>
      <c r="C1756" s="3">
        <v>1.0</v>
      </c>
      <c r="D1756" t="str">
        <f>VLOOKUP(B1756,ERA_MOTIF_TYPES.csv!$A$1:$C$119,2,1)</f>
        <v>Basin</v>
      </c>
      <c r="E1756" t="str">
        <f>VLOOKUP(A1756,Panels!$A$1:$E$2104,5,0)</f>
        <v>Hunterheugh</v>
      </c>
    </row>
    <row r="1757">
      <c r="A1757" s="3">
        <v>487.0</v>
      </c>
      <c r="B1757" s="3">
        <v>1.0</v>
      </c>
      <c r="C1757" s="3">
        <v>1.0</v>
      </c>
      <c r="D1757" t="str">
        <f>VLOOKUP(B1757,ERA_MOTIF_TYPES.csv!$A$1:$C$119,2,1)</f>
        <v>Cups Single</v>
      </c>
      <c r="E1757" t="str">
        <f>VLOOKUP(A1757,Panels!$A$1:$E$2104,5,0)</f>
        <v>Hunterheugh</v>
      </c>
    </row>
    <row r="1758">
      <c r="A1758" s="3">
        <v>488.0</v>
      </c>
      <c r="B1758" s="3">
        <v>1.0</v>
      </c>
      <c r="C1758" s="3">
        <v>1.0</v>
      </c>
      <c r="D1758" t="str">
        <f>VLOOKUP(B1758,ERA_MOTIF_TYPES.csv!$A$1:$C$119,2,1)</f>
        <v>Cups Single</v>
      </c>
      <c r="E1758" t="str">
        <f>VLOOKUP(A1758,Panels!$A$1:$E$2104,5,0)</f>
        <v>Hunterheugh</v>
      </c>
    </row>
    <row r="1759">
      <c r="A1759" s="3">
        <v>489.0</v>
      </c>
      <c r="B1759" s="3">
        <v>51.0</v>
      </c>
      <c r="C1759" s="3">
        <v>2.0</v>
      </c>
      <c r="D1759" t="str">
        <f>VLOOKUP(B1759,ERA_MOTIF_TYPES.csv!$A$1:$C$119,2,1)</f>
        <v>Bowls</v>
      </c>
      <c r="E1759" t="str">
        <f>VLOOKUP(A1759,Panels!$A$1:$E$2104,5,0)</f>
        <v>Hunterheugh</v>
      </c>
    </row>
    <row r="1760">
      <c r="A1760" s="3">
        <v>490.0</v>
      </c>
      <c r="B1760" s="3">
        <v>1.0</v>
      </c>
      <c r="C1760" s="3">
        <v>12.0</v>
      </c>
      <c r="D1760" t="str">
        <f>VLOOKUP(B1760,ERA_MOTIF_TYPES.csv!$A$1:$C$119,2,1)</f>
        <v>Cups Single</v>
      </c>
      <c r="E1760" t="str">
        <f>VLOOKUP(A1760,Panels!$A$1:$E$2104,5,0)</f>
        <v>Hunterheugh</v>
      </c>
    </row>
    <row r="1761">
      <c r="A1761" s="3">
        <v>490.0</v>
      </c>
      <c r="B1761" s="3">
        <v>52.0</v>
      </c>
      <c r="C1761" s="3">
        <v>10.0</v>
      </c>
      <c r="D1761" t="str">
        <f>VLOOKUP(B1761,ERA_MOTIF_TYPES.csv!$A$1:$C$119,2,1)</f>
        <v>Single or multiple cups</v>
      </c>
      <c r="E1761" t="str">
        <f>VLOOKUP(A1761,Panels!$A$1:$E$2104,5,0)</f>
        <v>Hunterheugh</v>
      </c>
    </row>
    <row r="1762">
      <c r="A1762" s="3">
        <v>491.0</v>
      </c>
      <c r="B1762" s="3">
        <v>1.0</v>
      </c>
      <c r="C1762" s="3">
        <v>1.0</v>
      </c>
      <c r="D1762" t="str">
        <f>VLOOKUP(B1762,ERA_MOTIF_TYPES.csv!$A$1:$C$119,2,1)</f>
        <v>Cups Single</v>
      </c>
      <c r="E1762" t="str">
        <f>VLOOKUP(A1762,Panels!$A$1:$E$2104,5,0)</f>
        <v>Hunterheugh</v>
      </c>
    </row>
    <row r="1763">
      <c r="A1763" s="3">
        <v>492.0</v>
      </c>
      <c r="B1763" s="3">
        <v>1.0</v>
      </c>
      <c r="C1763" s="3">
        <v>1.0</v>
      </c>
      <c r="D1763" t="str">
        <f>VLOOKUP(B1763,ERA_MOTIF_TYPES.csv!$A$1:$C$119,2,1)</f>
        <v>Cups Single</v>
      </c>
      <c r="E1763" t="str">
        <f>VLOOKUP(A1763,Panels!$A$1:$E$2104,5,0)</f>
        <v>Hunterheugh</v>
      </c>
    </row>
    <row r="1764">
      <c r="A1764" s="3">
        <v>493.0</v>
      </c>
      <c r="B1764" s="3">
        <v>1.0</v>
      </c>
      <c r="C1764" s="3">
        <v>4.0</v>
      </c>
      <c r="D1764" t="str">
        <f>VLOOKUP(B1764,ERA_MOTIF_TYPES.csv!$A$1:$C$119,2,1)</f>
        <v>Cups Single</v>
      </c>
      <c r="E1764" t="str">
        <f>VLOOKUP(A1764,Panels!$A$1:$E$2104,5,0)</f>
        <v>Hunterheugh</v>
      </c>
    </row>
    <row r="1765">
      <c r="A1765" s="3">
        <v>493.0</v>
      </c>
      <c r="B1765" s="3">
        <v>13.0</v>
      </c>
      <c r="C1765" s="3">
        <v>1.0</v>
      </c>
      <c r="D1765" t="str">
        <f>VLOOKUP(B1765,ERA_MOTIF_TYPES.csv!$A$1:$C$119,2,1)</f>
        <v>Single Ring + cup</v>
      </c>
      <c r="E1765" t="str">
        <f>VLOOKUP(A1765,Panels!$A$1:$E$2104,5,0)</f>
        <v>Hunterheugh</v>
      </c>
    </row>
    <row r="1766">
      <c r="A1766" s="3">
        <v>494.0</v>
      </c>
      <c r="B1766" s="3">
        <v>1.0</v>
      </c>
      <c r="C1766" s="3">
        <v>40.0</v>
      </c>
      <c r="D1766" t="str">
        <f>VLOOKUP(B1766,ERA_MOTIF_TYPES.csv!$A$1:$C$119,2,1)</f>
        <v>Cups Single</v>
      </c>
      <c r="E1766" t="str">
        <f>VLOOKUP(A1766,Panels!$A$1:$E$2104,5,0)</f>
        <v>Hunterheugh</v>
      </c>
    </row>
    <row r="1767">
      <c r="A1767" s="3">
        <v>495.0</v>
      </c>
      <c r="B1767" s="3">
        <v>1.0</v>
      </c>
      <c r="C1767" s="3">
        <v>3.0</v>
      </c>
      <c r="D1767" t="str">
        <f>VLOOKUP(B1767,ERA_MOTIF_TYPES.csv!$A$1:$C$119,2,1)</f>
        <v>Cups Single</v>
      </c>
      <c r="E1767" t="str">
        <f>VLOOKUP(A1767,Panels!$A$1:$E$2104,5,0)</f>
        <v>Hunterheugh</v>
      </c>
    </row>
    <row r="1768">
      <c r="A1768" s="3">
        <v>495.0</v>
      </c>
      <c r="B1768" s="3">
        <v>50.0</v>
      </c>
      <c r="C1768" s="3">
        <v>1.0</v>
      </c>
      <c r="D1768" t="str">
        <f>VLOOKUP(B1768,ERA_MOTIF_TYPES.csv!$A$1:$C$119,2,1)</f>
        <v>Channels</v>
      </c>
      <c r="E1768" t="str">
        <f>VLOOKUP(A1768,Panels!$A$1:$E$2104,5,0)</f>
        <v>Hunterheugh</v>
      </c>
    </row>
    <row r="1769">
      <c r="A1769" s="3">
        <v>495.0</v>
      </c>
      <c r="B1769" s="3">
        <v>51.0</v>
      </c>
      <c r="C1769" s="3">
        <v>1.0</v>
      </c>
      <c r="D1769" t="str">
        <f>VLOOKUP(B1769,ERA_MOTIF_TYPES.csv!$A$1:$C$119,2,1)</f>
        <v>Bowls</v>
      </c>
      <c r="E1769" t="str">
        <f>VLOOKUP(A1769,Panels!$A$1:$E$2104,5,0)</f>
        <v>Hunterheugh</v>
      </c>
    </row>
    <row r="1770">
      <c r="A1770" s="3">
        <v>496.0</v>
      </c>
      <c r="B1770" s="3">
        <v>1.0</v>
      </c>
      <c r="C1770" s="3">
        <v>5.0</v>
      </c>
      <c r="D1770" t="str">
        <f>VLOOKUP(B1770,ERA_MOTIF_TYPES.csv!$A$1:$C$119,2,1)</f>
        <v>Cups Single</v>
      </c>
      <c r="E1770" t="str">
        <f>VLOOKUP(A1770,Panels!$A$1:$E$2104,5,0)</f>
        <v>Titlington Mount</v>
      </c>
    </row>
    <row r="1771">
      <c r="A1771" s="3">
        <v>496.0</v>
      </c>
      <c r="B1771" s="3">
        <v>13.0</v>
      </c>
      <c r="C1771" s="3">
        <v>2.0</v>
      </c>
      <c r="D1771" t="str">
        <f>VLOOKUP(B1771,ERA_MOTIF_TYPES.csv!$A$1:$C$119,2,1)</f>
        <v>Single Ring + cup</v>
      </c>
      <c r="E1771" t="str">
        <f>VLOOKUP(A1771,Panels!$A$1:$E$2104,5,0)</f>
        <v>Titlington Mount</v>
      </c>
    </row>
    <row r="1772">
      <c r="A1772" s="3">
        <v>497.0</v>
      </c>
      <c r="B1772" s="3">
        <v>1.0</v>
      </c>
      <c r="C1772" s="3">
        <v>1.0</v>
      </c>
      <c r="D1772" t="str">
        <f>VLOOKUP(B1772,ERA_MOTIF_TYPES.csv!$A$1:$C$119,2,1)</f>
        <v>Cups Single</v>
      </c>
      <c r="E1772" t="str">
        <f>VLOOKUP(A1772,Panels!$A$1:$E$2104,5,0)</f>
        <v>Titlington Mount</v>
      </c>
    </row>
    <row r="1773">
      <c r="A1773" s="3">
        <v>498.0</v>
      </c>
      <c r="B1773" s="3">
        <v>52.0</v>
      </c>
      <c r="C1773" s="3">
        <v>7.0</v>
      </c>
      <c r="D1773" t="str">
        <f>VLOOKUP(B1773,ERA_MOTIF_TYPES.csv!$A$1:$C$119,2,1)</f>
        <v>Single or multiple cups</v>
      </c>
      <c r="E1773" t="str">
        <f>VLOOKUP(A1773,Panels!$A$1:$E$2104,5,0)</f>
        <v>Snook Bank</v>
      </c>
    </row>
    <row r="1774">
      <c r="A1774" s="3">
        <v>498.0</v>
      </c>
      <c r="B1774" s="3">
        <v>57.0</v>
      </c>
      <c r="C1774" s="3">
        <v>1.0</v>
      </c>
      <c r="D1774" t="str">
        <f>VLOOKUP(B1774,ERA_MOTIF_TYPES.csv!$A$1:$C$119,2,1)</f>
        <v>Cup and ring</v>
      </c>
      <c r="E1774" t="str">
        <f>VLOOKUP(A1774,Panels!$A$1:$E$2104,5,0)</f>
        <v>Snook Bank</v>
      </c>
    </row>
    <row r="1775">
      <c r="A1775" s="3">
        <v>498.0</v>
      </c>
      <c r="B1775" s="3">
        <v>90.0</v>
      </c>
      <c r="C1775" s="3">
        <v>2.0</v>
      </c>
      <c r="D1775" t="str">
        <f>VLOOKUP(B1775,ERA_MOTIF_TYPES.csv!$A$1:$C$119,2,1)</f>
        <v>Serpentine groove</v>
      </c>
      <c r="E1775" t="str">
        <f>VLOOKUP(A1775,Panels!$A$1:$E$2104,5,0)</f>
        <v>Snook Bank</v>
      </c>
    </row>
    <row r="1776">
      <c r="A1776" s="3">
        <v>498.0</v>
      </c>
      <c r="B1776" s="3">
        <v>103.0</v>
      </c>
      <c r="C1776" s="3">
        <v>1.0</v>
      </c>
      <c r="D1776" t="str">
        <f>VLOOKUP(B1776,ERA_MOTIF_TYPES.csv!$A$1:$C$119,2,1)</f>
        <v>Cup and groove</v>
      </c>
      <c r="E1776" t="str">
        <f>VLOOKUP(A1776,Panels!$A$1:$E$2104,5,0)</f>
        <v>Snook Bank</v>
      </c>
    </row>
    <row r="1777">
      <c r="A1777" s="3">
        <v>498.0</v>
      </c>
      <c r="B1777" s="3">
        <v>105.0</v>
      </c>
      <c r="C1777" s="3">
        <v>1.0</v>
      </c>
      <c r="D1777" t="str">
        <f>VLOOKUP(B1777,ERA_MOTIF_TYPES.csv!$A$1:$C$119,2,1)</f>
        <v>Two cups linked by a groove</v>
      </c>
      <c r="E1777" t="str">
        <f>VLOOKUP(A1777,Panels!$A$1:$E$2104,5,0)</f>
        <v>Snook Bank</v>
      </c>
    </row>
    <row r="1778">
      <c r="A1778" s="3">
        <v>499.0</v>
      </c>
      <c r="B1778" s="3">
        <v>1.0</v>
      </c>
      <c r="C1778" s="3">
        <v>2.0</v>
      </c>
      <c r="D1778" t="str">
        <f>VLOOKUP(B1778,ERA_MOTIF_TYPES.csv!$A$1:$C$119,2,1)</f>
        <v>Cups Single</v>
      </c>
      <c r="E1778" t="str">
        <f>VLOOKUP(A1778,Panels!$A$1:$E$2104,5,0)</f>
        <v>Millstone Burn</v>
      </c>
    </row>
    <row r="1779">
      <c r="A1779" s="3">
        <v>500.0</v>
      </c>
      <c r="B1779" s="3">
        <v>1.0</v>
      </c>
      <c r="C1779" s="3">
        <v>3.0</v>
      </c>
      <c r="D1779" t="str">
        <f>VLOOKUP(B1779,ERA_MOTIF_TYPES.csv!$A$1:$C$119,2,1)</f>
        <v>Cups Single</v>
      </c>
      <c r="E1779" t="str">
        <f>VLOOKUP(A1779,Panels!$A$1:$E$2104,5,0)</f>
        <v>Millstone Burn</v>
      </c>
    </row>
    <row r="1780">
      <c r="A1780" s="3">
        <v>500.0</v>
      </c>
      <c r="B1780" s="3">
        <v>13.0</v>
      </c>
      <c r="C1780" s="3">
        <v>1.0</v>
      </c>
      <c r="D1780" t="str">
        <f>VLOOKUP(B1780,ERA_MOTIF_TYPES.csv!$A$1:$C$119,2,1)</f>
        <v>Single Ring + cup</v>
      </c>
      <c r="E1780" t="str">
        <f>VLOOKUP(A1780,Panels!$A$1:$E$2104,5,0)</f>
        <v>Millstone Burn</v>
      </c>
    </row>
    <row r="1781">
      <c r="A1781" s="3">
        <v>501.0</v>
      </c>
      <c r="B1781" s="3">
        <v>16.0</v>
      </c>
      <c r="C1781" s="3">
        <v>2.0</v>
      </c>
      <c r="D1781" t="str">
        <f>VLOOKUP(B1781,ERA_MOTIF_TYPES.csv!$A$1:$C$119,2,1)</f>
        <v>Single Arc + cup</v>
      </c>
      <c r="E1781" t="str">
        <f>VLOOKUP(A1781,Panels!$A$1:$E$2104,5,0)</f>
        <v>Millstone Burn</v>
      </c>
    </row>
    <row r="1782">
      <c r="A1782" s="3">
        <v>502.0</v>
      </c>
      <c r="B1782" s="3">
        <v>1.0</v>
      </c>
      <c r="C1782" s="3">
        <v>2.0</v>
      </c>
      <c r="D1782" t="str">
        <f>VLOOKUP(B1782,ERA_MOTIF_TYPES.csv!$A$1:$C$119,2,1)</f>
        <v>Cups Single</v>
      </c>
      <c r="E1782" t="str">
        <f>VLOOKUP(A1782,Panels!$A$1:$E$2104,5,0)</f>
        <v>Millstone Burn</v>
      </c>
    </row>
    <row r="1783">
      <c r="A1783" s="3">
        <v>503.0</v>
      </c>
      <c r="B1783" s="3">
        <v>1.0</v>
      </c>
      <c r="C1783" s="3">
        <v>4.0</v>
      </c>
      <c r="D1783" t="str">
        <f>VLOOKUP(B1783,ERA_MOTIF_TYPES.csv!$A$1:$C$119,2,1)</f>
        <v>Cups Single</v>
      </c>
      <c r="E1783" t="str">
        <f>VLOOKUP(A1783,Panels!$A$1:$E$2104,5,0)</f>
        <v>Millstone Burn</v>
      </c>
    </row>
    <row r="1784">
      <c r="A1784" s="3">
        <v>503.0</v>
      </c>
      <c r="B1784" s="3">
        <v>16.0</v>
      </c>
      <c r="C1784" s="3">
        <v>1.0</v>
      </c>
      <c r="D1784" t="str">
        <f>VLOOKUP(B1784,ERA_MOTIF_TYPES.csv!$A$1:$C$119,2,1)</f>
        <v>Single Arc + cup</v>
      </c>
      <c r="E1784" t="str">
        <f>VLOOKUP(A1784,Panels!$A$1:$E$2104,5,0)</f>
        <v>Millstone Burn</v>
      </c>
    </row>
    <row r="1785">
      <c r="A1785" s="3">
        <v>503.0</v>
      </c>
      <c r="B1785" s="3">
        <v>32.0</v>
      </c>
      <c r="C1785" s="3">
        <v>1.0</v>
      </c>
      <c r="D1785" t="str">
        <f>VLOOKUP(B1785,ERA_MOTIF_TYPES.csv!$A$1:$C$119,2,1)</f>
        <v>Cup Groove and single ring</v>
      </c>
      <c r="E1785" t="str">
        <f>VLOOKUP(A1785,Panels!$A$1:$E$2104,5,0)</f>
        <v>Millstone Burn</v>
      </c>
    </row>
    <row r="1786">
      <c r="A1786" s="3">
        <v>503.0</v>
      </c>
      <c r="B1786" s="3">
        <v>52.0</v>
      </c>
      <c r="C1786" s="3">
        <v>8.0</v>
      </c>
      <c r="D1786" t="str">
        <f>VLOOKUP(B1786,ERA_MOTIF_TYPES.csv!$A$1:$C$119,2,1)</f>
        <v>Single or multiple cups</v>
      </c>
      <c r="E1786" t="str">
        <f>VLOOKUP(A1786,Panels!$A$1:$E$2104,5,0)</f>
        <v>Millstone Burn</v>
      </c>
    </row>
    <row r="1787">
      <c r="A1787" s="3">
        <v>503.0</v>
      </c>
      <c r="B1787" s="3">
        <v>61.0</v>
      </c>
      <c r="C1787" s="3">
        <v>1.0</v>
      </c>
      <c r="D1787" t="str">
        <f>VLOOKUP(B1787,ERA_MOTIF_TYPES.csv!$A$1:$C$119,2,1)</f>
        <v>Cup and arc (or semi-ovoid)</v>
      </c>
      <c r="E1787" t="str">
        <f>VLOOKUP(A1787,Panels!$A$1:$E$2104,5,0)</f>
        <v>Millstone Burn</v>
      </c>
    </row>
    <row r="1788">
      <c r="A1788" s="3">
        <v>503.0</v>
      </c>
      <c r="B1788" s="3">
        <v>87.0</v>
      </c>
      <c r="C1788" s="3">
        <v>1.0</v>
      </c>
      <c r="D1788" t="str">
        <f>VLOOKUP(B1788,ERA_MOTIF_TYPES.csv!$A$1:$C$119,2,1)</f>
        <v>Linear and angular groove</v>
      </c>
      <c r="E1788" t="str">
        <f>VLOOKUP(A1788,Panels!$A$1:$E$2104,5,0)</f>
        <v>Millstone Burn</v>
      </c>
    </row>
    <row r="1789">
      <c r="A1789" s="3">
        <v>503.0</v>
      </c>
      <c r="B1789" s="3">
        <v>107.0</v>
      </c>
      <c r="C1789" s="3">
        <v>1.0</v>
      </c>
      <c r="D1789" t="str">
        <f>VLOOKUP(B1789,ERA_MOTIF_TYPES.csv!$A$1:$C$119,2,1)</f>
        <v>Cup and ring with exterior groove</v>
      </c>
      <c r="E1789" t="str">
        <f>VLOOKUP(A1789,Panels!$A$1:$E$2104,5,0)</f>
        <v>Millstone Burn</v>
      </c>
    </row>
    <row r="1790">
      <c r="A1790" s="3">
        <v>504.0</v>
      </c>
      <c r="B1790" s="3">
        <v>1.0</v>
      </c>
      <c r="C1790" s="3">
        <v>14.0</v>
      </c>
      <c r="D1790" t="str">
        <f>VLOOKUP(B1790,ERA_MOTIF_TYPES.csv!$A$1:$C$119,2,1)</f>
        <v>Cups Single</v>
      </c>
      <c r="E1790" t="str">
        <f>VLOOKUP(A1790,Panels!$A$1:$E$2104,5,0)</f>
        <v>Millstone Burn</v>
      </c>
    </row>
    <row r="1791">
      <c r="A1791" s="3">
        <v>504.0</v>
      </c>
      <c r="B1791" s="3">
        <v>13.0</v>
      </c>
      <c r="C1791" s="3">
        <v>1.0</v>
      </c>
      <c r="D1791" t="str">
        <f>VLOOKUP(B1791,ERA_MOTIF_TYPES.csv!$A$1:$C$119,2,1)</f>
        <v>Single Ring + cup</v>
      </c>
      <c r="E1791" t="str">
        <f>VLOOKUP(A1791,Panels!$A$1:$E$2104,5,0)</f>
        <v>Millstone Burn</v>
      </c>
    </row>
    <row r="1792">
      <c r="A1792" s="3">
        <v>504.0</v>
      </c>
      <c r="B1792" s="3">
        <v>27.0</v>
      </c>
      <c r="C1792" s="3">
        <v>2.0</v>
      </c>
      <c r="D1792" t="str">
        <f>VLOOKUP(B1792,ERA_MOTIF_TYPES.csv!$A$1:$C$119,2,1)</f>
        <v>Serpentine</v>
      </c>
      <c r="E1792" t="str">
        <f>VLOOKUP(A1792,Panels!$A$1:$E$2104,5,0)</f>
        <v>Millstone Burn</v>
      </c>
    </row>
    <row r="1793">
      <c r="A1793" s="3">
        <v>504.0</v>
      </c>
      <c r="B1793" s="3">
        <v>52.0</v>
      </c>
      <c r="C1793" s="3">
        <v>8.0</v>
      </c>
      <c r="D1793" t="str">
        <f>VLOOKUP(B1793,ERA_MOTIF_TYPES.csv!$A$1:$C$119,2,1)</f>
        <v>Single or multiple cups</v>
      </c>
      <c r="E1793" t="str">
        <f>VLOOKUP(A1793,Panels!$A$1:$E$2104,5,0)</f>
        <v>Millstone Burn</v>
      </c>
    </row>
    <row r="1794">
      <c r="A1794" s="3">
        <v>504.0</v>
      </c>
      <c r="B1794" s="3">
        <v>57.0</v>
      </c>
      <c r="C1794" s="3">
        <v>3.0</v>
      </c>
      <c r="D1794" t="str">
        <f>VLOOKUP(B1794,ERA_MOTIF_TYPES.csv!$A$1:$C$119,2,1)</f>
        <v>Cup and ring</v>
      </c>
      <c r="E1794" t="str">
        <f>VLOOKUP(A1794,Panels!$A$1:$E$2104,5,0)</f>
        <v>Millstone Burn</v>
      </c>
    </row>
    <row r="1795">
      <c r="A1795" s="3">
        <v>504.0</v>
      </c>
      <c r="B1795" s="3">
        <v>61.0</v>
      </c>
      <c r="C1795" s="3">
        <v>1.0</v>
      </c>
      <c r="D1795" t="str">
        <f>VLOOKUP(B1795,ERA_MOTIF_TYPES.csv!$A$1:$C$119,2,1)</f>
        <v>Cup and arc (or semi-ovoid)</v>
      </c>
      <c r="E1795" t="str">
        <f>VLOOKUP(A1795,Panels!$A$1:$E$2104,5,0)</f>
        <v>Millstone Burn</v>
      </c>
    </row>
    <row r="1796">
      <c r="A1796" s="3">
        <v>504.0</v>
      </c>
      <c r="B1796" s="3">
        <v>110.0</v>
      </c>
      <c r="C1796" s="3">
        <v>1.0</v>
      </c>
      <c r="D1796" t="str">
        <f>VLOOKUP(B1796,ERA_MOTIF_TYPES.csv!$A$1:$C$119,2,1)</f>
        <v>Curved groove</v>
      </c>
      <c r="E1796" t="str">
        <f>VLOOKUP(A1796,Panels!$A$1:$E$2104,5,0)</f>
        <v>Millstone Burn</v>
      </c>
    </row>
    <row r="1797">
      <c r="A1797" s="3">
        <v>505.0</v>
      </c>
      <c r="B1797" s="3">
        <v>1.0</v>
      </c>
      <c r="C1797" s="3">
        <v>4.0</v>
      </c>
      <c r="D1797" t="str">
        <f>VLOOKUP(B1797,ERA_MOTIF_TYPES.csv!$A$1:$C$119,2,1)</f>
        <v>Cups Single</v>
      </c>
      <c r="E1797" t="str">
        <f>VLOOKUP(A1797,Panels!$A$1:$E$2104,5,0)</f>
        <v>Millstone Burn</v>
      </c>
    </row>
    <row r="1798">
      <c r="A1798" s="3">
        <v>505.0</v>
      </c>
      <c r="B1798" s="3">
        <v>13.0</v>
      </c>
      <c r="C1798" s="3">
        <v>1.0</v>
      </c>
      <c r="D1798" t="str">
        <f>VLOOKUP(B1798,ERA_MOTIF_TYPES.csv!$A$1:$C$119,2,1)</f>
        <v>Single Ring + cup</v>
      </c>
      <c r="E1798" t="str">
        <f>VLOOKUP(A1798,Panels!$A$1:$E$2104,5,0)</f>
        <v>Millstone Burn</v>
      </c>
    </row>
    <row r="1799">
      <c r="A1799" s="3">
        <v>505.0</v>
      </c>
      <c r="B1799" s="3">
        <v>52.0</v>
      </c>
      <c r="C1799" s="3">
        <v>11.0</v>
      </c>
      <c r="D1799" t="str">
        <f>VLOOKUP(B1799,ERA_MOTIF_TYPES.csv!$A$1:$C$119,2,1)</f>
        <v>Single or multiple cups</v>
      </c>
      <c r="E1799" t="str">
        <f>VLOOKUP(A1799,Panels!$A$1:$E$2104,5,0)</f>
        <v>Millstone Burn</v>
      </c>
    </row>
    <row r="1800">
      <c r="A1800" s="3">
        <v>505.0</v>
      </c>
      <c r="B1800" s="3">
        <v>59.0</v>
      </c>
      <c r="C1800" s="3">
        <v>1.0</v>
      </c>
      <c r="D1800" t="str">
        <f>VLOOKUP(B1800,ERA_MOTIF_TYPES.csv!$A$1:$C$119,2,1)</f>
        <v>Cup and penannular</v>
      </c>
      <c r="E1800" t="str">
        <f>VLOOKUP(A1800,Panels!$A$1:$E$2104,5,0)</f>
        <v>Millstone Burn</v>
      </c>
    </row>
    <row r="1801">
      <c r="A1801" s="3">
        <v>506.0</v>
      </c>
      <c r="B1801" s="3">
        <v>1.0</v>
      </c>
      <c r="C1801" s="3">
        <v>6.0</v>
      </c>
      <c r="D1801" t="str">
        <f>VLOOKUP(B1801,ERA_MOTIF_TYPES.csv!$A$1:$C$119,2,1)</f>
        <v>Cups Single</v>
      </c>
      <c r="E1801" t="str">
        <f>VLOOKUP(A1801,Panels!$A$1:$E$2104,5,0)</f>
        <v>Millstone Burn</v>
      </c>
    </row>
    <row r="1802">
      <c r="A1802" s="3">
        <v>506.0</v>
      </c>
      <c r="B1802" s="3">
        <v>52.0</v>
      </c>
      <c r="C1802" s="3">
        <v>7.0</v>
      </c>
      <c r="D1802" t="str">
        <f>VLOOKUP(B1802,ERA_MOTIF_TYPES.csv!$A$1:$C$119,2,1)</f>
        <v>Single or multiple cups</v>
      </c>
      <c r="E1802" t="str">
        <f>VLOOKUP(A1802,Panels!$A$1:$E$2104,5,0)</f>
        <v>Millstone Burn</v>
      </c>
    </row>
    <row r="1803">
      <c r="A1803" s="3">
        <v>506.0</v>
      </c>
      <c r="B1803" s="3">
        <v>65.0</v>
      </c>
      <c r="C1803" s="3">
        <v>2.0</v>
      </c>
      <c r="D1803" t="str">
        <f>VLOOKUP(B1803,ERA_MOTIF_TYPES.csv!$A$1:$C$119,2,1)</f>
        <v>Cup and groove with penannular</v>
      </c>
      <c r="E1803" t="str">
        <f>VLOOKUP(A1803,Panels!$A$1:$E$2104,5,0)</f>
        <v>Millstone Burn</v>
      </c>
    </row>
    <row r="1804">
      <c r="A1804" s="3">
        <v>506.0</v>
      </c>
      <c r="B1804" s="3">
        <v>103.0</v>
      </c>
      <c r="C1804" s="3">
        <v>3.0</v>
      </c>
      <c r="D1804" t="str">
        <f>VLOOKUP(B1804,ERA_MOTIF_TYPES.csv!$A$1:$C$119,2,1)</f>
        <v>Cup and groove</v>
      </c>
      <c r="E1804" t="str">
        <f>VLOOKUP(A1804,Panels!$A$1:$E$2104,5,0)</f>
        <v>Millstone Burn</v>
      </c>
    </row>
    <row r="1805">
      <c r="A1805" s="3">
        <v>507.0</v>
      </c>
      <c r="B1805" s="3">
        <v>1.0</v>
      </c>
      <c r="C1805" s="3">
        <v>6.0</v>
      </c>
      <c r="D1805" t="str">
        <f>VLOOKUP(B1805,ERA_MOTIF_TYPES.csv!$A$1:$C$119,2,1)</f>
        <v>Cups Single</v>
      </c>
      <c r="E1805" t="str">
        <f>VLOOKUP(A1805,Panels!$A$1:$E$2104,5,0)</f>
        <v>Millstone Burn</v>
      </c>
    </row>
    <row r="1806">
      <c r="A1806" s="3">
        <v>507.0</v>
      </c>
      <c r="B1806" s="3">
        <v>13.0</v>
      </c>
      <c r="C1806" s="3">
        <v>5.0</v>
      </c>
      <c r="D1806" t="str">
        <f>VLOOKUP(B1806,ERA_MOTIF_TYPES.csv!$A$1:$C$119,2,1)</f>
        <v>Single Ring + cup</v>
      </c>
      <c r="E1806" t="str">
        <f>VLOOKUP(A1806,Panels!$A$1:$E$2104,5,0)</f>
        <v>Millstone Burn</v>
      </c>
    </row>
    <row r="1807">
      <c r="A1807" s="3">
        <v>507.0</v>
      </c>
      <c r="B1807" s="3">
        <v>51.0</v>
      </c>
      <c r="C1807" s="3">
        <v>1.0</v>
      </c>
      <c r="D1807" t="str">
        <f>VLOOKUP(B1807,ERA_MOTIF_TYPES.csv!$A$1:$C$119,2,1)</f>
        <v>Bowls</v>
      </c>
      <c r="E1807" t="str">
        <f>VLOOKUP(A1807,Panels!$A$1:$E$2104,5,0)</f>
        <v>Millstone Burn</v>
      </c>
    </row>
    <row r="1808">
      <c r="A1808" s="3">
        <v>507.0</v>
      </c>
      <c r="B1808" s="3">
        <v>52.0</v>
      </c>
      <c r="C1808" s="3">
        <v>6.0</v>
      </c>
      <c r="D1808" t="str">
        <f>VLOOKUP(B1808,ERA_MOTIF_TYPES.csv!$A$1:$C$119,2,1)</f>
        <v>Single or multiple cups</v>
      </c>
      <c r="E1808" t="str">
        <f>VLOOKUP(A1808,Panels!$A$1:$E$2104,5,0)</f>
        <v>Millstone Burn</v>
      </c>
    </row>
    <row r="1809">
      <c r="A1809" s="3">
        <v>507.0</v>
      </c>
      <c r="B1809" s="3">
        <v>57.0</v>
      </c>
      <c r="C1809" s="3">
        <v>5.0</v>
      </c>
      <c r="D1809" t="str">
        <f>VLOOKUP(B1809,ERA_MOTIF_TYPES.csv!$A$1:$C$119,2,1)</f>
        <v>Cup and ring</v>
      </c>
      <c r="E1809" t="str">
        <f>VLOOKUP(A1809,Panels!$A$1:$E$2104,5,0)</f>
        <v>Millstone Burn</v>
      </c>
    </row>
    <row r="1810">
      <c r="A1810" s="3">
        <v>507.0</v>
      </c>
      <c r="B1810" s="3">
        <v>58.0</v>
      </c>
      <c r="C1810" s="3">
        <v>2.0</v>
      </c>
      <c r="D1810" t="str">
        <f>VLOOKUP(B1810,ERA_MOTIF_TYPES.csv!$A$1:$C$119,2,1)</f>
        <v>Cup and multiple rings</v>
      </c>
      <c r="E1810" t="str">
        <f>VLOOKUP(A1810,Panels!$A$1:$E$2104,5,0)</f>
        <v>Millstone Burn</v>
      </c>
    </row>
    <row r="1811">
      <c r="A1811" s="3">
        <v>507.0</v>
      </c>
      <c r="B1811" s="3">
        <v>59.0</v>
      </c>
      <c r="C1811" s="3">
        <v>1.0</v>
      </c>
      <c r="D1811" t="str">
        <f>VLOOKUP(B1811,ERA_MOTIF_TYPES.csv!$A$1:$C$119,2,1)</f>
        <v>Cup and penannular</v>
      </c>
      <c r="E1811" t="str">
        <f>VLOOKUP(A1811,Panels!$A$1:$E$2104,5,0)</f>
        <v>Millstone Burn</v>
      </c>
    </row>
    <row r="1812">
      <c r="A1812" s="3">
        <v>508.0</v>
      </c>
      <c r="B1812" s="3">
        <v>1.0</v>
      </c>
      <c r="C1812" s="3">
        <v>3.0</v>
      </c>
      <c r="D1812" t="str">
        <f>VLOOKUP(B1812,ERA_MOTIF_TYPES.csv!$A$1:$C$119,2,1)</f>
        <v>Cups Single</v>
      </c>
      <c r="E1812" t="str">
        <f>VLOOKUP(A1812,Panels!$A$1:$E$2104,5,0)</f>
        <v>Millstone Burn</v>
      </c>
    </row>
    <row r="1813">
      <c r="A1813" s="3">
        <v>508.0</v>
      </c>
      <c r="B1813" s="3">
        <v>52.0</v>
      </c>
      <c r="C1813" s="3">
        <v>15.0</v>
      </c>
      <c r="D1813" t="str">
        <f>VLOOKUP(B1813,ERA_MOTIF_TYPES.csv!$A$1:$C$119,2,1)</f>
        <v>Single or multiple cups</v>
      </c>
      <c r="E1813" t="str">
        <f>VLOOKUP(A1813,Panels!$A$1:$E$2104,5,0)</f>
        <v>Millstone Burn</v>
      </c>
    </row>
    <row r="1814">
      <c r="A1814" s="3">
        <v>508.0</v>
      </c>
      <c r="B1814" s="3">
        <v>57.0</v>
      </c>
      <c r="C1814" s="3">
        <v>1.0</v>
      </c>
      <c r="D1814" t="str">
        <f>VLOOKUP(B1814,ERA_MOTIF_TYPES.csv!$A$1:$C$119,2,1)</f>
        <v>Cup and ring</v>
      </c>
      <c r="E1814" t="str">
        <f>VLOOKUP(A1814,Panels!$A$1:$E$2104,5,0)</f>
        <v>Millstone Burn</v>
      </c>
    </row>
    <row r="1815">
      <c r="A1815" s="3">
        <v>509.0</v>
      </c>
      <c r="B1815" s="3">
        <v>1.0</v>
      </c>
      <c r="C1815" s="3">
        <v>3.0</v>
      </c>
      <c r="D1815" t="str">
        <f>VLOOKUP(B1815,ERA_MOTIF_TYPES.csv!$A$1:$C$119,2,1)</f>
        <v>Cups Single</v>
      </c>
      <c r="E1815" t="str">
        <f>VLOOKUP(A1815,Panels!$A$1:$E$2104,5,0)</f>
        <v>Millstone Burn</v>
      </c>
    </row>
    <row r="1816">
      <c r="A1816" s="3">
        <v>509.0</v>
      </c>
      <c r="B1816" s="3">
        <v>52.0</v>
      </c>
      <c r="C1816" s="3">
        <v>1.0</v>
      </c>
      <c r="D1816" t="str">
        <f>VLOOKUP(B1816,ERA_MOTIF_TYPES.csv!$A$1:$C$119,2,1)</f>
        <v>Single or multiple cups</v>
      </c>
      <c r="E1816" t="str">
        <f>VLOOKUP(A1816,Panels!$A$1:$E$2104,5,0)</f>
        <v>Millstone Burn</v>
      </c>
    </row>
    <row r="1817">
      <c r="A1817" s="3">
        <v>509.0</v>
      </c>
      <c r="B1817" s="3">
        <v>57.0</v>
      </c>
      <c r="C1817" s="3">
        <v>1.0</v>
      </c>
      <c r="D1817" t="str">
        <f>VLOOKUP(B1817,ERA_MOTIF_TYPES.csv!$A$1:$C$119,2,1)</f>
        <v>Cup and ring</v>
      </c>
      <c r="E1817" t="str">
        <f>VLOOKUP(A1817,Panels!$A$1:$E$2104,5,0)</f>
        <v>Millstone Burn</v>
      </c>
    </row>
    <row r="1818">
      <c r="A1818" s="3">
        <v>509.0</v>
      </c>
      <c r="B1818" s="3">
        <v>59.0</v>
      </c>
      <c r="C1818" s="3">
        <v>3.0</v>
      </c>
      <c r="D1818" t="str">
        <f>VLOOKUP(B1818,ERA_MOTIF_TYPES.csv!$A$1:$C$119,2,1)</f>
        <v>Cup and penannular</v>
      </c>
      <c r="E1818" t="str">
        <f>VLOOKUP(A1818,Panels!$A$1:$E$2104,5,0)</f>
        <v>Millstone Burn</v>
      </c>
    </row>
    <row r="1819">
      <c r="A1819" s="3">
        <v>509.0</v>
      </c>
      <c r="B1819" s="3">
        <v>60.0</v>
      </c>
      <c r="C1819" s="3">
        <v>1.0</v>
      </c>
      <c r="D1819" t="str">
        <f>VLOOKUP(B1819,ERA_MOTIF_TYPES.csv!$A$1:$C$119,2,1)</f>
        <v>Cup and multiple penannulars</v>
      </c>
      <c r="E1819" t="str">
        <f>VLOOKUP(A1819,Panels!$A$1:$E$2104,5,0)</f>
        <v>Millstone Burn</v>
      </c>
    </row>
    <row r="1820">
      <c r="A1820" s="3">
        <v>509.0</v>
      </c>
      <c r="B1820" s="3">
        <v>73.0</v>
      </c>
      <c r="C1820" s="3">
        <v>1.0</v>
      </c>
      <c r="D1820" t="str">
        <f>VLOOKUP(B1820,ERA_MOTIF_TYPES.csv!$A$1:$C$119,2,1)</f>
        <v>Arc</v>
      </c>
      <c r="E1820" t="str">
        <f>VLOOKUP(A1820,Panels!$A$1:$E$2104,5,0)</f>
        <v>Millstone Burn</v>
      </c>
    </row>
    <row r="1821">
      <c r="A1821" s="3">
        <v>509.0</v>
      </c>
      <c r="B1821" s="3">
        <v>87.0</v>
      </c>
      <c r="C1821" s="3">
        <v>1.0</v>
      </c>
      <c r="D1821" t="str">
        <f>VLOOKUP(B1821,ERA_MOTIF_TYPES.csv!$A$1:$C$119,2,1)</f>
        <v>Linear and angular groove</v>
      </c>
      <c r="E1821" t="str">
        <f>VLOOKUP(A1821,Panels!$A$1:$E$2104,5,0)</f>
        <v>Millstone Burn</v>
      </c>
    </row>
    <row r="1822">
      <c r="A1822" s="3">
        <v>510.0</v>
      </c>
      <c r="B1822" s="3">
        <v>1.0</v>
      </c>
      <c r="C1822" s="3">
        <v>2.0</v>
      </c>
      <c r="D1822" t="str">
        <f>VLOOKUP(B1822,ERA_MOTIF_TYPES.csv!$A$1:$C$119,2,1)</f>
        <v>Cups Single</v>
      </c>
      <c r="E1822" t="str">
        <f>VLOOKUP(A1822,Panels!$A$1:$E$2104,5,0)</f>
        <v>Millstone Burn</v>
      </c>
    </row>
    <row r="1823">
      <c r="A1823" s="3">
        <v>510.0</v>
      </c>
      <c r="B1823" s="3">
        <v>52.0</v>
      </c>
      <c r="C1823" s="3">
        <v>2.0</v>
      </c>
      <c r="D1823" t="str">
        <f>VLOOKUP(B1823,ERA_MOTIF_TYPES.csv!$A$1:$C$119,2,1)</f>
        <v>Single or multiple cups</v>
      </c>
      <c r="E1823" t="str">
        <f>VLOOKUP(A1823,Panels!$A$1:$E$2104,5,0)</f>
        <v>Millstone Burn</v>
      </c>
    </row>
    <row r="1824">
      <c r="A1824" s="3">
        <v>510.0</v>
      </c>
      <c r="B1824" s="3">
        <v>61.0</v>
      </c>
      <c r="C1824" s="3">
        <v>1.0</v>
      </c>
      <c r="D1824" t="str">
        <f>VLOOKUP(B1824,ERA_MOTIF_TYPES.csv!$A$1:$C$119,2,1)</f>
        <v>Cup and arc (or semi-ovoid)</v>
      </c>
      <c r="E1824" t="str">
        <f>VLOOKUP(A1824,Panels!$A$1:$E$2104,5,0)</f>
        <v>Millstone Burn</v>
      </c>
    </row>
    <row r="1825">
      <c r="A1825" s="3">
        <v>511.0</v>
      </c>
      <c r="B1825" s="3">
        <v>1.0</v>
      </c>
      <c r="C1825" s="3">
        <v>16.0</v>
      </c>
      <c r="D1825" t="str">
        <f>VLOOKUP(B1825,ERA_MOTIF_TYPES.csv!$A$1:$C$119,2,1)</f>
        <v>Cups Single</v>
      </c>
      <c r="E1825" t="str">
        <f>VLOOKUP(A1825,Panels!$A$1:$E$2104,5,0)</f>
        <v>Millstone Burn</v>
      </c>
    </row>
    <row r="1826">
      <c r="A1826" s="3">
        <v>511.0</v>
      </c>
      <c r="B1826" s="3">
        <v>13.0</v>
      </c>
      <c r="C1826" s="3">
        <v>4.0</v>
      </c>
      <c r="D1826" t="str">
        <f>VLOOKUP(B1826,ERA_MOTIF_TYPES.csv!$A$1:$C$119,2,1)</f>
        <v>Single Ring + cup</v>
      </c>
      <c r="E1826" t="str">
        <f>VLOOKUP(A1826,Panels!$A$1:$E$2104,5,0)</f>
        <v>Millstone Burn</v>
      </c>
    </row>
    <row r="1827">
      <c r="A1827" s="3">
        <v>511.0</v>
      </c>
      <c r="B1827" s="3">
        <v>14.0</v>
      </c>
      <c r="C1827" s="3">
        <v>2.0</v>
      </c>
      <c r="D1827" t="str">
        <f>VLOOKUP(B1827,ERA_MOTIF_TYPES.csv!$A$1:$C$119,2,1)</f>
        <v>Multi Ring + cup</v>
      </c>
      <c r="E1827" t="str">
        <f>VLOOKUP(A1827,Panels!$A$1:$E$2104,5,0)</f>
        <v>Millstone Burn</v>
      </c>
    </row>
    <row r="1828">
      <c r="A1828" s="3">
        <v>511.0</v>
      </c>
      <c r="B1828" s="3">
        <v>16.0</v>
      </c>
      <c r="C1828" s="3">
        <v>2.0</v>
      </c>
      <c r="D1828" t="str">
        <f>VLOOKUP(B1828,ERA_MOTIF_TYPES.csv!$A$1:$C$119,2,1)</f>
        <v>Single Arc + cup</v>
      </c>
      <c r="E1828" t="str">
        <f>VLOOKUP(A1828,Panels!$A$1:$E$2104,5,0)</f>
        <v>Millstone Burn</v>
      </c>
    </row>
    <row r="1829">
      <c r="A1829" s="3">
        <v>511.0</v>
      </c>
      <c r="B1829" s="3">
        <v>18.0</v>
      </c>
      <c r="C1829" s="3">
        <v>1.0</v>
      </c>
      <c r="D1829" t="str">
        <f>VLOOKUP(B1829,ERA_MOTIF_TYPES.csv!$A$1:$C$119,2,1)</f>
        <v>Multi Arc + cup</v>
      </c>
      <c r="E1829" t="str">
        <f>VLOOKUP(A1829,Panels!$A$1:$E$2104,5,0)</f>
        <v>Millstone Burn</v>
      </c>
    </row>
    <row r="1830">
      <c r="A1830" s="3">
        <v>511.0</v>
      </c>
      <c r="B1830" s="3">
        <v>27.0</v>
      </c>
      <c r="C1830" s="3">
        <v>2.0</v>
      </c>
      <c r="D1830" t="str">
        <f>VLOOKUP(B1830,ERA_MOTIF_TYPES.csv!$A$1:$C$119,2,1)</f>
        <v>Serpentine</v>
      </c>
      <c r="E1830" t="str">
        <f>VLOOKUP(A1830,Panels!$A$1:$E$2104,5,0)</f>
        <v>Millstone Burn</v>
      </c>
    </row>
    <row r="1831">
      <c r="A1831" s="3">
        <v>511.0</v>
      </c>
      <c r="B1831" s="3">
        <v>52.0</v>
      </c>
      <c r="C1831" s="3">
        <v>35.0</v>
      </c>
      <c r="D1831" t="str">
        <f>VLOOKUP(B1831,ERA_MOTIF_TYPES.csv!$A$1:$C$119,2,1)</f>
        <v>Single or multiple cups</v>
      </c>
      <c r="E1831" t="str">
        <f>VLOOKUP(A1831,Panels!$A$1:$E$2104,5,0)</f>
        <v>Millstone Burn</v>
      </c>
    </row>
    <row r="1832">
      <c r="A1832" s="3">
        <v>511.0</v>
      </c>
      <c r="B1832" s="3">
        <v>57.0</v>
      </c>
      <c r="C1832" s="3">
        <v>4.0</v>
      </c>
      <c r="D1832" t="str">
        <f>VLOOKUP(B1832,ERA_MOTIF_TYPES.csv!$A$1:$C$119,2,1)</f>
        <v>Cup and ring</v>
      </c>
      <c r="E1832" t="str">
        <f>VLOOKUP(A1832,Panels!$A$1:$E$2104,5,0)</f>
        <v>Millstone Burn</v>
      </c>
    </row>
    <row r="1833">
      <c r="A1833" s="3">
        <v>511.0</v>
      </c>
      <c r="B1833" s="3">
        <v>58.0</v>
      </c>
      <c r="C1833" s="3">
        <v>1.0</v>
      </c>
      <c r="D1833" t="str">
        <f>VLOOKUP(B1833,ERA_MOTIF_TYPES.csv!$A$1:$C$119,2,1)</f>
        <v>Cup and multiple rings</v>
      </c>
      <c r="E1833" t="str">
        <f>VLOOKUP(A1833,Panels!$A$1:$E$2104,5,0)</f>
        <v>Millstone Burn</v>
      </c>
    </row>
    <row r="1834">
      <c r="A1834" s="3">
        <v>511.0</v>
      </c>
      <c r="B1834" s="3">
        <v>59.0</v>
      </c>
      <c r="C1834" s="3">
        <v>2.0</v>
      </c>
      <c r="D1834" t="str">
        <f>VLOOKUP(B1834,ERA_MOTIF_TYPES.csv!$A$1:$C$119,2,1)</f>
        <v>Cup and penannular</v>
      </c>
      <c r="E1834" t="str">
        <f>VLOOKUP(A1834,Panels!$A$1:$E$2104,5,0)</f>
        <v>Millstone Burn</v>
      </c>
    </row>
    <row r="1835">
      <c r="A1835" s="3">
        <v>511.0</v>
      </c>
      <c r="B1835" s="3">
        <v>61.0</v>
      </c>
      <c r="C1835" s="3">
        <v>2.0</v>
      </c>
      <c r="D1835" t="str">
        <f>VLOOKUP(B1835,ERA_MOTIF_TYPES.csv!$A$1:$C$119,2,1)</f>
        <v>Cup and arc (or semi-ovoid)</v>
      </c>
      <c r="E1835" t="str">
        <f>VLOOKUP(A1835,Panels!$A$1:$E$2104,5,0)</f>
        <v>Millstone Burn</v>
      </c>
    </row>
    <row r="1836">
      <c r="A1836" s="3">
        <v>511.0</v>
      </c>
      <c r="B1836" s="3">
        <v>64.0</v>
      </c>
      <c r="C1836" s="3">
        <v>2.0</v>
      </c>
      <c r="D1836" t="str">
        <f>VLOOKUP(B1836,ERA_MOTIF_TYPES.csv!$A$1:$C$119,2,1)</f>
        <v>Cup with groove cutting through multiple rings</v>
      </c>
      <c r="E1836" t="str">
        <f>VLOOKUP(A1836,Panels!$A$1:$E$2104,5,0)</f>
        <v>Millstone Burn</v>
      </c>
    </row>
    <row r="1837">
      <c r="A1837" s="3">
        <v>511.0</v>
      </c>
      <c r="B1837" s="3">
        <v>73.0</v>
      </c>
      <c r="C1837" s="3">
        <v>1.0</v>
      </c>
      <c r="D1837" t="str">
        <f>VLOOKUP(B1837,ERA_MOTIF_TYPES.csv!$A$1:$C$119,2,1)</f>
        <v>Arc</v>
      </c>
      <c r="E1837" t="str">
        <f>VLOOKUP(A1837,Panels!$A$1:$E$2104,5,0)</f>
        <v>Millstone Burn</v>
      </c>
    </row>
    <row r="1838">
      <c r="A1838" s="3">
        <v>511.0</v>
      </c>
      <c r="B1838" s="3">
        <v>87.0</v>
      </c>
      <c r="C1838" s="3">
        <v>4.0</v>
      </c>
      <c r="D1838" t="str">
        <f>VLOOKUP(B1838,ERA_MOTIF_TYPES.csv!$A$1:$C$119,2,1)</f>
        <v>Linear and angular groove</v>
      </c>
      <c r="E1838" t="str">
        <f>VLOOKUP(A1838,Panels!$A$1:$E$2104,5,0)</f>
        <v>Millstone Burn</v>
      </c>
    </row>
    <row r="1839">
      <c r="A1839" s="3">
        <v>511.0</v>
      </c>
      <c r="B1839" s="3">
        <v>100.0</v>
      </c>
      <c r="C1839" s="3">
        <v>1.0</v>
      </c>
      <c r="D1839" t="str">
        <f>VLOOKUP(B1839,ERA_MOTIF_TYPES.csv!$A$1:$C$119,2,1)</f>
        <v>Pick marks</v>
      </c>
      <c r="E1839" t="str">
        <f>VLOOKUP(A1839,Panels!$A$1:$E$2104,5,0)</f>
        <v>Millstone Burn</v>
      </c>
    </row>
    <row r="1840">
      <c r="A1840" s="3">
        <v>511.0</v>
      </c>
      <c r="B1840" s="3">
        <v>107.0</v>
      </c>
      <c r="C1840" s="3">
        <v>1.0</v>
      </c>
      <c r="D1840" t="str">
        <f>VLOOKUP(B1840,ERA_MOTIF_TYPES.csv!$A$1:$C$119,2,1)</f>
        <v>Cup and ring with exterior groove</v>
      </c>
      <c r="E1840" t="str">
        <f>VLOOKUP(A1840,Panels!$A$1:$E$2104,5,0)</f>
        <v>Millstone Burn</v>
      </c>
    </row>
    <row r="1841">
      <c r="A1841" s="3">
        <v>511.0</v>
      </c>
      <c r="B1841" s="3">
        <v>110.0</v>
      </c>
      <c r="C1841" s="3">
        <v>4.0</v>
      </c>
      <c r="D1841" t="str">
        <f>VLOOKUP(B1841,ERA_MOTIF_TYPES.csv!$A$1:$C$119,2,1)</f>
        <v>Curved groove</v>
      </c>
      <c r="E1841" t="str">
        <f>VLOOKUP(A1841,Panels!$A$1:$E$2104,5,0)</f>
        <v>Millstone Burn</v>
      </c>
    </row>
    <row r="1842">
      <c r="A1842" s="3">
        <v>512.0</v>
      </c>
      <c r="B1842" s="3">
        <v>1.0</v>
      </c>
      <c r="C1842" s="3">
        <v>3.0</v>
      </c>
      <c r="D1842" t="str">
        <f>VLOOKUP(B1842,ERA_MOTIF_TYPES.csv!$A$1:$C$119,2,1)</f>
        <v>Cups Single</v>
      </c>
      <c r="E1842" t="str">
        <f>VLOOKUP(A1842,Panels!$A$1:$E$2104,5,0)</f>
        <v>Millstone Burn</v>
      </c>
    </row>
    <row r="1843">
      <c r="A1843" s="3">
        <v>512.0</v>
      </c>
      <c r="B1843" s="3">
        <v>52.0</v>
      </c>
      <c r="C1843" s="3">
        <v>2.0</v>
      </c>
      <c r="D1843" t="str">
        <f>VLOOKUP(B1843,ERA_MOTIF_TYPES.csv!$A$1:$C$119,2,1)</f>
        <v>Single or multiple cups</v>
      </c>
      <c r="E1843" t="str">
        <f>VLOOKUP(A1843,Panels!$A$1:$E$2104,5,0)</f>
        <v>Millstone Burn</v>
      </c>
    </row>
    <row r="1844">
      <c r="A1844" s="3">
        <v>512.0</v>
      </c>
      <c r="B1844" s="3">
        <v>93.0</v>
      </c>
      <c r="C1844" s="3">
        <v>1.0</v>
      </c>
      <c r="D1844" t="str">
        <f>VLOOKUP(B1844,ERA_MOTIF_TYPES.csv!$A$1:$C$119,2,1)</f>
        <v>Midget cup</v>
      </c>
      <c r="E1844" t="str">
        <f>VLOOKUP(A1844,Panels!$A$1:$E$2104,5,0)</f>
        <v>Millstone Burn</v>
      </c>
    </row>
    <row r="1845">
      <c r="A1845" s="3">
        <v>513.0</v>
      </c>
      <c r="B1845" s="3">
        <v>1.0</v>
      </c>
      <c r="C1845" s="3">
        <v>2.0</v>
      </c>
      <c r="D1845" t="str">
        <f>VLOOKUP(B1845,ERA_MOTIF_TYPES.csv!$A$1:$C$119,2,1)</f>
        <v>Cups Single</v>
      </c>
      <c r="E1845" t="str">
        <f>VLOOKUP(A1845,Panels!$A$1:$E$2104,5,0)</f>
        <v>Millstone Burn</v>
      </c>
    </row>
    <row r="1846">
      <c r="A1846" s="3">
        <v>513.0</v>
      </c>
      <c r="B1846" s="3">
        <v>52.0</v>
      </c>
      <c r="C1846" s="3">
        <v>1.0</v>
      </c>
      <c r="D1846" t="str">
        <f>VLOOKUP(B1846,ERA_MOTIF_TYPES.csv!$A$1:$C$119,2,1)</f>
        <v>Single or multiple cups</v>
      </c>
      <c r="E1846" t="str">
        <f>VLOOKUP(A1846,Panels!$A$1:$E$2104,5,0)</f>
        <v>Millstone Burn</v>
      </c>
    </row>
    <row r="1847">
      <c r="A1847" s="3">
        <v>513.0</v>
      </c>
      <c r="B1847" s="3">
        <v>103.0</v>
      </c>
      <c r="C1847" s="3">
        <v>1.0</v>
      </c>
      <c r="D1847" t="str">
        <f>VLOOKUP(B1847,ERA_MOTIF_TYPES.csv!$A$1:$C$119,2,1)</f>
        <v>Cup and groove</v>
      </c>
      <c r="E1847" t="str">
        <f>VLOOKUP(A1847,Panels!$A$1:$E$2104,5,0)</f>
        <v>Millstone Burn</v>
      </c>
    </row>
    <row r="1848">
      <c r="A1848" s="3">
        <v>514.0</v>
      </c>
      <c r="B1848" s="3">
        <v>1.0</v>
      </c>
      <c r="C1848" s="3">
        <v>10.0</v>
      </c>
      <c r="D1848" t="str">
        <f>VLOOKUP(B1848,ERA_MOTIF_TYPES.csv!$A$1:$C$119,2,1)</f>
        <v>Cups Single</v>
      </c>
      <c r="E1848" t="str">
        <f>VLOOKUP(A1848,Panels!$A$1:$E$2104,5,0)</f>
        <v>Millstone Burn</v>
      </c>
    </row>
    <row r="1849">
      <c r="A1849" s="3">
        <v>514.0</v>
      </c>
      <c r="B1849" s="3">
        <v>52.0</v>
      </c>
      <c r="C1849" s="3">
        <v>21.0</v>
      </c>
      <c r="D1849" t="str">
        <f>VLOOKUP(B1849,ERA_MOTIF_TYPES.csv!$A$1:$C$119,2,1)</f>
        <v>Single or multiple cups</v>
      </c>
      <c r="E1849" t="str">
        <f>VLOOKUP(A1849,Panels!$A$1:$E$2104,5,0)</f>
        <v>Millstone Burn</v>
      </c>
    </row>
    <row r="1850">
      <c r="A1850" s="3">
        <v>515.0</v>
      </c>
      <c r="B1850" s="3">
        <v>1.0</v>
      </c>
      <c r="C1850" s="3">
        <v>5.0</v>
      </c>
      <c r="D1850" t="str">
        <f>VLOOKUP(B1850,ERA_MOTIF_TYPES.csv!$A$1:$C$119,2,1)</f>
        <v>Cups Single</v>
      </c>
      <c r="E1850" t="str">
        <f>VLOOKUP(A1850,Panels!$A$1:$E$2104,5,0)</f>
        <v>Millstone Burn</v>
      </c>
    </row>
    <row r="1851">
      <c r="A1851" s="3">
        <v>515.0</v>
      </c>
      <c r="B1851" s="3">
        <v>52.0</v>
      </c>
      <c r="C1851" s="3">
        <v>6.0</v>
      </c>
      <c r="D1851" t="str">
        <f>VLOOKUP(B1851,ERA_MOTIF_TYPES.csv!$A$1:$C$119,2,1)</f>
        <v>Single or multiple cups</v>
      </c>
      <c r="E1851" t="str">
        <f>VLOOKUP(A1851,Panels!$A$1:$E$2104,5,0)</f>
        <v>Millstone Burn</v>
      </c>
    </row>
    <row r="1852">
      <c r="A1852" s="3">
        <v>515.0</v>
      </c>
      <c r="B1852" s="3">
        <v>61.0</v>
      </c>
      <c r="C1852" s="3">
        <v>1.0</v>
      </c>
      <c r="D1852" t="str">
        <f>VLOOKUP(B1852,ERA_MOTIF_TYPES.csv!$A$1:$C$119,2,1)</f>
        <v>Cup and arc (or semi-ovoid)</v>
      </c>
      <c r="E1852" t="str">
        <f>VLOOKUP(A1852,Panels!$A$1:$E$2104,5,0)</f>
        <v>Millstone Burn</v>
      </c>
    </row>
    <row r="1853">
      <c r="A1853" s="3">
        <v>516.0</v>
      </c>
      <c r="B1853" s="3">
        <v>1.0</v>
      </c>
      <c r="C1853" s="3">
        <v>4.0</v>
      </c>
      <c r="D1853" t="str">
        <f>VLOOKUP(B1853,ERA_MOTIF_TYPES.csv!$A$1:$C$119,2,1)</f>
        <v>Cups Single</v>
      </c>
      <c r="E1853" t="str">
        <f>VLOOKUP(A1853,Panels!$A$1:$E$2104,5,0)</f>
        <v>Millstone Burn</v>
      </c>
    </row>
    <row r="1854">
      <c r="A1854" s="3">
        <v>516.0</v>
      </c>
      <c r="B1854" s="3">
        <v>52.0</v>
      </c>
      <c r="C1854" s="3">
        <v>4.0</v>
      </c>
      <c r="D1854" t="str">
        <f>VLOOKUP(B1854,ERA_MOTIF_TYPES.csv!$A$1:$C$119,2,1)</f>
        <v>Single or multiple cups</v>
      </c>
      <c r="E1854" t="str">
        <f>VLOOKUP(A1854,Panels!$A$1:$E$2104,5,0)</f>
        <v>Millstone Burn</v>
      </c>
    </row>
    <row r="1855">
      <c r="A1855" s="3">
        <v>516.0</v>
      </c>
      <c r="B1855" s="3">
        <v>93.0</v>
      </c>
      <c r="C1855" s="3">
        <v>1.0</v>
      </c>
      <c r="D1855" t="str">
        <f>VLOOKUP(B1855,ERA_MOTIF_TYPES.csv!$A$1:$C$119,2,1)</f>
        <v>Midget cup</v>
      </c>
      <c r="E1855" t="str">
        <f>VLOOKUP(A1855,Panels!$A$1:$E$2104,5,0)</f>
        <v>Millstone Burn</v>
      </c>
    </row>
    <row r="1856">
      <c r="A1856" s="3">
        <v>517.0</v>
      </c>
      <c r="B1856" s="3">
        <v>1.0</v>
      </c>
      <c r="C1856" s="3">
        <v>6.0</v>
      </c>
      <c r="D1856" t="str">
        <f>VLOOKUP(B1856,ERA_MOTIF_TYPES.csv!$A$1:$C$119,2,1)</f>
        <v>Cups Single</v>
      </c>
      <c r="E1856" t="str">
        <f>VLOOKUP(A1856,Panels!$A$1:$E$2104,5,0)</f>
        <v>Millstone Burn</v>
      </c>
    </row>
    <row r="1857">
      <c r="A1857" s="3">
        <v>517.0</v>
      </c>
      <c r="B1857" s="3">
        <v>52.0</v>
      </c>
      <c r="C1857" s="3">
        <v>5.0</v>
      </c>
      <c r="D1857" t="str">
        <f>VLOOKUP(B1857,ERA_MOTIF_TYPES.csv!$A$1:$C$119,2,1)</f>
        <v>Single or multiple cups</v>
      </c>
      <c r="E1857" t="str">
        <f>VLOOKUP(A1857,Panels!$A$1:$E$2104,5,0)</f>
        <v>Millstone Burn</v>
      </c>
    </row>
    <row r="1858">
      <c r="A1858" s="3">
        <v>518.0</v>
      </c>
      <c r="B1858" s="3">
        <v>1.0</v>
      </c>
      <c r="C1858" s="3">
        <v>7.0</v>
      </c>
      <c r="D1858" t="str">
        <f>VLOOKUP(B1858,ERA_MOTIF_TYPES.csv!$A$1:$C$119,2,1)</f>
        <v>Cups Single</v>
      </c>
      <c r="E1858" t="str">
        <f>VLOOKUP(A1858,Panels!$A$1:$E$2104,5,0)</f>
        <v>Millstone Burn</v>
      </c>
    </row>
    <row r="1859">
      <c r="A1859" s="3">
        <v>518.0</v>
      </c>
      <c r="B1859" s="3">
        <v>52.0</v>
      </c>
      <c r="C1859" s="3">
        <v>5.0</v>
      </c>
      <c r="D1859" t="str">
        <f>VLOOKUP(B1859,ERA_MOTIF_TYPES.csv!$A$1:$C$119,2,1)</f>
        <v>Single or multiple cups</v>
      </c>
      <c r="E1859" t="str">
        <f>VLOOKUP(A1859,Panels!$A$1:$E$2104,5,0)</f>
        <v>Millstone Burn</v>
      </c>
    </row>
    <row r="1860">
      <c r="A1860" s="3">
        <v>518.0</v>
      </c>
      <c r="B1860" s="3">
        <v>110.0</v>
      </c>
      <c r="C1860" s="3">
        <v>1.0</v>
      </c>
      <c r="D1860" t="str">
        <f>VLOOKUP(B1860,ERA_MOTIF_TYPES.csv!$A$1:$C$119,2,1)</f>
        <v>Curved groove</v>
      </c>
      <c r="E1860" t="str">
        <f>VLOOKUP(A1860,Panels!$A$1:$E$2104,5,0)</f>
        <v>Millstone Burn</v>
      </c>
    </row>
    <row r="1861">
      <c r="A1861" s="3">
        <v>519.0</v>
      </c>
      <c r="B1861" s="3">
        <v>1.0</v>
      </c>
      <c r="C1861" s="3">
        <v>7.0</v>
      </c>
      <c r="D1861" t="str">
        <f>VLOOKUP(B1861,ERA_MOTIF_TYPES.csv!$A$1:$C$119,2,1)</f>
        <v>Cups Single</v>
      </c>
      <c r="E1861" t="str">
        <f>VLOOKUP(A1861,Panels!$A$1:$E$2104,5,0)</f>
        <v>Millstone Burn</v>
      </c>
    </row>
    <row r="1862">
      <c r="A1862" s="3">
        <v>519.0</v>
      </c>
      <c r="B1862" s="3">
        <v>52.0</v>
      </c>
      <c r="C1862" s="3">
        <v>9.0</v>
      </c>
      <c r="D1862" t="str">
        <f>VLOOKUP(B1862,ERA_MOTIF_TYPES.csv!$A$1:$C$119,2,1)</f>
        <v>Single or multiple cups</v>
      </c>
      <c r="E1862" t="str">
        <f>VLOOKUP(A1862,Panels!$A$1:$E$2104,5,0)</f>
        <v>Millstone Burn</v>
      </c>
    </row>
    <row r="1863">
      <c r="A1863" s="3">
        <v>519.0</v>
      </c>
      <c r="B1863" s="3">
        <v>93.0</v>
      </c>
      <c r="C1863" s="3">
        <v>1.0</v>
      </c>
      <c r="D1863" t="str">
        <f>VLOOKUP(B1863,ERA_MOTIF_TYPES.csv!$A$1:$C$119,2,1)</f>
        <v>Midget cup</v>
      </c>
      <c r="E1863" t="str">
        <f>VLOOKUP(A1863,Panels!$A$1:$E$2104,5,0)</f>
        <v>Millstone Burn</v>
      </c>
    </row>
    <row r="1864">
      <c r="A1864" s="3">
        <v>520.0</v>
      </c>
      <c r="B1864" s="3">
        <v>1.0</v>
      </c>
      <c r="C1864" s="3">
        <v>6.0</v>
      </c>
      <c r="D1864" t="str">
        <f>VLOOKUP(B1864,ERA_MOTIF_TYPES.csv!$A$1:$C$119,2,1)</f>
        <v>Cups Single</v>
      </c>
      <c r="E1864" t="str">
        <f>VLOOKUP(A1864,Panels!$A$1:$E$2104,5,0)</f>
        <v>Millstone Burn</v>
      </c>
    </row>
    <row r="1865">
      <c r="A1865" s="3">
        <v>520.0</v>
      </c>
      <c r="B1865" s="3">
        <v>52.0</v>
      </c>
      <c r="C1865" s="3">
        <v>6.0</v>
      </c>
      <c r="D1865" t="str">
        <f>VLOOKUP(B1865,ERA_MOTIF_TYPES.csv!$A$1:$C$119,2,1)</f>
        <v>Single or multiple cups</v>
      </c>
      <c r="E1865" t="str">
        <f>VLOOKUP(A1865,Panels!$A$1:$E$2104,5,0)</f>
        <v>Millstone Burn</v>
      </c>
    </row>
    <row r="1866">
      <c r="A1866" s="3">
        <v>520.0</v>
      </c>
      <c r="B1866" s="3">
        <v>93.0</v>
      </c>
      <c r="C1866" s="3">
        <v>3.0</v>
      </c>
      <c r="D1866" t="str">
        <f>VLOOKUP(B1866,ERA_MOTIF_TYPES.csv!$A$1:$C$119,2,1)</f>
        <v>Midget cup</v>
      </c>
      <c r="E1866" t="str">
        <f>VLOOKUP(A1866,Panels!$A$1:$E$2104,5,0)</f>
        <v>Millstone Burn</v>
      </c>
    </row>
    <row r="1867">
      <c r="A1867" s="3">
        <v>521.0</v>
      </c>
      <c r="B1867" s="3">
        <v>1.0</v>
      </c>
      <c r="C1867" s="3">
        <v>34.0</v>
      </c>
      <c r="D1867" t="str">
        <f>VLOOKUP(B1867,ERA_MOTIF_TYPES.csv!$A$1:$C$119,2,1)</f>
        <v>Cups Single</v>
      </c>
      <c r="E1867" t="str">
        <f>VLOOKUP(A1867,Panels!$A$1:$E$2104,5,0)</f>
        <v>Millstone Burn</v>
      </c>
    </row>
    <row r="1868">
      <c r="A1868" s="3">
        <v>521.0</v>
      </c>
      <c r="B1868" s="3">
        <v>52.0</v>
      </c>
      <c r="C1868" s="3">
        <v>61.0</v>
      </c>
      <c r="D1868" t="str">
        <f>VLOOKUP(B1868,ERA_MOTIF_TYPES.csv!$A$1:$C$119,2,1)</f>
        <v>Single or multiple cups</v>
      </c>
      <c r="E1868" t="str">
        <f>VLOOKUP(A1868,Panels!$A$1:$E$2104,5,0)</f>
        <v>Millstone Burn</v>
      </c>
    </row>
    <row r="1869">
      <c r="A1869" s="3">
        <v>521.0</v>
      </c>
      <c r="B1869" s="3">
        <v>61.0</v>
      </c>
      <c r="C1869" s="3">
        <v>2.0</v>
      </c>
      <c r="D1869" t="str">
        <f>VLOOKUP(B1869,ERA_MOTIF_TYPES.csv!$A$1:$C$119,2,1)</f>
        <v>Cup and arc (or semi-ovoid)</v>
      </c>
      <c r="E1869" t="str">
        <f>VLOOKUP(A1869,Panels!$A$1:$E$2104,5,0)</f>
        <v>Millstone Burn</v>
      </c>
    </row>
    <row r="1870">
      <c r="A1870" s="3">
        <v>521.0</v>
      </c>
      <c r="B1870" s="3">
        <v>87.0</v>
      </c>
      <c r="C1870" s="3">
        <v>1.0</v>
      </c>
      <c r="D1870" t="str">
        <f>VLOOKUP(B1870,ERA_MOTIF_TYPES.csv!$A$1:$C$119,2,1)</f>
        <v>Linear and angular groove</v>
      </c>
      <c r="E1870" t="str">
        <f>VLOOKUP(A1870,Panels!$A$1:$E$2104,5,0)</f>
        <v>Millstone Burn</v>
      </c>
    </row>
    <row r="1871">
      <c r="A1871" s="3">
        <v>521.0</v>
      </c>
      <c r="B1871" s="3">
        <v>105.0</v>
      </c>
      <c r="C1871" s="3">
        <v>1.0</v>
      </c>
      <c r="D1871" t="str">
        <f>VLOOKUP(B1871,ERA_MOTIF_TYPES.csv!$A$1:$C$119,2,1)</f>
        <v>Two cups linked by a groove</v>
      </c>
      <c r="E1871" t="str">
        <f>VLOOKUP(A1871,Panels!$A$1:$E$2104,5,0)</f>
        <v>Millstone Burn</v>
      </c>
    </row>
    <row r="1872">
      <c r="A1872" s="3">
        <v>522.0</v>
      </c>
      <c r="B1872" s="3">
        <v>1.0</v>
      </c>
      <c r="C1872" s="3">
        <v>30.0</v>
      </c>
      <c r="D1872" t="str">
        <f>VLOOKUP(B1872,ERA_MOTIF_TYPES.csv!$A$1:$C$119,2,1)</f>
        <v>Cups Single</v>
      </c>
      <c r="E1872" t="str">
        <f>VLOOKUP(A1872,Panels!$A$1:$E$2104,5,0)</f>
        <v>Millstone Burn</v>
      </c>
    </row>
    <row r="1873">
      <c r="A1873" s="3">
        <v>522.0</v>
      </c>
      <c r="B1873" s="3">
        <v>13.0</v>
      </c>
      <c r="C1873" s="3">
        <v>5.0</v>
      </c>
      <c r="D1873" t="str">
        <f>VLOOKUP(B1873,ERA_MOTIF_TYPES.csv!$A$1:$C$119,2,1)</f>
        <v>Single Ring + cup</v>
      </c>
      <c r="E1873" t="str">
        <f>VLOOKUP(A1873,Panels!$A$1:$E$2104,5,0)</f>
        <v>Millstone Burn</v>
      </c>
    </row>
    <row r="1874">
      <c r="A1874" s="3">
        <v>522.0</v>
      </c>
      <c r="B1874" s="3">
        <v>14.0</v>
      </c>
      <c r="C1874" s="3">
        <v>1.0</v>
      </c>
      <c r="D1874" t="str">
        <f>VLOOKUP(B1874,ERA_MOTIF_TYPES.csv!$A$1:$C$119,2,1)</f>
        <v>Multi Ring + cup</v>
      </c>
      <c r="E1874" t="str">
        <f>VLOOKUP(A1874,Panels!$A$1:$E$2104,5,0)</f>
        <v>Millstone Burn</v>
      </c>
    </row>
    <row r="1875">
      <c r="A1875" s="3">
        <v>522.0</v>
      </c>
      <c r="B1875" s="3">
        <v>27.0</v>
      </c>
      <c r="C1875" s="3">
        <v>1.0</v>
      </c>
      <c r="D1875" t="str">
        <f>VLOOKUP(B1875,ERA_MOTIF_TYPES.csv!$A$1:$C$119,2,1)</f>
        <v>Serpentine</v>
      </c>
      <c r="E1875" t="str">
        <f>VLOOKUP(A1875,Panels!$A$1:$E$2104,5,0)</f>
        <v>Millstone Burn</v>
      </c>
    </row>
    <row r="1876">
      <c r="A1876" s="3">
        <v>522.0</v>
      </c>
      <c r="B1876" s="3">
        <v>52.0</v>
      </c>
      <c r="C1876" s="3">
        <v>62.0</v>
      </c>
      <c r="D1876" t="str">
        <f>VLOOKUP(B1876,ERA_MOTIF_TYPES.csv!$A$1:$C$119,2,1)</f>
        <v>Single or multiple cups</v>
      </c>
      <c r="E1876" t="str">
        <f>VLOOKUP(A1876,Panels!$A$1:$E$2104,5,0)</f>
        <v>Millstone Burn</v>
      </c>
    </row>
    <row r="1877">
      <c r="A1877" s="3">
        <v>522.0</v>
      </c>
      <c r="B1877" s="3">
        <v>57.0</v>
      </c>
      <c r="C1877" s="3">
        <v>5.0</v>
      </c>
      <c r="D1877" t="str">
        <f>VLOOKUP(B1877,ERA_MOTIF_TYPES.csv!$A$1:$C$119,2,1)</f>
        <v>Cup and ring</v>
      </c>
      <c r="E1877" t="str">
        <f>VLOOKUP(A1877,Panels!$A$1:$E$2104,5,0)</f>
        <v>Millstone Burn</v>
      </c>
    </row>
    <row r="1878">
      <c r="A1878" s="3">
        <v>522.0</v>
      </c>
      <c r="B1878" s="3">
        <v>59.0</v>
      </c>
      <c r="C1878" s="3">
        <v>2.0</v>
      </c>
      <c r="D1878" t="str">
        <f>VLOOKUP(B1878,ERA_MOTIF_TYPES.csv!$A$1:$C$119,2,1)</f>
        <v>Cup and penannular</v>
      </c>
      <c r="E1878" t="str">
        <f>VLOOKUP(A1878,Panels!$A$1:$E$2104,5,0)</f>
        <v>Millstone Burn</v>
      </c>
    </row>
    <row r="1879">
      <c r="A1879" s="3">
        <v>522.0</v>
      </c>
      <c r="B1879" s="3">
        <v>61.0</v>
      </c>
      <c r="C1879" s="3">
        <v>2.0</v>
      </c>
      <c r="D1879" t="str">
        <f>VLOOKUP(B1879,ERA_MOTIF_TYPES.csv!$A$1:$C$119,2,1)</f>
        <v>Cup and arc (or semi-ovoid)</v>
      </c>
      <c r="E1879" t="str">
        <f>VLOOKUP(A1879,Panels!$A$1:$E$2104,5,0)</f>
        <v>Millstone Burn</v>
      </c>
    </row>
    <row r="1880">
      <c r="A1880" s="3">
        <v>522.0</v>
      </c>
      <c r="B1880" s="3">
        <v>65.0</v>
      </c>
      <c r="C1880" s="3">
        <v>1.0</v>
      </c>
      <c r="D1880" t="str">
        <f>VLOOKUP(B1880,ERA_MOTIF_TYPES.csv!$A$1:$C$119,2,1)</f>
        <v>Cup and groove with penannular</v>
      </c>
      <c r="E1880" t="str">
        <f>VLOOKUP(A1880,Panels!$A$1:$E$2104,5,0)</f>
        <v>Millstone Burn</v>
      </c>
    </row>
    <row r="1881">
      <c r="A1881" s="3">
        <v>522.0</v>
      </c>
      <c r="B1881" s="3">
        <v>66.0</v>
      </c>
      <c r="C1881" s="3">
        <v>1.0</v>
      </c>
      <c r="D1881" t="str">
        <f>VLOOKUP(B1881,ERA_MOTIF_TYPES.csv!$A$1:$C$119,2,1)</f>
        <v>Cup and groove with multiple penannulars</v>
      </c>
      <c r="E1881" t="str">
        <f>VLOOKUP(A1881,Panels!$A$1:$E$2104,5,0)</f>
        <v>Millstone Burn</v>
      </c>
    </row>
    <row r="1882">
      <c r="A1882" s="3">
        <v>522.0</v>
      </c>
      <c r="B1882" s="3">
        <v>100.0</v>
      </c>
      <c r="C1882" s="3">
        <v>1.0</v>
      </c>
      <c r="D1882" t="str">
        <f>VLOOKUP(B1882,ERA_MOTIF_TYPES.csv!$A$1:$C$119,2,1)</f>
        <v>Pick marks</v>
      </c>
      <c r="E1882" t="str">
        <f>VLOOKUP(A1882,Panels!$A$1:$E$2104,5,0)</f>
        <v>Millstone Burn</v>
      </c>
    </row>
    <row r="1883">
      <c r="A1883" s="3">
        <v>523.0</v>
      </c>
      <c r="B1883" s="3">
        <v>1.0</v>
      </c>
      <c r="C1883" s="3">
        <v>6.0</v>
      </c>
      <c r="D1883" t="str">
        <f>VLOOKUP(B1883,ERA_MOTIF_TYPES.csv!$A$1:$C$119,2,1)</f>
        <v>Cups Single</v>
      </c>
      <c r="E1883" t="str">
        <f>VLOOKUP(A1883,Panels!$A$1:$E$2104,5,0)</f>
        <v>Millstone Burn</v>
      </c>
    </row>
    <row r="1884">
      <c r="A1884" s="3">
        <v>523.0</v>
      </c>
      <c r="B1884" s="3">
        <v>13.0</v>
      </c>
      <c r="C1884" s="3">
        <v>1.0</v>
      </c>
      <c r="D1884" t="str">
        <f>VLOOKUP(B1884,ERA_MOTIF_TYPES.csv!$A$1:$C$119,2,1)</f>
        <v>Single Ring + cup</v>
      </c>
      <c r="E1884" t="str">
        <f>VLOOKUP(A1884,Panels!$A$1:$E$2104,5,0)</f>
        <v>Millstone Burn</v>
      </c>
    </row>
    <row r="1885">
      <c r="A1885" s="3">
        <v>523.0</v>
      </c>
      <c r="B1885" s="3">
        <v>16.0</v>
      </c>
      <c r="C1885" s="3">
        <v>1.0</v>
      </c>
      <c r="D1885" t="str">
        <f>VLOOKUP(B1885,ERA_MOTIF_TYPES.csv!$A$1:$C$119,2,1)</f>
        <v>Single Arc + cup</v>
      </c>
      <c r="E1885" t="str">
        <f>VLOOKUP(A1885,Panels!$A$1:$E$2104,5,0)</f>
        <v>Millstone Burn</v>
      </c>
    </row>
    <row r="1886">
      <c r="A1886" s="3">
        <v>523.0</v>
      </c>
      <c r="B1886" s="3">
        <v>21.0</v>
      </c>
      <c r="C1886" s="3">
        <v>1.0</v>
      </c>
      <c r="D1886" t="str">
        <f>VLOOKUP(B1886,ERA_MOTIF_TYPES.csv!$A$1:$C$119,2,1)</f>
        <v>Keyhole cup and groove</v>
      </c>
      <c r="E1886" t="str">
        <f>VLOOKUP(A1886,Panels!$A$1:$E$2104,5,0)</f>
        <v>Millstone Burn</v>
      </c>
    </row>
    <row r="1887">
      <c r="A1887" s="3">
        <v>523.0</v>
      </c>
      <c r="B1887" s="3">
        <v>52.0</v>
      </c>
      <c r="C1887" s="3">
        <v>3.0</v>
      </c>
      <c r="D1887" t="str">
        <f>VLOOKUP(B1887,ERA_MOTIF_TYPES.csv!$A$1:$C$119,2,1)</f>
        <v>Single or multiple cups</v>
      </c>
      <c r="E1887" t="str">
        <f>VLOOKUP(A1887,Panels!$A$1:$E$2104,5,0)</f>
        <v>Millstone Burn</v>
      </c>
    </row>
    <row r="1888">
      <c r="A1888" s="3">
        <v>523.0</v>
      </c>
      <c r="B1888" s="3">
        <v>57.0</v>
      </c>
      <c r="C1888" s="3">
        <v>2.0</v>
      </c>
      <c r="D1888" t="str">
        <f>VLOOKUP(B1888,ERA_MOTIF_TYPES.csv!$A$1:$C$119,2,1)</f>
        <v>Cup and ring</v>
      </c>
      <c r="E1888" t="str">
        <f>VLOOKUP(A1888,Panels!$A$1:$E$2104,5,0)</f>
        <v>Millstone Burn</v>
      </c>
    </row>
    <row r="1889">
      <c r="A1889" s="3">
        <v>523.0</v>
      </c>
      <c r="B1889" s="3">
        <v>73.0</v>
      </c>
      <c r="C1889" s="3">
        <v>1.0</v>
      </c>
      <c r="D1889" t="str">
        <f>VLOOKUP(B1889,ERA_MOTIF_TYPES.csv!$A$1:$C$119,2,1)</f>
        <v>Arc</v>
      </c>
      <c r="E1889" t="str">
        <f>VLOOKUP(A1889,Panels!$A$1:$E$2104,5,0)</f>
        <v>Millstone Burn</v>
      </c>
    </row>
    <row r="1890">
      <c r="A1890" s="3">
        <v>523.0</v>
      </c>
      <c r="B1890" s="3">
        <v>78.0</v>
      </c>
      <c r="C1890" s="3">
        <v>1.0</v>
      </c>
      <c r="D1890" t="str">
        <f>VLOOKUP(B1890,ERA_MOTIF_TYPES.csv!$A$1:$C$119,2,1)</f>
        <v>Keyhole with groove leading out from central cup</v>
      </c>
      <c r="E1890" t="str">
        <f>VLOOKUP(A1890,Panels!$A$1:$E$2104,5,0)</f>
        <v>Millstone Burn</v>
      </c>
    </row>
    <row r="1891">
      <c r="A1891" s="3">
        <v>523.0</v>
      </c>
      <c r="B1891" s="3">
        <v>103.0</v>
      </c>
      <c r="C1891" s="3">
        <v>1.0</v>
      </c>
      <c r="D1891" t="str">
        <f>VLOOKUP(B1891,ERA_MOTIF_TYPES.csv!$A$1:$C$119,2,1)</f>
        <v>Cup and groove</v>
      </c>
      <c r="E1891" t="str">
        <f>VLOOKUP(A1891,Panels!$A$1:$E$2104,5,0)</f>
        <v>Millstone Burn</v>
      </c>
    </row>
    <row r="1892">
      <c r="A1892" s="3">
        <v>523.0</v>
      </c>
      <c r="B1892" s="3">
        <v>110.0</v>
      </c>
      <c r="C1892" s="3">
        <v>1.0</v>
      </c>
      <c r="D1892" t="str">
        <f>VLOOKUP(B1892,ERA_MOTIF_TYPES.csv!$A$1:$C$119,2,1)</f>
        <v>Curved groove</v>
      </c>
      <c r="E1892" t="str">
        <f>VLOOKUP(A1892,Panels!$A$1:$E$2104,5,0)</f>
        <v>Millstone Burn</v>
      </c>
    </row>
    <row r="1893">
      <c r="A1893" s="3">
        <v>524.0</v>
      </c>
      <c r="B1893" s="3">
        <v>1.0</v>
      </c>
      <c r="C1893" s="3">
        <v>19.0</v>
      </c>
      <c r="D1893" t="str">
        <f>VLOOKUP(B1893,ERA_MOTIF_TYPES.csv!$A$1:$C$119,2,1)</f>
        <v>Cups Single</v>
      </c>
      <c r="E1893" t="str">
        <f>VLOOKUP(A1893,Panels!$A$1:$E$2104,5,0)</f>
        <v>Millstone Burn</v>
      </c>
    </row>
    <row r="1894">
      <c r="A1894" s="3">
        <v>524.0</v>
      </c>
      <c r="B1894" s="3">
        <v>52.0</v>
      </c>
      <c r="C1894" s="3">
        <v>26.0</v>
      </c>
      <c r="D1894" t="str">
        <f>VLOOKUP(B1894,ERA_MOTIF_TYPES.csv!$A$1:$C$119,2,1)</f>
        <v>Single or multiple cups</v>
      </c>
      <c r="E1894" t="str">
        <f>VLOOKUP(A1894,Panels!$A$1:$E$2104,5,0)</f>
        <v>Millstone Burn</v>
      </c>
    </row>
    <row r="1895">
      <c r="A1895" s="3">
        <v>524.0</v>
      </c>
      <c r="B1895" s="3">
        <v>57.0</v>
      </c>
      <c r="C1895" s="3">
        <v>4.0</v>
      </c>
      <c r="D1895" t="str">
        <f>VLOOKUP(B1895,ERA_MOTIF_TYPES.csv!$A$1:$C$119,2,1)</f>
        <v>Cup and ring</v>
      </c>
      <c r="E1895" t="str">
        <f>VLOOKUP(A1895,Panels!$A$1:$E$2104,5,0)</f>
        <v>Millstone Burn</v>
      </c>
    </row>
    <row r="1896">
      <c r="A1896" s="3">
        <v>524.0</v>
      </c>
      <c r="B1896" s="3">
        <v>59.0</v>
      </c>
      <c r="C1896" s="3">
        <v>1.0</v>
      </c>
      <c r="D1896" t="str">
        <f>VLOOKUP(B1896,ERA_MOTIF_TYPES.csv!$A$1:$C$119,2,1)</f>
        <v>Cup and penannular</v>
      </c>
      <c r="E1896" t="str">
        <f>VLOOKUP(A1896,Panels!$A$1:$E$2104,5,0)</f>
        <v>Millstone Burn</v>
      </c>
    </row>
    <row r="1897">
      <c r="A1897" s="3">
        <v>524.0</v>
      </c>
      <c r="B1897" s="3">
        <v>61.0</v>
      </c>
      <c r="C1897" s="3">
        <v>1.0</v>
      </c>
      <c r="D1897" t="str">
        <f>VLOOKUP(B1897,ERA_MOTIF_TYPES.csv!$A$1:$C$119,2,1)</f>
        <v>Cup and arc (or semi-ovoid)</v>
      </c>
      <c r="E1897" t="str">
        <f>VLOOKUP(A1897,Panels!$A$1:$E$2104,5,0)</f>
        <v>Millstone Burn</v>
      </c>
    </row>
    <row r="1898">
      <c r="A1898" s="3">
        <v>525.0</v>
      </c>
      <c r="B1898" s="3">
        <v>1.0</v>
      </c>
      <c r="C1898" s="3">
        <v>20.0</v>
      </c>
      <c r="D1898" t="str">
        <f>VLOOKUP(B1898,ERA_MOTIF_TYPES.csv!$A$1:$C$119,2,1)</f>
        <v>Cups Single</v>
      </c>
      <c r="E1898" t="str">
        <f>VLOOKUP(A1898,Panels!$A$1:$E$2104,5,0)</f>
        <v>Millstone Burn</v>
      </c>
    </row>
    <row r="1899">
      <c r="A1899" s="3">
        <v>525.0</v>
      </c>
      <c r="B1899" s="3">
        <v>14.0</v>
      </c>
      <c r="C1899" s="3">
        <v>1.0</v>
      </c>
      <c r="D1899" t="str">
        <f>VLOOKUP(B1899,ERA_MOTIF_TYPES.csv!$A$1:$C$119,2,1)</f>
        <v>Multi Ring + cup</v>
      </c>
      <c r="E1899" t="str">
        <f>VLOOKUP(A1899,Panels!$A$1:$E$2104,5,0)</f>
        <v>Millstone Burn</v>
      </c>
    </row>
    <row r="1900">
      <c r="A1900" s="3">
        <v>525.0</v>
      </c>
      <c r="B1900" s="3">
        <v>17.0</v>
      </c>
      <c r="C1900" s="3">
        <v>1.0</v>
      </c>
      <c r="D1900" t="str">
        <f>VLOOKUP(B1900,ERA_MOTIF_TYPES.csv!$A$1:$C$119,2,1)</f>
        <v>Single Penannular + cup</v>
      </c>
      <c r="E1900" t="str">
        <f>VLOOKUP(A1900,Panels!$A$1:$E$2104,5,0)</f>
        <v>Millstone Burn</v>
      </c>
    </row>
    <row r="1901">
      <c r="A1901" s="3">
        <v>525.0</v>
      </c>
      <c r="B1901" s="3">
        <v>52.0</v>
      </c>
      <c r="C1901" s="3">
        <v>35.0</v>
      </c>
      <c r="D1901" t="str">
        <f>VLOOKUP(B1901,ERA_MOTIF_TYPES.csv!$A$1:$C$119,2,1)</f>
        <v>Single or multiple cups</v>
      </c>
      <c r="E1901" t="str">
        <f>VLOOKUP(A1901,Panels!$A$1:$E$2104,5,0)</f>
        <v>Millstone Burn</v>
      </c>
    </row>
    <row r="1902">
      <c r="A1902" s="3">
        <v>525.0</v>
      </c>
      <c r="B1902" s="3">
        <v>57.0</v>
      </c>
      <c r="C1902" s="3">
        <v>2.0</v>
      </c>
      <c r="D1902" t="str">
        <f>VLOOKUP(B1902,ERA_MOTIF_TYPES.csv!$A$1:$C$119,2,1)</f>
        <v>Cup and ring</v>
      </c>
      <c r="E1902" t="str">
        <f>VLOOKUP(A1902,Panels!$A$1:$E$2104,5,0)</f>
        <v>Millstone Burn</v>
      </c>
    </row>
    <row r="1903">
      <c r="A1903" s="3">
        <v>525.0</v>
      </c>
      <c r="B1903" s="3">
        <v>58.0</v>
      </c>
      <c r="C1903" s="3">
        <v>1.0</v>
      </c>
      <c r="D1903" t="str">
        <f>VLOOKUP(B1903,ERA_MOTIF_TYPES.csv!$A$1:$C$119,2,1)</f>
        <v>Cup and multiple rings</v>
      </c>
      <c r="E1903" t="str">
        <f>VLOOKUP(A1903,Panels!$A$1:$E$2104,5,0)</f>
        <v>Millstone Burn</v>
      </c>
    </row>
    <row r="1904">
      <c r="A1904" s="3">
        <v>525.0</v>
      </c>
      <c r="B1904" s="3">
        <v>61.0</v>
      </c>
      <c r="C1904" s="3">
        <v>6.0</v>
      </c>
      <c r="D1904" t="str">
        <f>VLOOKUP(B1904,ERA_MOTIF_TYPES.csv!$A$1:$C$119,2,1)</f>
        <v>Cup and arc (or semi-ovoid)</v>
      </c>
      <c r="E1904" t="str">
        <f>VLOOKUP(A1904,Panels!$A$1:$E$2104,5,0)</f>
        <v>Millstone Burn</v>
      </c>
    </row>
    <row r="1905">
      <c r="A1905" s="3">
        <v>525.0</v>
      </c>
      <c r="B1905" s="3">
        <v>84.0</v>
      </c>
      <c r="C1905" s="3">
        <v>1.0</v>
      </c>
      <c r="D1905" t="str">
        <f>VLOOKUP(B1905,ERA_MOTIF_TYPES.csv!$A$1:$C$119,2,1)</f>
        <v>Oval groove enclosing cups</v>
      </c>
      <c r="E1905" t="str">
        <f>VLOOKUP(A1905,Panels!$A$1:$E$2104,5,0)</f>
        <v>Millstone Burn</v>
      </c>
    </row>
    <row r="1906">
      <c r="A1906" s="3">
        <v>525.0</v>
      </c>
      <c r="B1906" s="3">
        <v>100.0</v>
      </c>
      <c r="C1906" s="3">
        <v>1.0</v>
      </c>
      <c r="D1906" t="str">
        <f>VLOOKUP(B1906,ERA_MOTIF_TYPES.csv!$A$1:$C$119,2,1)</f>
        <v>Pick marks</v>
      </c>
      <c r="E1906" t="str">
        <f>VLOOKUP(A1906,Panels!$A$1:$E$2104,5,0)</f>
        <v>Millstone Burn</v>
      </c>
    </row>
    <row r="1907">
      <c r="A1907" s="3">
        <v>525.0</v>
      </c>
      <c r="B1907" s="3">
        <v>107.0</v>
      </c>
      <c r="C1907" s="3">
        <v>1.0</v>
      </c>
      <c r="D1907" t="str">
        <f>VLOOKUP(B1907,ERA_MOTIF_TYPES.csv!$A$1:$C$119,2,1)</f>
        <v>Cup and ring with exterior groove</v>
      </c>
      <c r="E1907" t="str">
        <f>VLOOKUP(A1907,Panels!$A$1:$E$2104,5,0)</f>
        <v>Millstone Burn</v>
      </c>
    </row>
    <row r="1908">
      <c r="A1908" s="3">
        <v>525.0</v>
      </c>
      <c r="B1908" s="3">
        <v>112.0</v>
      </c>
      <c r="C1908" s="3">
        <v>1.0</v>
      </c>
      <c r="D1908" t="str">
        <f>VLOOKUP(B1908,ERA_MOTIF_TYPES.csv!$A$1:$C$119,2,1)</f>
        <v>Row of midget cups</v>
      </c>
      <c r="E1908" t="str">
        <f>VLOOKUP(A1908,Panels!$A$1:$E$2104,5,0)</f>
        <v>Millstone Burn</v>
      </c>
    </row>
    <row r="1909">
      <c r="A1909" s="3">
        <v>526.0</v>
      </c>
      <c r="B1909" s="3">
        <v>1.0</v>
      </c>
      <c r="C1909" s="3">
        <v>3.0</v>
      </c>
      <c r="D1909" t="str">
        <f>VLOOKUP(B1909,ERA_MOTIF_TYPES.csv!$A$1:$C$119,2,1)</f>
        <v>Cups Single</v>
      </c>
      <c r="E1909" t="str">
        <f>VLOOKUP(A1909,Panels!$A$1:$E$2104,5,0)</f>
        <v>Millstone Burn</v>
      </c>
    </row>
    <row r="1910">
      <c r="A1910" s="3">
        <v>526.0</v>
      </c>
      <c r="B1910" s="3">
        <v>15.0</v>
      </c>
      <c r="C1910" s="3">
        <v>2.0</v>
      </c>
      <c r="D1910" t="str">
        <f>VLOOKUP(B1910,ERA_MOTIF_TYPES.csv!$A$1:$C$119,2,1)</f>
        <v>Multi Penanular + cup</v>
      </c>
      <c r="E1910" t="str">
        <f>VLOOKUP(A1910,Panels!$A$1:$E$2104,5,0)</f>
        <v>Millstone Burn</v>
      </c>
    </row>
    <row r="1911">
      <c r="A1911" s="3">
        <v>526.0</v>
      </c>
      <c r="B1911" s="3">
        <v>25.0</v>
      </c>
      <c r="C1911" s="3">
        <v>1.0</v>
      </c>
      <c r="D1911" t="str">
        <f>VLOOKUP(B1911,ERA_MOTIF_TYPES.csv!$A$1:$C$119,2,1)</f>
        <v>Linear</v>
      </c>
      <c r="E1911" t="str">
        <f>VLOOKUP(A1911,Panels!$A$1:$E$2104,5,0)</f>
        <v>Millstone Burn</v>
      </c>
    </row>
    <row r="1912">
      <c r="A1912" s="3">
        <v>526.0</v>
      </c>
      <c r="B1912" s="3">
        <v>52.0</v>
      </c>
      <c r="C1912" s="3">
        <v>7.0</v>
      </c>
      <c r="D1912" t="str">
        <f>VLOOKUP(B1912,ERA_MOTIF_TYPES.csv!$A$1:$C$119,2,1)</f>
        <v>Single or multiple cups</v>
      </c>
      <c r="E1912" t="str">
        <f>VLOOKUP(A1912,Panels!$A$1:$E$2104,5,0)</f>
        <v>Millstone Burn</v>
      </c>
    </row>
    <row r="1913">
      <c r="A1913" s="3">
        <v>526.0</v>
      </c>
      <c r="B1913" s="3">
        <v>61.0</v>
      </c>
      <c r="C1913" s="3">
        <v>3.0</v>
      </c>
      <c r="D1913" t="str">
        <f>VLOOKUP(B1913,ERA_MOTIF_TYPES.csv!$A$1:$C$119,2,1)</f>
        <v>Cup and arc (or semi-ovoid)</v>
      </c>
      <c r="E1913" t="str">
        <f>VLOOKUP(A1913,Panels!$A$1:$E$2104,5,0)</f>
        <v>Millstone Burn</v>
      </c>
    </row>
    <row r="1914">
      <c r="A1914" s="3">
        <v>526.0</v>
      </c>
      <c r="B1914" s="3">
        <v>64.0</v>
      </c>
      <c r="C1914" s="3">
        <v>1.0</v>
      </c>
      <c r="D1914" t="str">
        <f>VLOOKUP(B1914,ERA_MOTIF_TYPES.csv!$A$1:$C$119,2,1)</f>
        <v>Cup with groove cutting through multiple rings</v>
      </c>
      <c r="E1914" t="str">
        <f>VLOOKUP(A1914,Panels!$A$1:$E$2104,5,0)</f>
        <v>Millstone Burn</v>
      </c>
    </row>
    <row r="1915">
      <c r="A1915" s="3">
        <v>526.0</v>
      </c>
      <c r="B1915" s="3">
        <v>65.0</v>
      </c>
      <c r="C1915" s="3">
        <v>1.0</v>
      </c>
      <c r="D1915" t="str">
        <f>VLOOKUP(B1915,ERA_MOTIF_TYPES.csv!$A$1:$C$119,2,1)</f>
        <v>Cup and groove with penannular</v>
      </c>
      <c r="E1915" t="str">
        <f>VLOOKUP(A1915,Panels!$A$1:$E$2104,5,0)</f>
        <v>Millstone Burn</v>
      </c>
    </row>
    <row r="1916">
      <c r="A1916" s="3">
        <v>526.0</v>
      </c>
      <c r="B1916" s="3">
        <v>69.0</v>
      </c>
      <c r="C1916" s="3">
        <v>1.0</v>
      </c>
      <c r="D1916" t="str">
        <f>VLOOKUP(B1916,ERA_MOTIF_TYPES.csv!$A$1:$C$119,2,1)</f>
        <v>Ring</v>
      </c>
      <c r="E1916" t="str">
        <f>VLOOKUP(A1916,Panels!$A$1:$E$2104,5,0)</f>
        <v>Millstone Burn</v>
      </c>
    </row>
    <row r="1917">
      <c r="A1917" s="3">
        <v>526.0</v>
      </c>
      <c r="B1917" s="3">
        <v>73.0</v>
      </c>
      <c r="C1917" s="3">
        <v>1.0</v>
      </c>
      <c r="D1917" t="str">
        <f>VLOOKUP(B1917,ERA_MOTIF_TYPES.csv!$A$1:$C$119,2,1)</f>
        <v>Arc</v>
      </c>
      <c r="E1917" t="str">
        <f>VLOOKUP(A1917,Panels!$A$1:$E$2104,5,0)</f>
        <v>Millstone Burn</v>
      </c>
    </row>
    <row r="1918">
      <c r="A1918" s="3">
        <v>526.0</v>
      </c>
      <c r="B1918" s="3">
        <v>100.0</v>
      </c>
      <c r="C1918" s="3">
        <v>1.0</v>
      </c>
      <c r="D1918" t="str">
        <f>VLOOKUP(B1918,ERA_MOTIF_TYPES.csv!$A$1:$C$119,2,1)</f>
        <v>Pick marks</v>
      </c>
      <c r="E1918" t="str">
        <f>VLOOKUP(A1918,Panels!$A$1:$E$2104,5,0)</f>
        <v>Millstone Burn</v>
      </c>
    </row>
    <row r="1919">
      <c r="A1919" s="3">
        <v>527.0</v>
      </c>
      <c r="B1919" s="3">
        <v>1.0</v>
      </c>
      <c r="C1919" s="3">
        <v>20.0</v>
      </c>
      <c r="D1919" t="str">
        <f>VLOOKUP(B1919,ERA_MOTIF_TYPES.csv!$A$1:$C$119,2,1)</f>
        <v>Cups Single</v>
      </c>
      <c r="E1919" t="str">
        <f>VLOOKUP(A1919,Panels!$A$1:$E$2104,5,0)</f>
        <v>Millstone Burn</v>
      </c>
    </row>
    <row r="1920">
      <c r="A1920" s="3">
        <v>527.0</v>
      </c>
      <c r="B1920" s="3">
        <v>17.0</v>
      </c>
      <c r="C1920" s="3">
        <v>3.0</v>
      </c>
      <c r="D1920" t="str">
        <f>VLOOKUP(B1920,ERA_MOTIF_TYPES.csv!$A$1:$C$119,2,1)</f>
        <v>Single Penannular + cup</v>
      </c>
      <c r="E1920" t="str">
        <f>VLOOKUP(A1920,Panels!$A$1:$E$2104,5,0)</f>
        <v>Millstone Burn</v>
      </c>
    </row>
    <row r="1921">
      <c r="A1921" s="3">
        <v>527.0</v>
      </c>
      <c r="B1921" s="3">
        <v>52.0</v>
      </c>
      <c r="C1921" s="3">
        <v>36.0</v>
      </c>
      <c r="D1921" t="str">
        <f>VLOOKUP(B1921,ERA_MOTIF_TYPES.csv!$A$1:$C$119,2,1)</f>
        <v>Single or multiple cups</v>
      </c>
      <c r="E1921" t="str">
        <f>VLOOKUP(A1921,Panels!$A$1:$E$2104,5,0)</f>
        <v>Millstone Burn</v>
      </c>
    </row>
    <row r="1922">
      <c r="A1922" s="3">
        <v>527.0</v>
      </c>
      <c r="B1922" s="3">
        <v>55.0</v>
      </c>
      <c r="C1922" s="3">
        <v>1.0</v>
      </c>
      <c r="D1922" t="str">
        <f>VLOOKUP(B1922,ERA_MOTIF_TYPES.csv!$A$1:$C$119,2,1)</f>
        <v>Cups in a straight or curved line</v>
      </c>
      <c r="E1922" t="str">
        <f>VLOOKUP(A1922,Panels!$A$1:$E$2104,5,0)</f>
        <v>Millstone Burn</v>
      </c>
    </row>
    <row r="1923">
      <c r="A1923" s="3">
        <v>527.0</v>
      </c>
      <c r="B1923" s="3">
        <v>57.0</v>
      </c>
      <c r="C1923" s="3">
        <v>2.0</v>
      </c>
      <c r="D1923" t="str">
        <f>VLOOKUP(B1923,ERA_MOTIF_TYPES.csv!$A$1:$C$119,2,1)</f>
        <v>Cup and ring</v>
      </c>
      <c r="E1923" t="str">
        <f>VLOOKUP(A1923,Panels!$A$1:$E$2104,5,0)</f>
        <v>Millstone Burn</v>
      </c>
    </row>
    <row r="1924">
      <c r="A1924" s="3">
        <v>527.0</v>
      </c>
      <c r="B1924" s="3">
        <v>59.0</v>
      </c>
      <c r="C1924" s="3">
        <v>2.0</v>
      </c>
      <c r="D1924" t="str">
        <f>VLOOKUP(B1924,ERA_MOTIF_TYPES.csv!$A$1:$C$119,2,1)</f>
        <v>Cup and penannular</v>
      </c>
      <c r="E1924" t="str">
        <f>VLOOKUP(A1924,Panels!$A$1:$E$2104,5,0)</f>
        <v>Millstone Burn</v>
      </c>
    </row>
    <row r="1925">
      <c r="A1925" s="3">
        <v>527.0</v>
      </c>
      <c r="B1925" s="3">
        <v>61.0</v>
      </c>
      <c r="C1925" s="3">
        <v>6.0</v>
      </c>
      <c r="D1925" t="str">
        <f>VLOOKUP(B1925,ERA_MOTIF_TYPES.csv!$A$1:$C$119,2,1)</f>
        <v>Cup and arc (or semi-ovoid)</v>
      </c>
      <c r="E1925" t="str">
        <f>VLOOKUP(A1925,Panels!$A$1:$E$2104,5,0)</f>
        <v>Millstone Burn</v>
      </c>
    </row>
    <row r="1926">
      <c r="A1926" s="3">
        <v>527.0</v>
      </c>
      <c r="B1926" s="3">
        <v>67.0</v>
      </c>
      <c r="C1926" s="3">
        <v>1.0</v>
      </c>
      <c r="D1926" t="str">
        <f>VLOOKUP(B1926,ERA_MOTIF_TYPES.csv!$A$1:$C$119,2,1)</f>
        <v>Cup and groove with arc</v>
      </c>
      <c r="E1926" t="str">
        <f>VLOOKUP(A1926,Panels!$A$1:$E$2104,5,0)</f>
        <v>Millstone Burn</v>
      </c>
    </row>
    <row r="1927">
      <c r="A1927" s="3">
        <v>527.0</v>
      </c>
      <c r="B1927" s="3">
        <v>69.0</v>
      </c>
      <c r="C1927" s="3">
        <v>1.0</v>
      </c>
      <c r="D1927" t="str">
        <f>VLOOKUP(B1927,ERA_MOTIF_TYPES.csv!$A$1:$C$119,2,1)</f>
        <v>Ring</v>
      </c>
      <c r="E1927" t="str">
        <f>VLOOKUP(A1927,Panels!$A$1:$E$2104,5,0)</f>
        <v>Millstone Burn</v>
      </c>
    </row>
    <row r="1928">
      <c r="A1928" s="3">
        <v>527.0</v>
      </c>
      <c r="B1928" s="3">
        <v>87.0</v>
      </c>
      <c r="C1928" s="3">
        <v>6.0</v>
      </c>
      <c r="D1928" t="str">
        <f>VLOOKUP(B1928,ERA_MOTIF_TYPES.csv!$A$1:$C$119,2,1)</f>
        <v>Linear and angular groove</v>
      </c>
      <c r="E1928" t="str">
        <f>VLOOKUP(A1928,Panels!$A$1:$E$2104,5,0)</f>
        <v>Millstone Burn</v>
      </c>
    </row>
    <row r="1929">
      <c r="A1929" s="3">
        <v>527.0</v>
      </c>
      <c r="B1929" s="3">
        <v>94.0</v>
      </c>
      <c r="C1929" s="3">
        <v>1.0</v>
      </c>
      <c r="D1929" t="str">
        <f>VLOOKUP(B1929,ERA_MOTIF_TYPES.csv!$A$1:$C$119,2,1)</f>
        <v>Basin</v>
      </c>
      <c r="E1929" t="str">
        <f>VLOOKUP(A1929,Panels!$A$1:$E$2104,5,0)</f>
        <v>Millstone Burn</v>
      </c>
    </row>
    <row r="1930">
      <c r="A1930" s="3">
        <v>527.0</v>
      </c>
      <c r="B1930" s="3">
        <v>103.0</v>
      </c>
      <c r="C1930" s="3">
        <v>1.0</v>
      </c>
      <c r="D1930" t="str">
        <f>VLOOKUP(B1930,ERA_MOTIF_TYPES.csv!$A$1:$C$119,2,1)</f>
        <v>Cup and groove</v>
      </c>
      <c r="E1930" t="str">
        <f>VLOOKUP(A1930,Panels!$A$1:$E$2104,5,0)</f>
        <v>Millstone Burn</v>
      </c>
    </row>
    <row r="1931">
      <c r="A1931" s="3">
        <v>527.0</v>
      </c>
      <c r="B1931" s="3">
        <v>110.0</v>
      </c>
      <c r="C1931" s="3">
        <v>2.0</v>
      </c>
      <c r="D1931" t="str">
        <f>VLOOKUP(B1931,ERA_MOTIF_TYPES.csv!$A$1:$C$119,2,1)</f>
        <v>Curved groove</v>
      </c>
      <c r="E1931" t="str">
        <f>VLOOKUP(A1931,Panels!$A$1:$E$2104,5,0)</f>
        <v>Millstone Burn</v>
      </c>
    </row>
    <row r="1932">
      <c r="A1932" s="3">
        <v>528.0</v>
      </c>
      <c r="B1932" s="3">
        <v>13.0</v>
      </c>
      <c r="C1932" s="3">
        <v>1.0</v>
      </c>
      <c r="D1932" t="str">
        <f>VLOOKUP(B1932,ERA_MOTIF_TYPES.csv!$A$1:$C$119,2,1)</f>
        <v>Single Ring + cup</v>
      </c>
      <c r="E1932" t="str">
        <f>VLOOKUP(A1932,Panels!$A$1:$E$2104,5,0)</f>
        <v>Millstone Burn</v>
      </c>
    </row>
    <row r="1933">
      <c r="A1933" s="3">
        <v>528.0</v>
      </c>
      <c r="B1933" s="3">
        <v>52.0</v>
      </c>
      <c r="C1933" s="3">
        <v>1.0</v>
      </c>
      <c r="D1933" t="str">
        <f>VLOOKUP(B1933,ERA_MOTIF_TYPES.csv!$A$1:$C$119,2,1)</f>
        <v>Single or multiple cups</v>
      </c>
      <c r="E1933" t="str">
        <f>VLOOKUP(A1933,Panels!$A$1:$E$2104,5,0)</f>
        <v>Millstone Burn</v>
      </c>
    </row>
    <row r="1934">
      <c r="A1934" s="3">
        <v>528.0</v>
      </c>
      <c r="B1934" s="3">
        <v>59.0</v>
      </c>
      <c r="C1934" s="3">
        <v>1.0</v>
      </c>
      <c r="D1934" t="str">
        <f>VLOOKUP(B1934,ERA_MOTIF_TYPES.csv!$A$1:$C$119,2,1)</f>
        <v>Cup and penannular</v>
      </c>
      <c r="E1934" t="str">
        <f>VLOOKUP(A1934,Panels!$A$1:$E$2104,5,0)</f>
        <v>Millstone Burn</v>
      </c>
    </row>
    <row r="1935">
      <c r="A1935" s="3">
        <v>528.0</v>
      </c>
      <c r="B1935" s="3">
        <v>69.0</v>
      </c>
      <c r="C1935" s="3">
        <v>1.0</v>
      </c>
      <c r="D1935" t="str">
        <f>VLOOKUP(B1935,ERA_MOTIF_TYPES.csv!$A$1:$C$119,2,1)</f>
        <v>Ring</v>
      </c>
      <c r="E1935" t="str">
        <f>VLOOKUP(A1935,Panels!$A$1:$E$2104,5,0)</f>
        <v>Millstone Burn</v>
      </c>
    </row>
    <row r="1936">
      <c r="A1936" s="3">
        <v>528.0</v>
      </c>
      <c r="B1936" s="3">
        <v>73.0</v>
      </c>
      <c r="C1936" s="3">
        <v>2.0</v>
      </c>
      <c r="D1936" t="str">
        <f>VLOOKUP(B1936,ERA_MOTIF_TYPES.csv!$A$1:$C$119,2,1)</f>
        <v>Arc</v>
      </c>
      <c r="E1936" t="str">
        <f>VLOOKUP(A1936,Panels!$A$1:$E$2104,5,0)</f>
        <v>Millstone Burn</v>
      </c>
    </row>
    <row r="1937">
      <c r="A1937" s="3">
        <v>529.0</v>
      </c>
      <c r="B1937" s="3">
        <v>1.0</v>
      </c>
      <c r="C1937" s="3">
        <v>11.0</v>
      </c>
      <c r="D1937" t="str">
        <f>VLOOKUP(B1937,ERA_MOTIF_TYPES.csv!$A$1:$C$119,2,1)</f>
        <v>Cups Single</v>
      </c>
      <c r="E1937" t="str">
        <f>VLOOKUP(A1937,Panels!$A$1:$E$2104,5,0)</f>
        <v>Millstone Burn</v>
      </c>
    </row>
    <row r="1938">
      <c r="A1938" s="3">
        <v>529.0</v>
      </c>
      <c r="B1938" s="3">
        <v>15.0</v>
      </c>
      <c r="C1938" s="3">
        <v>2.0</v>
      </c>
      <c r="D1938" t="str">
        <f>VLOOKUP(B1938,ERA_MOTIF_TYPES.csv!$A$1:$C$119,2,1)</f>
        <v>Multi Penanular + cup</v>
      </c>
      <c r="E1938" t="str">
        <f>VLOOKUP(A1938,Panels!$A$1:$E$2104,5,0)</f>
        <v>Millstone Burn</v>
      </c>
    </row>
    <row r="1939">
      <c r="A1939" s="3">
        <v>529.0</v>
      </c>
      <c r="B1939" s="3">
        <v>52.0</v>
      </c>
      <c r="C1939" s="3">
        <v>19.0</v>
      </c>
      <c r="D1939" t="str">
        <f>VLOOKUP(B1939,ERA_MOTIF_TYPES.csv!$A$1:$C$119,2,1)</f>
        <v>Single or multiple cups</v>
      </c>
      <c r="E1939" t="str">
        <f>VLOOKUP(A1939,Panels!$A$1:$E$2104,5,0)</f>
        <v>Millstone Burn</v>
      </c>
    </row>
    <row r="1940">
      <c r="A1940" s="3">
        <v>529.0</v>
      </c>
      <c r="B1940" s="3">
        <v>58.0</v>
      </c>
      <c r="C1940" s="3">
        <v>1.0</v>
      </c>
      <c r="D1940" t="str">
        <f>VLOOKUP(B1940,ERA_MOTIF_TYPES.csv!$A$1:$C$119,2,1)</f>
        <v>Cup and multiple rings</v>
      </c>
      <c r="E1940" t="str">
        <f>VLOOKUP(A1940,Panels!$A$1:$E$2104,5,0)</f>
        <v>Millstone Burn</v>
      </c>
    </row>
    <row r="1941">
      <c r="A1941" s="3">
        <v>529.0</v>
      </c>
      <c r="B1941" s="3">
        <v>71.0</v>
      </c>
      <c r="C1941" s="3">
        <v>1.0</v>
      </c>
      <c r="D1941" t="str">
        <f>VLOOKUP(B1941,ERA_MOTIF_TYPES.csv!$A$1:$C$119,2,1)</f>
        <v>Penannular</v>
      </c>
      <c r="E1941" t="str">
        <f>VLOOKUP(A1941,Panels!$A$1:$E$2104,5,0)</f>
        <v>Millstone Burn</v>
      </c>
    </row>
    <row r="1942">
      <c r="A1942" s="3">
        <v>529.0</v>
      </c>
      <c r="B1942" s="3">
        <v>107.0</v>
      </c>
      <c r="C1942" s="3">
        <v>1.0</v>
      </c>
      <c r="D1942" t="str">
        <f>VLOOKUP(B1942,ERA_MOTIF_TYPES.csv!$A$1:$C$119,2,1)</f>
        <v>Cup and ring with exterior groove</v>
      </c>
      <c r="E1942" t="str">
        <f>VLOOKUP(A1942,Panels!$A$1:$E$2104,5,0)</f>
        <v>Millstone Burn</v>
      </c>
    </row>
    <row r="1943">
      <c r="A1943" s="3">
        <v>530.0</v>
      </c>
      <c r="B1943" s="3">
        <v>1.0</v>
      </c>
      <c r="C1943" s="3">
        <v>1.0</v>
      </c>
      <c r="D1943" t="str">
        <f>VLOOKUP(B1943,ERA_MOTIF_TYPES.csv!$A$1:$C$119,2,1)</f>
        <v>Cups Single</v>
      </c>
      <c r="E1943" t="str">
        <f>VLOOKUP(A1943,Panels!$A$1:$E$2104,5,0)</f>
        <v>Millstone Burn</v>
      </c>
    </row>
    <row r="1944">
      <c r="A1944" s="3">
        <v>531.0</v>
      </c>
      <c r="B1944" s="3">
        <v>1.0</v>
      </c>
      <c r="C1944" s="3">
        <v>7.0</v>
      </c>
      <c r="D1944" t="str">
        <f>VLOOKUP(B1944,ERA_MOTIF_TYPES.csv!$A$1:$C$119,2,1)</f>
        <v>Cups Single</v>
      </c>
      <c r="E1944" t="str">
        <f>VLOOKUP(A1944,Panels!$A$1:$E$2104,5,0)</f>
        <v>Millstone Burn</v>
      </c>
    </row>
    <row r="1945">
      <c r="A1945" s="3">
        <v>531.0</v>
      </c>
      <c r="B1945" s="3">
        <v>52.0</v>
      </c>
      <c r="C1945" s="3">
        <v>11.0</v>
      </c>
      <c r="D1945" t="str">
        <f>VLOOKUP(B1945,ERA_MOTIF_TYPES.csv!$A$1:$C$119,2,1)</f>
        <v>Single or multiple cups</v>
      </c>
      <c r="E1945" t="str">
        <f>VLOOKUP(A1945,Panels!$A$1:$E$2104,5,0)</f>
        <v>Millstone Burn</v>
      </c>
    </row>
    <row r="1946">
      <c r="A1946" s="3">
        <v>531.0</v>
      </c>
      <c r="B1946" s="3">
        <v>105.0</v>
      </c>
      <c r="C1946" s="3">
        <v>1.0</v>
      </c>
      <c r="D1946" t="str">
        <f>VLOOKUP(B1946,ERA_MOTIF_TYPES.csv!$A$1:$C$119,2,1)</f>
        <v>Two cups linked by a groove</v>
      </c>
      <c r="E1946" t="str">
        <f>VLOOKUP(A1946,Panels!$A$1:$E$2104,5,0)</f>
        <v>Millstone Burn</v>
      </c>
    </row>
    <row r="1947">
      <c r="A1947" s="3">
        <v>532.0</v>
      </c>
      <c r="B1947" s="3">
        <v>1.0</v>
      </c>
      <c r="C1947" s="3">
        <v>3.0</v>
      </c>
      <c r="D1947" t="str">
        <f>VLOOKUP(B1947,ERA_MOTIF_TYPES.csv!$A$1:$C$119,2,1)</f>
        <v>Cups Single</v>
      </c>
      <c r="E1947" t="str">
        <f>VLOOKUP(A1947,Panels!$A$1:$E$2104,5,0)</f>
        <v>Millstone Burn</v>
      </c>
    </row>
    <row r="1948">
      <c r="A1948" s="3">
        <v>532.0</v>
      </c>
      <c r="B1948" s="3">
        <v>52.0</v>
      </c>
      <c r="C1948" s="3">
        <v>4.0</v>
      </c>
      <c r="D1948" t="str">
        <f>VLOOKUP(B1948,ERA_MOTIF_TYPES.csv!$A$1:$C$119,2,1)</f>
        <v>Single or multiple cups</v>
      </c>
      <c r="E1948" t="str">
        <f>VLOOKUP(A1948,Panels!$A$1:$E$2104,5,0)</f>
        <v>Millstone Burn</v>
      </c>
    </row>
    <row r="1949">
      <c r="A1949" s="3">
        <v>533.0</v>
      </c>
      <c r="B1949" s="3">
        <v>13.0</v>
      </c>
      <c r="C1949" s="3">
        <v>1.0</v>
      </c>
      <c r="D1949" t="str">
        <f>VLOOKUP(B1949,ERA_MOTIF_TYPES.csv!$A$1:$C$119,2,1)</f>
        <v>Single Ring + cup</v>
      </c>
      <c r="E1949" t="str">
        <f>VLOOKUP(A1949,Panels!$A$1:$E$2104,5,0)</f>
        <v>Millstone Burn</v>
      </c>
    </row>
    <row r="1950">
      <c r="A1950" s="3">
        <v>533.0</v>
      </c>
      <c r="B1950" s="3">
        <v>52.0</v>
      </c>
      <c r="C1950" s="3">
        <v>1.0</v>
      </c>
      <c r="D1950" t="str">
        <f>VLOOKUP(B1950,ERA_MOTIF_TYPES.csv!$A$1:$C$119,2,1)</f>
        <v>Single or multiple cups</v>
      </c>
      <c r="E1950" t="str">
        <f>VLOOKUP(A1950,Panels!$A$1:$E$2104,5,0)</f>
        <v>Millstone Burn</v>
      </c>
    </row>
    <row r="1951">
      <c r="A1951" s="3">
        <v>533.0</v>
      </c>
      <c r="B1951" s="3">
        <v>63.0</v>
      </c>
      <c r="C1951" s="3">
        <v>1.0</v>
      </c>
      <c r="D1951" t="str">
        <f>VLOOKUP(B1951,ERA_MOTIF_TYPES.csv!$A$1:$C$119,2,1)</f>
        <v>Cup with groove cutting through ring</v>
      </c>
      <c r="E1951" t="str">
        <f>VLOOKUP(A1951,Panels!$A$1:$E$2104,5,0)</f>
        <v>Millstone Burn</v>
      </c>
    </row>
    <row r="1952">
      <c r="A1952" s="3">
        <v>534.0</v>
      </c>
      <c r="B1952" s="3">
        <v>1.0</v>
      </c>
      <c r="C1952" s="3">
        <v>2.0</v>
      </c>
      <c r="D1952" t="str">
        <f>VLOOKUP(B1952,ERA_MOTIF_TYPES.csv!$A$1:$C$119,2,1)</f>
        <v>Cups Single</v>
      </c>
      <c r="E1952" t="str">
        <f>VLOOKUP(A1952,Panels!$A$1:$E$2104,5,0)</f>
        <v>Millstone Burn</v>
      </c>
    </row>
    <row r="1953">
      <c r="A1953" s="3">
        <v>534.0</v>
      </c>
      <c r="B1953" s="3">
        <v>13.0</v>
      </c>
      <c r="C1953" s="3">
        <v>2.0</v>
      </c>
      <c r="D1953" t="str">
        <f>VLOOKUP(B1953,ERA_MOTIF_TYPES.csv!$A$1:$C$119,2,1)</f>
        <v>Single Ring + cup</v>
      </c>
      <c r="E1953" t="str">
        <f>VLOOKUP(A1953,Panels!$A$1:$E$2104,5,0)</f>
        <v>Millstone Burn</v>
      </c>
    </row>
    <row r="1954">
      <c r="A1954" s="3">
        <v>534.0</v>
      </c>
      <c r="B1954" s="3">
        <v>33.0</v>
      </c>
      <c r="C1954" s="3">
        <v>3.0</v>
      </c>
      <c r="D1954" t="str">
        <f>VLOOKUP(B1954,ERA_MOTIF_TYPES.csv!$A$1:$C$119,2,1)</f>
        <v>Cup Groove and multi ring</v>
      </c>
      <c r="E1954" t="str">
        <f>VLOOKUP(A1954,Panels!$A$1:$E$2104,5,0)</f>
        <v>Millstone Burn</v>
      </c>
    </row>
    <row r="1955">
      <c r="A1955" s="3">
        <v>534.0</v>
      </c>
      <c r="B1955" s="3">
        <v>52.0</v>
      </c>
      <c r="C1955" s="3">
        <v>2.0</v>
      </c>
      <c r="D1955" t="str">
        <f>VLOOKUP(B1955,ERA_MOTIF_TYPES.csv!$A$1:$C$119,2,1)</f>
        <v>Single or multiple cups</v>
      </c>
      <c r="E1955" t="str">
        <f>VLOOKUP(A1955,Panels!$A$1:$E$2104,5,0)</f>
        <v>Millstone Burn</v>
      </c>
    </row>
    <row r="1956">
      <c r="A1956" s="3">
        <v>534.0</v>
      </c>
      <c r="B1956" s="3">
        <v>59.0</v>
      </c>
      <c r="C1956" s="3">
        <v>1.0</v>
      </c>
      <c r="D1956" t="str">
        <f>VLOOKUP(B1956,ERA_MOTIF_TYPES.csv!$A$1:$C$119,2,1)</f>
        <v>Cup and penannular</v>
      </c>
      <c r="E1956" t="str">
        <f>VLOOKUP(A1956,Panels!$A$1:$E$2104,5,0)</f>
        <v>Millstone Burn</v>
      </c>
    </row>
    <row r="1957">
      <c r="A1957" s="3">
        <v>534.0</v>
      </c>
      <c r="B1957" s="3">
        <v>63.0</v>
      </c>
      <c r="C1957" s="3">
        <v>1.0</v>
      </c>
      <c r="D1957" t="str">
        <f>VLOOKUP(B1957,ERA_MOTIF_TYPES.csv!$A$1:$C$119,2,1)</f>
        <v>Cup with groove cutting through ring</v>
      </c>
      <c r="E1957" t="str">
        <f>VLOOKUP(A1957,Panels!$A$1:$E$2104,5,0)</f>
        <v>Millstone Burn</v>
      </c>
    </row>
    <row r="1958">
      <c r="A1958" s="3">
        <v>534.0</v>
      </c>
      <c r="B1958" s="3">
        <v>64.0</v>
      </c>
      <c r="C1958" s="3">
        <v>3.0</v>
      </c>
      <c r="D1958" t="str">
        <f>VLOOKUP(B1958,ERA_MOTIF_TYPES.csv!$A$1:$C$119,2,1)</f>
        <v>Cup with groove cutting through multiple rings</v>
      </c>
      <c r="E1958" t="str">
        <f>VLOOKUP(A1958,Panels!$A$1:$E$2104,5,0)</f>
        <v>Millstone Burn</v>
      </c>
    </row>
    <row r="1959">
      <c r="A1959" s="3">
        <v>534.0</v>
      </c>
      <c r="B1959" s="3">
        <v>87.0</v>
      </c>
      <c r="C1959" s="3">
        <v>1.0</v>
      </c>
      <c r="D1959" t="str">
        <f>VLOOKUP(B1959,ERA_MOTIF_TYPES.csv!$A$1:$C$119,2,1)</f>
        <v>Linear and angular groove</v>
      </c>
      <c r="E1959" t="str">
        <f>VLOOKUP(A1959,Panels!$A$1:$E$2104,5,0)</f>
        <v>Millstone Burn</v>
      </c>
    </row>
    <row r="1960">
      <c r="A1960" s="3">
        <v>535.0</v>
      </c>
      <c r="B1960" s="3">
        <v>1.0</v>
      </c>
      <c r="C1960" s="3">
        <v>2.0</v>
      </c>
      <c r="D1960" t="str">
        <f>VLOOKUP(B1960,ERA_MOTIF_TYPES.csv!$A$1:$C$119,2,1)</f>
        <v>Cups Single</v>
      </c>
      <c r="E1960" t="str">
        <f>VLOOKUP(A1960,Panels!$A$1:$E$2104,5,0)</f>
        <v>Millstone Burn</v>
      </c>
    </row>
    <row r="1961">
      <c r="A1961" s="3">
        <v>535.0</v>
      </c>
      <c r="B1961" s="3">
        <v>32.0</v>
      </c>
      <c r="C1961" s="3">
        <v>1.0</v>
      </c>
      <c r="D1961" t="str">
        <f>VLOOKUP(B1961,ERA_MOTIF_TYPES.csv!$A$1:$C$119,2,1)</f>
        <v>Cup Groove and single ring</v>
      </c>
      <c r="E1961" t="str">
        <f>VLOOKUP(A1961,Panels!$A$1:$E$2104,5,0)</f>
        <v>Millstone Burn</v>
      </c>
    </row>
    <row r="1962">
      <c r="A1962" s="3">
        <v>535.0</v>
      </c>
      <c r="B1962" s="3">
        <v>63.0</v>
      </c>
      <c r="C1962" s="3">
        <v>1.0</v>
      </c>
      <c r="D1962" t="str">
        <f>VLOOKUP(B1962,ERA_MOTIF_TYPES.csv!$A$1:$C$119,2,1)</f>
        <v>Cup with groove cutting through ring</v>
      </c>
      <c r="E1962" t="str">
        <f>VLOOKUP(A1962,Panels!$A$1:$E$2104,5,0)</f>
        <v>Millstone Burn</v>
      </c>
    </row>
    <row r="1963">
      <c r="A1963" s="3">
        <v>536.0</v>
      </c>
      <c r="B1963" s="3">
        <v>1.0</v>
      </c>
      <c r="C1963" s="3">
        <v>1.0</v>
      </c>
      <c r="D1963" t="str">
        <f>VLOOKUP(B1963,ERA_MOTIF_TYPES.csv!$A$1:$C$119,2,1)</f>
        <v>Cups Single</v>
      </c>
      <c r="E1963" t="str">
        <f>VLOOKUP(A1963,Panels!$A$1:$E$2104,5,0)</f>
        <v>Millstone Burn</v>
      </c>
    </row>
    <row r="1964">
      <c r="A1964" s="3">
        <v>536.0</v>
      </c>
      <c r="B1964" s="3">
        <v>32.0</v>
      </c>
      <c r="C1964" s="3">
        <v>1.0</v>
      </c>
      <c r="D1964" t="str">
        <f>VLOOKUP(B1964,ERA_MOTIF_TYPES.csv!$A$1:$C$119,2,1)</f>
        <v>Cup Groove and single ring</v>
      </c>
      <c r="E1964" t="str">
        <f>VLOOKUP(A1964,Panels!$A$1:$E$2104,5,0)</f>
        <v>Millstone Burn</v>
      </c>
    </row>
    <row r="1965">
      <c r="A1965" s="3">
        <v>536.0</v>
      </c>
      <c r="B1965" s="3">
        <v>52.0</v>
      </c>
      <c r="C1965" s="3">
        <v>2.0</v>
      </c>
      <c r="D1965" t="str">
        <f>VLOOKUP(B1965,ERA_MOTIF_TYPES.csv!$A$1:$C$119,2,1)</f>
        <v>Single or multiple cups</v>
      </c>
      <c r="E1965" t="str">
        <f>VLOOKUP(A1965,Panels!$A$1:$E$2104,5,0)</f>
        <v>Millstone Burn</v>
      </c>
    </row>
    <row r="1966">
      <c r="A1966" s="3">
        <v>536.0</v>
      </c>
      <c r="B1966" s="3">
        <v>57.0</v>
      </c>
      <c r="C1966" s="3">
        <v>1.0</v>
      </c>
      <c r="D1966" t="str">
        <f>VLOOKUP(B1966,ERA_MOTIF_TYPES.csv!$A$1:$C$119,2,1)</f>
        <v>Cup and ring</v>
      </c>
      <c r="E1966" t="str">
        <f>VLOOKUP(A1966,Panels!$A$1:$E$2104,5,0)</f>
        <v>Millstone Burn</v>
      </c>
    </row>
    <row r="1967">
      <c r="A1967" s="3">
        <v>536.0</v>
      </c>
      <c r="B1967" s="3">
        <v>87.0</v>
      </c>
      <c r="C1967" s="3">
        <v>1.0</v>
      </c>
      <c r="D1967" t="str">
        <f>VLOOKUP(B1967,ERA_MOTIF_TYPES.csv!$A$1:$C$119,2,1)</f>
        <v>Linear and angular groove</v>
      </c>
      <c r="E1967" t="str">
        <f>VLOOKUP(A1967,Panels!$A$1:$E$2104,5,0)</f>
        <v>Millstone Burn</v>
      </c>
    </row>
    <row r="1968">
      <c r="A1968" s="3">
        <v>537.0</v>
      </c>
      <c r="B1968" s="3">
        <v>1.0</v>
      </c>
      <c r="C1968" s="3">
        <v>7.0</v>
      </c>
      <c r="D1968" t="str">
        <f>VLOOKUP(B1968,ERA_MOTIF_TYPES.csv!$A$1:$C$119,2,1)</f>
        <v>Cups Single</v>
      </c>
      <c r="E1968" t="str">
        <f>VLOOKUP(A1968,Panels!$A$1:$E$2104,5,0)</f>
        <v>Millstone Burn</v>
      </c>
    </row>
    <row r="1969">
      <c r="A1969" s="3">
        <v>537.0</v>
      </c>
      <c r="B1969" s="3">
        <v>52.0</v>
      </c>
      <c r="C1969" s="3">
        <v>7.0</v>
      </c>
      <c r="D1969" t="str">
        <f>VLOOKUP(B1969,ERA_MOTIF_TYPES.csv!$A$1:$C$119,2,1)</f>
        <v>Single or multiple cups</v>
      </c>
      <c r="E1969" t="str">
        <f>VLOOKUP(A1969,Panels!$A$1:$E$2104,5,0)</f>
        <v>Millstone Burn</v>
      </c>
    </row>
    <row r="1970">
      <c r="A1970" s="3">
        <v>538.0</v>
      </c>
      <c r="B1970" s="3">
        <v>1.0</v>
      </c>
      <c r="C1970" s="3">
        <v>4.0</v>
      </c>
      <c r="D1970" t="str">
        <f>VLOOKUP(B1970,ERA_MOTIF_TYPES.csv!$A$1:$C$119,2,1)</f>
        <v>Cups Single</v>
      </c>
      <c r="E1970" t="str">
        <f>VLOOKUP(A1970,Panels!$A$1:$E$2104,5,0)</f>
        <v>Millstone Burn</v>
      </c>
    </row>
    <row r="1971">
      <c r="A1971" s="3">
        <v>538.0</v>
      </c>
      <c r="B1971" s="3">
        <v>25.0</v>
      </c>
      <c r="C1971" s="3">
        <v>1.0</v>
      </c>
      <c r="D1971" t="str">
        <f>VLOOKUP(B1971,ERA_MOTIF_TYPES.csv!$A$1:$C$119,2,1)</f>
        <v>Linear</v>
      </c>
      <c r="E1971" t="str">
        <f>VLOOKUP(A1971,Panels!$A$1:$E$2104,5,0)</f>
        <v>Millstone Burn</v>
      </c>
    </row>
    <row r="1972">
      <c r="A1972" s="3">
        <v>538.0</v>
      </c>
      <c r="B1972" s="3">
        <v>52.0</v>
      </c>
      <c r="C1972" s="3">
        <v>1.0</v>
      </c>
      <c r="D1972" t="str">
        <f>VLOOKUP(B1972,ERA_MOTIF_TYPES.csv!$A$1:$C$119,2,1)</f>
        <v>Single or multiple cups</v>
      </c>
      <c r="E1972" t="str">
        <f>VLOOKUP(A1972,Panels!$A$1:$E$2104,5,0)</f>
        <v>Millstone Burn</v>
      </c>
    </row>
    <row r="1973">
      <c r="A1973" s="3">
        <v>538.0</v>
      </c>
      <c r="B1973" s="3">
        <v>105.0</v>
      </c>
      <c r="C1973" s="3">
        <v>2.0</v>
      </c>
      <c r="D1973" t="str">
        <f>VLOOKUP(B1973,ERA_MOTIF_TYPES.csv!$A$1:$C$119,2,1)</f>
        <v>Two cups linked by a groove</v>
      </c>
      <c r="E1973" t="str">
        <f>VLOOKUP(A1973,Panels!$A$1:$E$2104,5,0)</f>
        <v>Millstone Burn</v>
      </c>
    </row>
    <row r="1974">
      <c r="A1974" s="3">
        <v>539.0</v>
      </c>
      <c r="B1974" s="3">
        <v>1.0</v>
      </c>
      <c r="C1974" s="3">
        <v>4.0</v>
      </c>
      <c r="D1974" t="str">
        <f>VLOOKUP(B1974,ERA_MOTIF_TYPES.csv!$A$1:$C$119,2,1)</f>
        <v>Cups Single</v>
      </c>
      <c r="E1974" t="str">
        <f>VLOOKUP(A1974,Panels!$A$1:$E$2104,5,0)</f>
        <v>Millstone Burn</v>
      </c>
    </row>
    <row r="1975">
      <c r="A1975" s="3">
        <v>539.0</v>
      </c>
      <c r="B1975" s="3">
        <v>25.0</v>
      </c>
      <c r="C1975" s="3">
        <v>1.0</v>
      </c>
      <c r="D1975" t="str">
        <f>VLOOKUP(B1975,ERA_MOTIF_TYPES.csv!$A$1:$C$119,2,1)</f>
        <v>Linear</v>
      </c>
      <c r="E1975" t="str">
        <f>VLOOKUP(A1975,Panels!$A$1:$E$2104,5,0)</f>
        <v>Millstone Burn</v>
      </c>
    </row>
    <row r="1976">
      <c r="A1976" s="3">
        <v>539.0</v>
      </c>
      <c r="B1976" s="3">
        <v>52.0</v>
      </c>
      <c r="C1976" s="3">
        <v>3.0</v>
      </c>
      <c r="D1976" t="str">
        <f>VLOOKUP(B1976,ERA_MOTIF_TYPES.csv!$A$1:$C$119,2,1)</f>
        <v>Single or multiple cups</v>
      </c>
      <c r="E1976" t="str">
        <f>VLOOKUP(A1976,Panels!$A$1:$E$2104,5,0)</f>
        <v>Millstone Burn</v>
      </c>
    </row>
    <row r="1977">
      <c r="A1977" s="3">
        <v>540.0</v>
      </c>
      <c r="B1977" s="3">
        <v>1.0</v>
      </c>
      <c r="C1977" s="3">
        <v>13.0</v>
      </c>
      <c r="D1977" t="str">
        <f>VLOOKUP(B1977,ERA_MOTIF_TYPES.csv!$A$1:$C$119,2,1)</f>
        <v>Cups Single</v>
      </c>
      <c r="E1977" t="str">
        <f>VLOOKUP(A1977,Panels!$A$1:$E$2104,5,0)</f>
        <v>Millstone Burn</v>
      </c>
    </row>
    <row r="1978">
      <c r="A1978" s="3">
        <v>540.0</v>
      </c>
      <c r="B1978" s="3">
        <v>25.0</v>
      </c>
      <c r="C1978" s="3">
        <v>1.0</v>
      </c>
      <c r="D1978" t="str">
        <f>VLOOKUP(B1978,ERA_MOTIF_TYPES.csv!$A$1:$C$119,2,1)</f>
        <v>Linear</v>
      </c>
      <c r="E1978" t="str">
        <f>VLOOKUP(A1978,Panels!$A$1:$E$2104,5,0)</f>
        <v>Millstone Burn</v>
      </c>
    </row>
    <row r="1979">
      <c r="A1979" s="3">
        <v>540.0</v>
      </c>
      <c r="B1979" s="3">
        <v>52.0</v>
      </c>
      <c r="C1979" s="3">
        <v>7.0</v>
      </c>
      <c r="D1979" t="str">
        <f>VLOOKUP(B1979,ERA_MOTIF_TYPES.csv!$A$1:$C$119,2,1)</f>
        <v>Single or multiple cups</v>
      </c>
      <c r="E1979" t="str">
        <f>VLOOKUP(A1979,Panels!$A$1:$E$2104,5,0)</f>
        <v>Millstone Burn</v>
      </c>
    </row>
    <row r="1980">
      <c r="A1980" s="3">
        <v>540.0</v>
      </c>
      <c r="B1980" s="3">
        <v>55.0</v>
      </c>
      <c r="C1980" s="3">
        <v>1.0</v>
      </c>
      <c r="D1980" t="str">
        <f>VLOOKUP(B1980,ERA_MOTIF_TYPES.csv!$A$1:$C$119,2,1)</f>
        <v>Cups in a straight or curved line</v>
      </c>
      <c r="E1980" t="str">
        <f>VLOOKUP(A1980,Panels!$A$1:$E$2104,5,0)</f>
        <v>Millstone Burn</v>
      </c>
    </row>
    <row r="1981">
      <c r="A1981" s="3">
        <v>541.0</v>
      </c>
      <c r="B1981" s="3">
        <v>1.0</v>
      </c>
      <c r="C1981" s="3">
        <v>3.0</v>
      </c>
      <c r="D1981" t="str">
        <f>VLOOKUP(B1981,ERA_MOTIF_TYPES.csv!$A$1:$C$119,2,1)</f>
        <v>Cups Single</v>
      </c>
      <c r="E1981" t="str">
        <f>VLOOKUP(A1981,Panels!$A$1:$E$2104,5,0)</f>
        <v>Millstone Burn</v>
      </c>
    </row>
    <row r="1982">
      <c r="A1982" s="3">
        <v>541.0</v>
      </c>
      <c r="B1982" s="3">
        <v>52.0</v>
      </c>
      <c r="C1982" s="3">
        <v>1.0</v>
      </c>
      <c r="D1982" t="str">
        <f>VLOOKUP(B1982,ERA_MOTIF_TYPES.csv!$A$1:$C$119,2,1)</f>
        <v>Single or multiple cups</v>
      </c>
      <c r="E1982" t="str">
        <f>VLOOKUP(A1982,Panels!$A$1:$E$2104,5,0)</f>
        <v>Millstone Burn</v>
      </c>
    </row>
    <row r="1983">
      <c r="A1983" s="3">
        <v>541.0</v>
      </c>
      <c r="B1983" s="3">
        <v>57.0</v>
      </c>
      <c r="C1983" s="3">
        <v>1.0</v>
      </c>
      <c r="D1983" t="str">
        <f>VLOOKUP(B1983,ERA_MOTIF_TYPES.csv!$A$1:$C$119,2,1)</f>
        <v>Cup and ring</v>
      </c>
      <c r="E1983" t="str">
        <f>VLOOKUP(A1983,Panels!$A$1:$E$2104,5,0)</f>
        <v>Millstone Burn</v>
      </c>
    </row>
    <row r="1984">
      <c r="A1984" s="3">
        <v>542.0</v>
      </c>
      <c r="B1984" s="3">
        <v>1.0</v>
      </c>
      <c r="C1984" s="3">
        <v>9.0</v>
      </c>
      <c r="D1984" t="str">
        <f>VLOOKUP(B1984,ERA_MOTIF_TYPES.csv!$A$1:$C$119,2,1)</f>
        <v>Cups Single</v>
      </c>
      <c r="E1984" t="str">
        <f>VLOOKUP(A1984,Panels!$A$1:$E$2104,5,0)</f>
        <v>Millstone Burn</v>
      </c>
    </row>
    <row r="1985">
      <c r="A1985" s="3">
        <v>542.0</v>
      </c>
      <c r="B1985" s="3">
        <v>52.0</v>
      </c>
      <c r="C1985" s="3">
        <v>11.0</v>
      </c>
      <c r="D1985" t="str">
        <f>VLOOKUP(B1985,ERA_MOTIF_TYPES.csv!$A$1:$C$119,2,1)</f>
        <v>Single or multiple cups</v>
      </c>
      <c r="E1985" t="str">
        <f>VLOOKUP(A1985,Panels!$A$1:$E$2104,5,0)</f>
        <v>Millstone Burn</v>
      </c>
    </row>
    <row r="1986">
      <c r="A1986" s="3">
        <v>543.0</v>
      </c>
      <c r="B1986" s="3">
        <v>1.0</v>
      </c>
      <c r="C1986" s="3">
        <v>4.0</v>
      </c>
      <c r="D1986" t="str">
        <f>VLOOKUP(B1986,ERA_MOTIF_TYPES.csv!$A$1:$C$119,2,1)</f>
        <v>Cups Single</v>
      </c>
      <c r="E1986" t="str">
        <f>VLOOKUP(A1986,Panels!$A$1:$E$2104,5,0)</f>
        <v>Millstone Burn</v>
      </c>
    </row>
    <row r="1987">
      <c r="A1987" s="3">
        <v>543.0</v>
      </c>
      <c r="B1987" s="3">
        <v>52.0</v>
      </c>
      <c r="C1987" s="3">
        <v>4.0</v>
      </c>
      <c r="D1987" t="str">
        <f>VLOOKUP(B1987,ERA_MOTIF_TYPES.csv!$A$1:$C$119,2,1)</f>
        <v>Single or multiple cups</v>
      </c>
      <c r="E1987" t="str">
        <f>VLOOKUP(A1987,Panels!$A$1:$E$2104,5,0)</f>
        <v>Millstone Burn</v>
      </c>
    </row>
    <row r="1988">
      <c r="A1988" s="3">
        <v>543.0</v>
      </c>
      <c r="B1988" s="3">
        <v>57.0</v>
      </c>
      <c r="C1988" s="3">
        <v>1.0</v>
      </c>
      <c r="D1988" t="str">
        <f>VLOOKUP(B1988,ERA_MOTIF_TYPES.csv!$A$1:$C$119,2,1)</f>
        <v>Cup and ring</v>
      </c>
      <c r="E1988" t="str">
        <f>VLOOKUP(A1988,Panels!$A$1:$E$2104,5,0)</f>
        <v>Millstone Burn</v>
      </c>
    </row>
    <row r="1989">
      <c r="A1989" s="3">
        <v>544.0</v>
      </c>
      <c r="B1989" s="3">
        <v>1.0</v>
      </c>
      <c r="C1989" s="3">
        <v>30.0</v>
      </c>
      <c r="D1989" t="str">
        <f>VLOOKUP(B1989,ERA_MOTIF_TYPES.csv!$A$1:$C$119,2,1)</f>
        <v>Cups Single</v>
      </c>
      <c r="E1989" t="str">
        <f>VLOOKUP(A1989,Panels!$A$1:$E$2104,5,0)</f>
        <v>Millstone Burn</v>
      </c>
    </row>
    <row r="1990">
      <c r="A1990" s="3">
        <v>544.0</v>
      </c>
      <c r="B1990" s="3">
        <v>52.0</v>
      </c>
      <c r="C1990" s="3">
        <v>14.0</v>
      </c>
      <c r="D1990" t="str">
        <f>VLOOKUP(B1990,ERA_MOTIF_TYPES.csv!$A$1:$C$119,2,1)</f>
        <v>Single or multiple cups</v>
      </c>
      <c r="E1990" t="str">
        <f>VLOOKUP(A1990,Panels!$A$1:$E$2104,5,0)</f>
        <v>Millstone Burn</v>
      </c>
    </row>
    <row r="1991">
      <c r="A1991" s="3">
        <v>544.0</v>
      </c>
      <c r="B1991" s="3">
        <v>111.0</v>
      </c>
      <c r="C1991" s="3">
        <v>1.0</v>
      </c>
      <c r="D1991" t="str">
        <f>VLOOKUP(B1991,ERA_MOTIF_TYPES.csv!$A$1:$C$119,2,1)</f>
        <v>Cluster of midget cups</v>
      </c>
      <c r="E1991" t="str">
        <f>VLOOKUP(A1991,Panels!$A$1:$E$2104,5,0)</f>
        <v>Millstone Burn</v>
      </c>
    </row>
    <row r="1992">
      <c r="A1992" s="3">
        <v>545.0</v>
      </c>
      <c r="B1992" s="3">
        <v>1.0</v>
      </c>
      <c r="C1992" s="3">
        <v>1.0</v>
      </c>
      <c r="D1992" t="str">
        <f>VLOOKUP(B1992,ERA_MOTIF_TYPES.csv!$A$1:$C$119,2,1)</f>
        <v>Cups Single</v>
      </c>
      <c r="E1992" t="str">
        <f>VLOOKUP(A1992,Panels!$A$1:$E$2104,5,0)</f>
        <v>Millstone Burn</v>
      </c>
    </row>
    <row r="1993">
      <c r="A1993" s="3">
        <v>545.0</v>
      </c>
      <c r="B1993" s="3">
        <v>35.0</v>
      </c>
      <c r="C1993" s="3">
        <v>1.0</v>
      </c>
      <c r="D1993" t="str">
        <f>VLOOKUP(B1993,ERA_MOTIF_TYPES.csv!$A$1:$C$119,2,1)</f>
        <v>Cup Groove and multi penannular</v>
      </c>
      <c r="E1993" t="str">
        <f>VLOOKUP(A1993,Panels!$A$1:$E$2104,5,0)</f>
        <v>Millstone Burn</v>
      </c>
    </row>
    <row r="1994">
      <c r="A1994" s="3">
        <v>545.0</v>
      </c>
      <c r="B1994" s="3">
        <v>52.0</v>
      </c>
      <c r="C1994" s="3">
        <v>1.0</v>
      </c>
      <c r="D1994" t="str">
        <f>VLOOKUP(B1994,ERA_MOTIF_TYPES.csv!$A$1:$C$119,2,1)</f>
        <v>Single or multiple cups</v>
      </c>
      <c r="E1994" t="str">
        <f>VLOOKUP(A1994,Panels!$A$1:$E$2104,5,0)</f>
        <v>Millstone Burn</v>
      </c>
    </row>
    <row r="1995">
      <c r="A1995" s="3">
        <v>545.0</v>
      </c>
      <c r="B1995" s="3">
        <v>71.0</v>
      </c>
      <c r="C1995" s="3">
        <v>1.0</v>
      </c>
      <c r="D1995" t="str">
        <f>VLOOKUP(B1995,ERA_MOTIF_TYPES.csv!$A$1:$C$119,2,1)</f>
        <v>Penannular</v>
      </c>
      <c r="E1995" t="str">
        <f>VLOOKUP(A1995,Panels!$A$1:$E$2104,5,0)</f>
        <v>Millstone Burn</v>
      </c>
    </row>
    <row r="1996">
      <c r="A1996" s="3">
        <v>545.0</v>
      </c>
      <c r="B1996" s="3">
        <v>100.0</v>
      </c>
      <c r="C1996" s="3">
        <v>1.0</v>
      </c>
      <c r="D1996" t="str">
        <f>VLOOKUP(B1996,ERA_MOTIF_TYPES.csv!$A$1:$C$119,2,1)</f>
        <v>Pick marks</v>
      </c>
      <c r="E1996" t="str">
        <f>VLOOKUP(A1996,Panels!$A$1:$E$2104,5,0)</f>
        <v>Millstone Burn</v>
      </c>
    </row>
    <row r="1997">
      <c r="A1997" s="3">
        <v>545.0</v>
      </c>
      <c r="B1997" s="3">
        <v>107.0</v>
      </c>
      <c r="C1997" s="3">
        <v>1.0</v>
      </c>
      <c r="D1997" t="str">
        <f>VLOOKUP(B1997,ERA_MOTIF_TYPES.csv!$A$1:$C$119,2,1)</f>
        <v>Cup and ring with exterior groove</v>
      </c>
      <c r="E1997" t="str">
        <f>VLOOKUP(A1997,Panels!$A$1:$E$2104,5,0)</f>
        <v>Millstone Burn</v>
      </c>
    </row>
    <row r="1998">
      <c r="A1998" s="3">
        <v>546.0</v>
      </c>
      <c r="B1998" s="3">
        <v>1.0</v>
      </c>
      <c r="C1998" s="3">
        <v>7.0</v>
      </c>
      <c r="D1998" t="str">
        <f>VLOOKUP(B1998,ERA_MOTIF_TYPES.csv!$A$1:$C$119,2,1)</f>
        <v>Cups Single</v>
      </c>
      <c r="E1998" t="str">
        <f>VLOOKUP(A1998,Panels!$A$1:$E$2104,5,0)</f>
        <v>Millstone Burn</v>
      </c>
    </row>
    <row r="1999">
      <c r="A1999" s="3">
        <v>546.0</v>
      </c>
      <c r="B1999" s="3">
        <v>52.0</v>
      </c>
      <c r="C1999" s="3">
        <v>4.0</v>
      </c>
      <c r="D1999" t="str">
        <f>VLOOKUP(B1999,ERA_MOTIF_TYPES.csv!$A$1:$C$119,2,1)</f>
        <v>Single or multiple cups</v>
      </c>
      <c r="E1999" t="str">
        <f>VLOOKUP(A1999,Panels!$A$1:$E$2104,5,0)</f>
        <v>Millstone Burn</v>
      </c>
    </row>
    <row r="2000">
      <c r="A2000" s="3">
        <v>546.0</v>
      </c>
      <c r="B2000" s="3">
        <v>53.0</v>
      </c>
      <c r="C2000" s="3">
        <v>1.0</v>
      </c>
      <c r="D2000" t="str">
        <f>VLOOKUP(B2000,ERA_MOTIF_TYPES.csv!$A$1:$C$119,2,1)</f>
        <v>Domino patterns and parallel lines</v>
      </c>
      <c r="E2000" t="str">
        <f>VLOOKUP(A2000,Panels!$A$1:$E$2104,5,0)</f>
        <v>Millstone Burn</v>
      </c>
    </row>
    <row r="2001">
      <c r="A2001" s="3">
        <v>546.0</v>
      </c>
      <c r="B2001" s="3">
        <v>93.0</v>
      </c>
      <c r="C2001" s="3">
        <v>1.0</v>
      </c>
      <c r="D2001" t="str">
        <f>VLOOKUP(B2001,ERA_MOTIF_TYPES.csv!$A$1:$C$119,2,1)</f>
        <v>Midget cup</v>
      </c>
      <c r="E2001" t="str">
        <f>VLOOKUP(A2001,Panels!$A$1:$E$2104,5,0)</f>
        <v>Millstone Burn</v>
      </c>
    </row>
    <row r="2002">
      <c r="A2002" s="3">
        <v>547.0</v>
      </c>
      <c r="B2002" s="3">
        <v>1.0</v>
      </c>
      <c r="C2002" s="3">
        <v>2.0</v>
      </c>
      <c r="D2002" t="str">
        <f>VLOOKUP(B2002,ERA_MOTIF_TYPES.csv!$A$1:$C$119,2,1)</f>
        <v>Cups Single</v>
      </c>
      <c r="E2002" t="str">
        <f>VLOOKUP(A2002,Panels!$A$1:$E$2104,5,0)</f>
        <v>Millstone Burn</v>
      </c>
    </row>
    <row r="2003">
      <c r="A2003" s="3">
        <v>547.0</v>
      </c>
      <c r="B2003" s="3">
        <v>52.0</v>
      </c>
      <c r="C2003" s="3">
        <v>1.0</v>
      </c>
      <c r="D2003" t="str">
        <f>VLOOKUP(B2003,ERA_MOTIF_TYPES.csv!$A$1:$C$119,2,1)</f>
        <v>Single or multiple cups</v>
      </c>
      <c r="E2003" t="str">
        <f>VLOOKUP(A2003,Panels!$A$1:$E$2104,5,0)</f>
        <v>Millstone Burn</v>
      </c>
    </row>
    <row r="2004">
      <c r="A2004" s="3">
        <v>547.0</v>
      </c>
      <c r="B2004" s="3">
        <v>101.0</v>
      </c>
      <c r="C2004" s="3">
        <v>1.0</v>
      </c>
      <c r="D2004" t="str">
        <f>VLOOKUP(B2004,ERA_MOTIF_TYPES.csv!$A$1:$C$119,2,1)</f>
        <v>Occulus</v>
      </c>
      <c r="E2004" t="str">
        <f>VLOOKUP(A2004,Panels!$A$1:$E$2104,5,0)</f>
        <v>Millstone Burn</v>
      </c>
    </row>
    <row r="2005">
      <c r="A2005" s="3">
        <v>548.0</v>
      </c>
      <c r="B2005" s="3">
        <v>1.0</v>
      </c>
      <c r="C2005" s="3">
        <v>1.0</v>
      </c>
      <c r="D2005" t="str">
        <f>VLOOKUP(B2005,ERA_MOTIF_TYPES.csv!$A$1:$C$119,2,1)</f>
        <v>Cups Single</v>
      </c>
      <c r="E2005" t="str">
        <f>VLOOKUP(A2005,Panels!$A$1:$E$2104,5,0)</f>
        <v>Millstone Burn</v>
      </c>
    </row>
    <row r="2006">
      <c r="A2006" s="3">
        <v>548.0</v>
      </c>
      <c r="B2006" s="3">
        <v>52.0</v>
      </c>
      <c r="C2006" s="3">
        <v>2.0</v>
      </c>
      <c r="D2006" t="str">
        <f>VLOOKUP(B2006,ERA_MOTIF_TYPES.csv!$A$1:$C$119,2,1)</f>
        <v>Single or multiple cups</v>
      </c>
      <c r="E2006" t="str">
        <f>VLOOKUP(A2006,Panels!$A$1:$E$2104,5,0)</f>
        <v>Millstone Burn</v>
      </c>
    </row>
    <row r="2007">
      <c r="A2007" s="3">
        <v>549.0</v>
      </c>
      <c r="B2007" s="3">
        <v>1.0</v>
      </c>
      <c r="C2007" s="3">
        <v>15.0</v>
      </c>
      <c r="D2007" t="str">
        <f>VLOOKUP(B2007,ERA_MOTIF_TYPES.csv!$A$1:$C$119,2,1)</f>
        <v>Cups Single</v>
      </c>
      <c r="E2007" t="str">
        <f>VLOOKUP(A2007,Panels!$A$1:$E$2104,5,0)</f>
        <v>Millstone Burn</v>
      </c>
    </row>
    <row r="2008">
      <c r="A2008" s="3">
        <v>549.0</v>
      </c>
      <c r="B2008" s="3">
        <v>52.0</v>
      </c>
      <c r="C2008" s="3">
        <v>22.0</v>
      </c>
      <c r="D2008" t="str">
        <f>VLOOKUP(B2008,ERA_MOTIF_TYPES.csv!$A$1:$C$119,2,1)</f>
        <v>Single or multiple cups</v>
      </c>
      <c r="E2008" t="str">
        <f>VLOOKUP(A2008,Panels!$A$1:$E$2104,5,0)</f>
        <v>Millstone Burn</v>
      </c>
    </row>
    <row r="2009">
      <c r="A2009" s="3">
        <v>550.0</v>
      </c>
      <c r="B2009" s="3">
        <v>1.0</v>
      </c>
      <c r="C2009" s="3">
        <v>2.0</v>
      </c>
      <c r="D2009" t="str">
        <f>VLOOKUP(B2009,ERA_MOTIF_TYPES.csv!$A$1:$C$119,2,1)</f>
        <v>Cups Single</v>
      </c>
      <c r="E2009" t="str">
        <f>VLOOKUP(A2009,Panels!$A$1:$E$2104,5,0)</f>
        <v>Millstone Burn</v>
      </c>
    </row>
    <row r="2010">
      <c r="A2010" s="3">
        <v>550.0</v>
      </c>
      <c r="B2010" s="3">
        <v>52.0</v>
      </c>
      <c r="C2010" s="3">
        <v>6.0</v>
      </c>
      <c r="D2010" t="str">
        <f>VLOOKUP(B2010,ERA_MOTIF_TYPES.csv!$A$1:$C$119,2,1)</f>
        <v>Single or multiple cups</v>
      </c>
      <c r="E2010" t="str">
        <f>VLOOKUP(A2010,Panels!$A$1:$E$2104,5,0)</f>
        <v>Millstone Burn</v>
      </c>
    </row>
    <row r="2011">
      <c r="A2011" s="3">
        <v>551.0</v>
      </c>
      <c r="B2011" s="3">
        <v>1.0</v>
      </c>
      <c r="C2011" s="3">
        <v>6.0</v>
      </c>
      <c r="D2011" t="str">
        <f>VLOOKUP(B2011,ERA_MOTIF_TYPES.csv!$A$1:$C$119,2,1)</f>
        <v>Cups Single</v>
      </c>
      <c r="E2011" t="str">
        <f>VLOOKUP(A2011,Panels!$A$1:$E$2104,5,0)</f>
        <v>Millstone Burn</v>
      </c>
    </row>
    <row r="2012">
      <c r="A2012" s="3">
        <v>551.0</v>
      </c>
      <c r="B2012" s="3">
        <v>52.0</v>
      </c>
      <c r="C2012" s="3">
        <v>5.0</v>
      </c>
      <c r="D2012" t="str">
        <f>VLOOKUP(B2012,ERA_MOTIF_TYPES.csv!$A$1:$C$119,2,1)</f>
        <v>Single or multiple cups</v>
      </c>
      <c r="E2012" t="str">
        <f>VLOOKUP(A2012,Panels!$A$1:$E$2104,5,0)</f>
        <v>Millstone Burn</v>
      </c>
    </row>
    <row r="2013">
      <c r="A2013" s="3">
        <v>551.0</v>
      </c>
      <c r="B2013" s="3">
        <v>55.0</v>
      </c>
      <c r="C2013" s="3">
        <v>1.0</v>
      </c>
      <c r="D2013" t="str">
        <f>VLOOKUP(B2013,ERA_MOTIF_TYPES.csv!$A$1:$C$119,2,1)</f>
        <v>Cups in a straight or curved line</v>
      </c>
      <c r="E2013" t="str">
        <f>VLOOKUP(A2013,Panels!$A$1:$E$2104,5,0)</f>
        <v>Millstone Burn</v>
      </c>
    </row>
    <row r="2014">
      <c r="A2014" s="3">
        <v>551.0</v>
      </c>
      <c r="B2014" s="3">
        <v>105.0</v>
      </c>
      <c r="C2014" s="3">
        <v>1.0</v>
      </c>
      <c r="D2014" t="str">
        <f>VLOOKUP(B2014,ERA_MOTIF_TYPES.csv!$A$1:$C$119,2,1)</f>
        <v>Two cups linked by a groove</v>
      </c>
      <c r="E2014" t="str">
        <f>VLOOKUP(A2014,Panels!$A$1:$E$2104,5,0)</f>
        <v>Millstone Burn</v>
      </c>
    </row>
    <row r="2015">
      <c r="A2015" s="3">
        <v>552.0</v>
      </c>
      <c r="B2015" s="3">
        <v>1.0</v>
      </c>
      <c r="C2015" s="3">
        <v>8.0</v>
      </c>
      <c r="D2015" t="str">
        <f>VLOOKUP(B2015,ERA_MOTIF_TYPES.csv!$A$1:$C$119,2,1)</f>
        <v>Cups Single</v>
      </c>
      <c r="E2015" t="str">
        <f>VLOOKUP(A2015,Panels!$A$1:$E$2104,5,0)</f>
        <v>Millstone Burn</v>
      </c>
    </row>
    <row r="2016">
      <c r="A2016" s="3">
        <v>552.0</v>
      </c>
      <c r="B2016" s="3">
        <v>52.0</v>
      </c>
      <c r="C2016" s="3">
        <v>8.0</v>
      </c>
      <c r="D2016" t="str">
        <f>VLOOKUP(B2016,ERA_MOTIF_TYPES.csv!$A$1:$C$119,2,1)</f>
        <v>Single or multiple cups</v>
      </c>
      <c r="E2016" t="str">
        <f>VLOOKUP(A2016,Panels!$A$1:$E$2104,5,0)</f>
        <v>Millstone Burn</v>
      </c>
    </row>
    <row r="2017">
      <c r="A2017" s="3">
        <v>552.0</v>
      </c>
      <c r="B2017" s="3">
        <v>105.0</v>
      </c>
      <c r="C2017" s="3">
        <v>1.0</v>
      </c>
      <c r="D2017" t="str">
        <f>VLOOKUP(B2017,ERA_MOTIF_TYPES.csv!$A$1:$C$119,2,1)</f>
        <v>Two cups linked by a groove</v>
      </c>
      <c r="E2017" t="str">
        <f>VLOOKUP(A2017,Panels!$A$1:$E$2104,5,0)</f>
        <v>Millstone Burn</v>
      </c>
    </row>
    <row r="2018">
      <c r="A2018" s="3">
        <v>553.0</v>
      </c>
      <c r="B2018" s="3">
        <v>1.0</v>
      </c>
      <c r="C2018" s="3">
        <v>1.0</v>
      </c>
      <c r="D2018" t="str">
        <f>VLOOKUP(B2018,ERA_MOTIF_TYPES.csv!$A$1:$C$119,2,1)</f>
        <v>Cups Single</v>
      </c>
      <c r="E2018" t="str">
        <f>VLOOKUP(A2018,Panels!$A$1:$E$2104,5,0)</f>
        <v>Millstone Burn</v>
      </c>
    </row>
    <row r="2019">
      <c r="A2019" s="3">
        <v>554.0</v>
      </c>
      <c r="B2019" s="3">
        <v>52.0</v>
      </c>
      <c r="C2019" s="3">
        <v>1.0</v>
      </c>
      <c r="D2019" t="str">
        <f>VLOOKUP(B2019,ERA_MOTIF_TYPES.csv!$A$1:$C$119,2,1)</f>
        <v>Single or multiple cups</v>
      </c>
      <c r="E2019" t="str">
        <f>VLOOKUP(A2019,Panels!$A$1:$E$2104,5,0)</f>
        <v>Millstone Burn</v>
      </c>
    </row>
    <row r="2020">
      <c r="A2020" s="3">
        <v>555.0</v>
      </c>
      <c r="B2020" s="3">
        <v>57.0</v>
      </c>
      <c r="C2020" s="3">
        <v>1.0</v>
      </c>
      <c r="D2020" t="str">
        <f>VLOOKUP(B2020,ERA_MOTIF_TYPES.csv!$A$1:$C$119,2,1)</f>
        <v>Cup and ring</v>
      </c>
      <c r="E2020" t="str">
        <f>VLOOKUP(A2020,Panels!$A$1:$E$2104,5,0)</f>
        <v>Millstone Burn</v>
      </c>
    </row>
    <row r="2021">
      <c r="A2021" s="3">
        <v>555.0</v>
      </c>
      <c r="B2021" s="3">
        <v>93.0</v>
      </c>
      <c r="C2021" s="3">
        <v>1.0</v>
      </c>
      <c r="D2021" t="str">
        <f>VLOOKUP(B2021,ERA_MOTIF_TYPES.csv!$A$1:$C$119,2,1)</f>
        <v>Midget cup</v>
      </c>
      <c r="E2021" t="str">
        <f>VLOOKUP(A2021,Panels!$A$1:$E$2104,5,0)</f>
        <v>Millstone Burn</v>
      </c>
    </row>
    <row r="2022">
      <c r="A2022" s="3">
        <v>556.0</v>
      </c>
      <c r="B2022" s="3">
        <v>1.0</v>
      </c>
      <c r="C2022" s="3">
        <v>2.0</v>
      </c>
      <c r="D2022" t="str">
        <f>VLOOKUP(B2022,ERA_MOTIF_TYPES.csv!$A$1:$C$119,2,1)</f>
        <v>Cups Single</v>
      </c>
      <c r="E2022" t="str">
        <f>VLOOKUP(A2022,Panels!$A$1:$E$2104,5,0)</f>
        <v>Millstone Burn</v>
      </c>
    </row>
    <row r="2023">
      <c r="A2023" s="3">
        <v>556.0</v>
      </c>
      <c r="B2023" s="3">
        <v>50.0</v>
      </c>
      <c r="C2023" s="3">
        <v>1.0</v>
      </c>
      <c r="D2023" t="str">
        <f>VLOOKUP(B2023,ERA_MOTIF_TYPES.csv!$A$1:$C$119,2,1)</f>
        <v>Channels</v>
      </c>
      <c r="E2023" t="str">
        <f>VLOOKUP(A2023,Panels!$A$1:$E$2104,5,0)</f>
        <v>Millstone Burn</v>
      </c>
    </row>
    <row r="2024">
      <c r="A2024" s="3">
        <v>556.0</v>
      </c>
      <c r="B2024" s="3">
        <v>51.0</v>
      </c>
      <c r="C2024" s="3">
        <v>2.0</v>
      </c>
      <c r="D2024" t="str">
        <f>VLOOKUP(B2024,ERA_MOTIF_TYPES.csv!$A$1:$C$119,2,1)</f>
        <v>Bowls</v>
      </c>
      <c r="E2024" t="str">
        <f>VLOOKUP(A2024,Panels!$A$1:$E$2104,5,0)</f>
        <v>Millstone Burn</v>
      </c>
    </row>
    <row r="2025">
      <c r="A2025" s="3">
        <v>556.0</v>
      </c>
      <c r="B2025" s="3">
        <v>57.0</v>
      </c>
      <c r="C2025" s="3">
        <v>1.0</v>
      </c>
      <c r="D2025" t="str">
        <f>VLOOKUP(B2025,ERA_MOTIF_TYPES.csv!$A$1:$C$119,2,1)</f>
        <v>Cup and ring</v>
      </c>
      <c r="E2025" t="str">
        <f>VLOOKUP(A2025,Panels!$A$1:$E$2104,5,0)</f>
        <v>Millstone Burn</v>
      </c>
    </row>
    <row r="2026">
      <c r="A2026" s="3">
        <v>556.0</v>
      </c>
      <c r="B2026" s="3">
        <v>103.0</v>
      </c>
      <c r="C2026" s="3">
        <v>2.0</v>
      </c>
      <c r="D2026" t="str">
        <f>VLOOKUP(B2026,ERA_MOTIF_TYPES.csv!$A$1:$C$119,2,1)</f>
        <v>Cup and groove</v>
      </c>
      <c r="E2026" t="str">
        <f>VLOOKUP(A2026,Panels!$A$1:$E$2104,5,0)</f>
        <v>Millstone Burn</v>
      </c>
    </row>
    <row r="2027">
      <c r="A2027" s="3">
        <v>557.0</v>
      </c>
      <c r="B2027" s="3">
        <v>1.0</v>
      </c>
      <c r="C2027" s="3">
        <v>8.0</v>
      </c>
      <c r="D2027" t="str">
        <f>VLOOKUP(B2027,ERA_MOTIF_TYPES.csv!$A$1:$C$119,2,1)</f>
        <v>Cups Single</v>
      </c>
      <c r="E2027" t="str">
        <f>VLOOKUP(A2027,Panels!$A$1:$E$2104,5,0)</f>
        <v>Millstone Burn</v>
      </c>
    </row>
    <row r="2028">
      <c r="A2028" s="3">
        <v>557.0</v>
      </c>
      <c r="B2028" s="3">
        <v>52.0</v>
      </c>
      <c r="C2028" s="3">
        <v>2.0</v>
      </c>
      <c r="D2028" t="str">
        <f>VLOOKUP(B2028,ERA_MOTIF_TYPES.csv!$A$1:$C$119,2,1)</f>
        <v>Single or multiple cups</v>
      </c>
      <c r="E2028" t="str">
        <f>VLOOKUP(A2028,Panels!$A$1:$E$2104,5,0)</f>
        <v>Millstone Burn</v>
      </c>
    </row>
    <row r="2029">
      <c r="A2029" s="3">
        <v>558.0</v>
      </c>
      <c r="B2029" s="3">
        <v>50.0</v>
      </c>
      <c r="C2029" s="3">
        <v>5.0</v>
      </c>
      <c r="D2029" t="str">
        <f>VLOOKUP(B2029,ERA_MOTIF_TYPES.csv!$A$1:$C$119,2,1)</f>
        <v>Channels</v>
      </c>
      <c r="E2029" t="str">
        <f>VLOOKUP(A2029,Panels!$A$1:$E$2104,5,0)</f>
        <v>Millstone Burn Standing Stone</v>
      </c>
    </row>
    <row r="2030">
      <c r="A2030" s="3">
        <v>558.0</v>
      </c>
      <c r="B2030" s="3">
        <v>51.0</v>
      </c>
      <c r="C2030" s="3">
        <v>3.0</v>
      </c>
      <c r="D2030" t="str">
        <f>VLOOKUP(B2030,ERA_MOTIF_TYPES.csv!$A$1:$C$119,2,1)</f>
        <v>Bowls</v>
      </c>
      <c r="E2030" t="str">
        <f>VLOOKUP(A2030,Panels!$A$1:$E$2104,5,0)</f>
        <v>Millstone Burn Standing Stone</v>
      </c>
    </row>
    <row r="2031">
      <c r="A2031" s="3">
        <v>559.0</v>
      </c>
      <c r="B2031" s="3">
        <v>50.0</v>
      </c>
      <c r="C2031" s="3">
        <v>2.0</v>
      </c>
      <c r="D2031" t="str">
        <f>VLOOKUP(B2031,ERA_MOTIF_TYPES.csv!$A$1:$C$119,2,1)</f>
        <v>Channels</v>
      </c>
      <c r="E2031" t="str">
        <f>VLOOKUP(A2031,Panels!$A$1:$E$2104,5,0)</f>
        <v>Millstone Burn</v>
      </c>
    </row>
    <row r="2032">
      <c r="A2032" s="3">
        <v>559.0</v>
      </c>
      <c r="B2032" s="3">
        <v>51.0</v>
      </c>
      <c r="C2032" s="3">
        <v>1.0</v>
      </c>
      <c r="D2032" t="str">
        <f>VLOOKUP(B2032,ERA_MOTIF_TYPES.csv!$A$1:$C$119,2,1)</f>
        <v>Bowls</v>
      </c>
      <c r="E2032" t="str">
        <f>VLOOKUP(A2032,Panels!$A$1:$E$2104,5,0)</f>
        <v>Millstone Burn</v>
      </c>
    </row>
    <row r="2033">
      <c r="A2033" s="3">
        <v>559.0</v>
      </c>
      <c r="B2033" s="3">
        <v>52.0</v>
      </c>
      <c r="C2033" s="3">
        <v>1.0</v>
      </c>
      <c r="D2033" t="str">
        <f>VLOOKUP(B2033,ERA_MOTIF_TYPES.csv!$A$1:$C$119,2,1)</f>
        <v>Single or multiple cups</v>
      </c>
      <c r="E2033" t="str">
        <f>VLOOKUP(A2033,Panels!$A$1:$E$2104,5,0)</f>
        <v>Millstone Burn</v>
      </c>
    </row>
    <row r="2034">
      <c r="A2034" s="3">
        <v>560.0</v>
      </c>
      <c r="B2034" s="3">
        <v>52.0</v>
      </c>
      <c r="C2034" s="3">
        <v>13.0</v>
      </c>
      <c r="D2034" t="str">
        <f>VLOOKUP(B2034,ERA_MOTIF_TYPES.csv!$A$1:$C$119,2,1)</f>
        <v>Single or multiple cups</v>
      </c>
      <c r="E2034" t="str">
        <f>VLOOKUP(A2034,Panels!$A$1:$E$2104,5,0)</f>
        <v>Millstone Burn</v>
      </c>
    </row>
    <row r="2035">
      <c r="A2035" s="3">
        <v>560.0</v>
      </c>
      <c r="B2035" s="3">
        <v>59.0</v>
      </c>
      <c r="C2035" s="3">
        <v>3.0</v>
      </c>
      <c r="D2035" t="str">
        <f>VLOOKUP(B2035,ERA_MOTIF_TYPES.csv!$A$1:$C$119,2,1)</f>
        <v>Cup and penannular</v>
      </c>
      <c r="E2035" t="str">
        <f>VLOOKUP(A2035,Panels!$A$1:$E$2104,5,0)</f>
        <v>Millstone Burn</v>
      </c>
    </row>
    <row r="2036">
      <c r="A2036" s="3">
        <v>560.0</v>
      </c>
      <c r="B2036" s="3">
        <v>87.0</v>
      </c>
      <c r="C2036" s="3">
        <v>2.0</v>
      </c>
      <c r="D2036" t="str">
        <f>VLOOKUP(B2036,ERA_MOTIF_TYPES.csv!$A$1:$C$119,2,1)</f>
        <v>Linear and angular groove</v>
      </c>
      <c r="E2036" t="str">
        <f>VLOOKUP(A2036,Panels!$A$1:$E$2104,5,0)</f>
        <v>Millstone Burn</v>
      </c>
    </row>
    <row r="2037">
      <c r="A2037" s="3">
        <v>560.0</v>
      </c>
      <c r="B2037" s="3">
        <v>93.0</v>
      </c>
      <c r="C2037" s="3">
        <v>2.0</v>
      </c>
      <c r="D2037" t="str">
        <f>VLOOKUP(B2037,ERA_MOTIF_TYPES.csv!$A$1:$C$119,2,1)</f>
        <v>Midget cup</v>
      </c>
      <c r="E2037" t="str">
        <f>VLOOKUP(A2037,Panels!$A$1:$E$2104,5,0)</f>
        <v>Millstone Burn</v>
      </c>
    </row>
    <row r="2038">
      <c r="A2038" s="3">
        <v>561.0</v>
      </c>
      <c r="B2038" s="3">
        <v>1.0</v>
      </c>
      <c r="C2038" s="3">
        <v>1.0</v>
      </c>
      <c r="D2038" t="str">
        <f>VLOOKUP(B2038,ERA_MOTIF_TYPES.csv!$A$1:$C$119,2,1)</f>
        <v>Cups Single</v>
      </c>
      <c r="E2038" t="str">
        <f>VLOOKUP(A2038,Panels!$A$1:$E$2104,5,0)</f>
        <v>Millstone Burn</v>
      </c>
    </row>
    <row r="2039">
      <c r="A2039" s="3">
        <v>562.0</v>
      </c>
      <c r="B2039" s="3">
        <v>1.0</v>
      </c>
      <c r="C2039" s="3">
        <v>1.0</v>
      </c>
      <c r="D2039" t="str">
        <f>VLOOKUP(B2039,ERA_MOTIF_TYPES.csv!$A$1:$C$119,2,1)</f>
        <v>Cups Single</v>
      </c>
      <c r="E2039" t="str">
        <f>VLOOKUP(A2039,Panels!$A$1:$E$2104,5,0)</f>
        <v>Millstone Burn</v>
      </c>
    </row>
    <row r="2040">
      <c r="A2040" s="3">
        <v>563.0</v>
      </c>
      <c r="B2040" s="3">
        <v>1.0</v>
      </c>
      <c r="C2040" s="3">
        <v>1.0</v>
      </c>
      <c r="D2040" t="str">
        <f>VLOOKUP(B2040,ERA_MOTIF_TYPES.csv!$A$1:$C$119,2,1)</f>
        <v>Cups Single</v>
      </c>
      <c r="E2040" t="str">
        <f>VLOOKUP(A2040,Panels!$A$1:$E$2104,5,0)</f>
        <v>Millstone Burn</v>
      </c>
    </row>
    <row r="2041">
      <c r="A2041" s="3">
        <v>563.0</v>
      </c>
      <c r="B2041" s="3">
        <v>93.0</v>
      </c>
      <c r="C2041" s="3">
        <v>7.0</v>
      </c>
      <c r="D2041" t="str">
        <f>VLOOKUP(B2041,ERA_MOTIF_TYPES.csv!$A$1:$C$119,2,1)</f>
        <v>Midget cup</v>
      </c>
      <c r="E2041" t="str">
        <f>VLOOKUP(A2041,Panels!$A$1:$E$2104,5,0)</f>
        <v>Millstone Burn</v>
      </c>
    </row>
    <row r="2042">
      <c r="A2042" s="3">
        <v>564.0</v>
      </c>
      <c r="B2042" s="3">
        <v>1.0</v>
      </c>
      <c r="C2042" s="3">
        <v>5.0</v>
      </c>
      <c r="D2042" t="str">
        <f>VLOOKUP(B2042,ERA_MOTIF_TYPES.csv!$A$1:$C$119,2,1)</f>
        <v>Cups Single</v>
      </c>
      <c r="E2042" t="str">
        <f>VLOOKUP(A2042,Panels!$A$1:$E$2104,5,0)</f>
        <v>Millstone Burn</v>
      </c>
    </row>
    <row r="2043">
      <c r="A2043" s="3">
        <v>564.0</v>
      </c>
      <c r="B2043" s="3">
        <v>55.0</v>
      </c>
      <c r="C2043" s="3">
        <v>1.0</v>
      </c>
      <c r="D2043" t="str">
        <f>VLOOKUP(B2043,ERA_MOTIF_TYPES.csv!$A$1:$C$119,2,1)</f>
        <v>Cups in a straight or curved line</v>
      </c>
      <c r="E2043" t="str">
        <f>VLOOKUP(A2043,Panels!$A$1:$E$2104,5,0)</f>
        <v>Millstone Burn</v>
      </c>
    </row>
    <row r="2044">
      <c r="A2044" s="3">
        <v>564.0</v>
      </c>
      <c r="B2044" s="3">
        <v>93.0</v>
      </c>
      <c r="C2044" s="3">
        <v>1.0</v>
      </c>
      <c r="D2044" t="str">
        <f>VLOOKUP(B2044,ERA_MOTIF_TYPES.csv!$A$1:$C$119,2,1)</f>
        <v>Midget cup</v>
      </c>
      <c r="E2044" t="str">
        <f>VLOOKUP(A2044,Panels!$A$1:$E$2104,5,0)</f>
        <v>Millstone Burn</v>
      </c>
    </row>
    <row r="2045">
      <c r="A2045" s="3">
        <v>565.0</v>
      </c>
      <c r="B2045" s="3">
        <v>1.0</v>
      </c>
      <c r="C2045" s="3">
        <v>1.0</v>
      </c>
      <c r="D2045" t="str">
        <f>VLOOKUP(B2045,ERA_MOTIF_TYPES.csv!$A$1:$C$119,2,1)</f>
        <v>Cups Single</v>
      </c>
      <c r="E2045" t="str">
        <f>VLOOKUP(A2045,Panels!$A$1:$E$2104,5,0)</f>
        <v>Millstone Burn</v>
      </c>
    </row>
    <row r="2046">
      <c r="A2046" s="3">
        <v>565.0</v>
      </c>
      <c r="B2046" s="3">
        <v>14.0</v>
      </c>
      <c r="C2046" s="3">
        <v>1.0</v>
      </c>
      <c r="D2046" t="str">
        <f>VLOOKUP(B2046,ERA_MOTIF_TYPES.csv!$A$1:$C$119,2,1)</f>
        <v>Multi Ring + cup</v>
      </c>
      <c r="E2046" t="str">
        <f>VLOOKUP(A2046,Panels!$A$1:$E$2104,5,0)</f>
        <v>Millstone Burn</v>
      </c>
    </row>
    <row r="2047">
      <c r="A2047" s="3">
        <v>565.0</v>
      </c>
      <c r="B2047" s="3">
        <v>52.0</v>
      </c>
      <c r="C2047" s="3">
        <v>3.0</v>
      </c>
      <c r="D2047" t="str">
        <f>VLOOKUP(B2047,ERA_MOTIF_TYPES.csv!$A$1:$C$119,2,1)</f>
        <v>Single or multiple cups</v>
      </c>
      <c r="E2047" t="str">
        <f>VLOOKUP(A2047,Panels!$A$1:$E$2104,5,0)</f>
        <v>Millstone Burn</v>
      </c>
    </row>
    <row r="2048">
      <c r="A2048" s="3">
        <v>565.0</v>
      </c>
      <c r="B2048" s="3">
        <v>61.0</v>
      </c>
      <c r="C2048" s="3">
        <v>1.0</v>
      </c>
      <c r="D2048" t="str">
        <f>VLOOKUP(B2048,ERA_MOTIF_TYPES.csv!$A$1:$C$119,2,1)</f>
        <v>Cup and arc (or semi-ovoid)</v>
      </c>
      <c r="E2048" t="str">
        <f>VLOOKUP(A2048,Panels!$A$1:$E$2104,5,0)</f>
        <v>Millstone Burn</v>
      </c>
    </row>
    <row r="2049">
      <c r="A2049" s="3">
        <v>565.0</v>
      </c>
      <c r="B2049" s="3">
        <v>64.0</v>
      </c>
      <c r="C2049" s="3">
        <v>1.0</v>
      </c>
      <c r="D2049" t="str">
        <f>VLOOKUP(B2049,ERA_MOTIF_TYPES.csv!$A$1:$C$119,2,1)</f>
        <v>Cup with groove cutting through multiple rings</v>
      </c>
      <c r="E2049" t="str">
        <f>VLOOKUP(A2049,Panels!$A$1:$E$2104,5,0)</f>
        <v>Millstone Burn</v>
      </c>
    </row>
    <row r="2050">
      <c r="A2050" s="3">
        <v>565.0</v>
      </c>
      <c r="B2050" s="3">
        <v>100.0</v>
      </c>
      <c r="C2050" s="3">
        <v>1.0</v>
      </c>
      <c r="D2050" t="str">
        <f>VLOOKUP(B2050,ERA_MOTIF_TYPES.csv!$A$1:$C$119,2,1)</f>
        <v>Pick marks</v>
      </c>
      <c r="E2050" t="str">
        <f>VLOOKUP(A2050,Panels!$A$1:$E$2104,5,0)</f>
        <v>Millstone Burn</v>
      </c>
    </row>
    <row r="2051">
      <c r="A2051" s="3">
        <v>566.0</v>
      </c>
      <c r="B2051" s="3">
        <v>1.0</v>
      </c>
      <c r="C2051" s="3">
        <v>1.0</v>
      </c>
      <c r="D2051" t="str">
        <f>VLOOKUP(B2051,ERA_MOTIF_TYPES.csv!$A$1:$C$119,2,1)</f>
        <v>Cups Single</v>
      </c>
      <c r="E2051" t="str">
        <f>VLOOKUP(A2051,Panels!$A$1:$E$2104,5,0)</f>
        <v>Millstone Burn</v>
      </c>
    </row>
    <row r="2052">
      <c r="A2052" s="3">
        <v>566.0</v>
      </c>
      <c r="B2052" s="3">
        <v>52.0</v>
      </c>
      <c r="C2052" s="3">
        <v>1.0</v>
      </c>
      <c r="D2052" t="str">
        <f>VLOOKUP(B2052,ERA_MOTIF_TYPES.csv!$A$1:$C$119,2,1)</f>
        <v>Single or multiple cups</v>
      </c>
      <c r="E2052" t="str">
        <f>VLOOKUP(A2052,Panels!$A$1:$E$2104,5,0)</f>
        <v>Millstone Burn</v>
      </c>
    </row>
    <row r="2053">
      <c r="A2053" s="3">
        <v>567.0</v>
      </c>
      <c r="B2053" s="3">
        <v>1.0</v>
      </c>
      <c r="C2053" s="3">
        <v>9.0</v>
      </c>
      <c r="D2053" t="str">
        <f>VLOOKUP(B2053,ERA_MOTIF_TYPES.csv!$A$1:$C$119,2,1)</f>
        <v>Cups Single</v>
      </c>
      <c r="E2053" t="str">
        <f>VLOOKUP(A2053,Panels!$A$1:$E$2104,5,0)</f>
        <v>Millstone Burn</v>
      </c>
    </row>
    <row r="2054">
      <c r="A2054" s="3">
        <v>567.0</v>
      </c>
      <c r="B2054" s="3">
        <v>52.0</v>
      </c>
      <c r="C2054" s="3">
        <v>12.0</v>
      </c>
      <c r="D2054" t="str">
        <f>VLOOKUP(B2054,ERA_MOTIF_TYPES.csv!$A$1:$C$119,2,1)</f>
        <v>Single or multiple cups</v>
      </c>
      <c r="E2054" t="str">
        <f>VLOOKUP(A2054,Panels!$A$1:$E$2104,5,0)</f>
        <v>Millstone Burn</v>
      </c>
    </row>
    <row r="2055">
      <c r="A2055" s="3">
        <v>567.0</v>
      </c>
      <c r="B2055" s="3">
        <v>53.0</v>
      </c>
      <c r="C2055" s="3">
        <v>1.0</v>
      </c>
      <c r="D2055" t="str">
        <f>VLOOKUP(B2055,ERA_MOTIF_TYPES.csv!$A$1:$C$119,2,1)</f>
        <v>Domino patterns and parallel lines</v>
      </c>
      <c r="E2055" t="str">
        <f>VLOOKUP(A2055,Panels!$A$1:$E$2104,5,0)</f>
        <v>Millstone Burn</v>
      </c>
    </row>
    <row r="2056">
      <c r="A2056" s="3">
        <v>568.0</v>
      </c>
      <c r="B2056" s="3">
        <v>52.0</v>
      </c>
      <c r="C2056" s="3">
        <v>1.0</v>
      </c>
      <c r="D2056" t="str">
        <f>VLOOKUP(B2056,ERA_MOTIF_TYPES.csv!$A$1:$C$119,2,1)</f>
        <v>Single or multiple cups</v>
      </c>
      <c r="E2056" t="str">
        <f>VLOOKUP(A2056,Panels!$A$1:$E$2104,5,0)</f>
        <v>Snook Bank</v>
      </c>
    </row>
    <row r="2057">
      <c r="A2057" s="3">
        <v>569.0</v>
      </c>
      <c r="B2057" s="3">
        <v>1.0</v>
      </c>
      <c r="C2057" s="3">
        <v>1.0</v>
      </c>
      <c r="D2057" t="str">
        <f>VLOOKUP(B2057,ERA_MOTIF_TYPES.csv!$A$1:$C$119,2,1)</f>
        <v>Cups Single</v>
      </c>
      <c r="E2057" t="str">
        <f>VLOOKUP(A2057,Panels!$A$1:$E$2104,5,0)</f>
        <v>Millstone Burn</v>
      </c>
    </row>
    <row r="2058">
      <c r="A2058" s="3">
        <v>569.0</v>
      </c>
      <c r="B2058" s="3">
        <v>52.0</v>
      </c>
      <c r="C2058" s="3">
        <v>1.0</v>
      </c>
      <c r="D2058" t="str">
        <f>VLOOKUP(B2058,ERA_MOTIF_TYPES.csv!$A$1:$C$119,2,1)</f>
        <v>Single or multiple cups</v>
      </c>
      <c r="E2058" t="str">
        <f>VLOOKUP(A2058,Panels!$A$1:$E$2104,5,0)</f>
        <v>Millstone Burn</v>
      </c>
    </row>
    <row r="2059">
      <c r="A2059" s="3">
        <v>570.0</v>
      </c>
      <c r="B2059" s="3">
        <v>1.0</v>
      </c>
      <c r="C2059" s="3">
        <v>2.0</v>
      </c>
      <c r="D2059" t="str">
        <f>VLOOKUP(B2059,ERA_MOTIF_TYPES.csv!$A$1:$C$119,2,1)</f>
        <v>Cups Single</v>
      </c>
      <c r="E2059" t="str">
        <f>VLOOKUP(A2059,Panels!$A$1:$E$2104,5,0)</f>
        <v>Millstone Burn</v>
      </c>
    </row>
    <row r="2060">
      <c r="A2060" s="3">
        <v>571.0</v>
      </c>
      <c r="B2060" s="3">
        <v>1.0</v>
      </c>
      <c r="C2060" s="3">
        <v>1.0</v>
      </c>
      <c r="D2060" t="str">
        <f>VLOOKUP(B2060,ERA_MOTIF_TYPES.csv!$A$1:$C$119,2,1)</f>
        <v>Cups Single</v>
      </c>
      <c r="E2060" t="str">
        <f>VLOOKUP(A2060,Panels!$A$1:$E$2104,5,0)</f>
        <v>Millstone Burn</v>
      </c>
    </row>
    <row r="2061">
      <c r="A2061" s="3">
        <v>572.0</v>
      </c>
      <c r="B2061" s="3">
        <v>52.0</v>
      </c>
      <c r="C2061" s="3">
        <v>5.0</v>
      </c>
      <c r="D2061" t="str">
        <f>VLOOKUP(B2061,ERA_MOTIF_TYPES.csv!$A$1:$C$119,2,1)</f>
        <v>Single or multiple cups</v>
      </c>
      <c r="E2061" t="str">
        <f>VLOOKUP(A2061,Panels!$A$1:$E$2104,5,0)</f>
        <v>Millstone Burn</v>
      </c>
    </row>
    <row r="2062">
      <c r="A2062" s="3">
        <v>573.0</v>
      </c>
      <c r="B2062" s="3">
        <v>52.0</v>
      </c>
      <c r="C2062" s="3">
        <v>2.0</v>
      </c>
      <c r="D2062" t="str">
        <f>VLOOKUP(B2062,ERA_MOTIF_TYPES.csv!$A$1:$C$119,2,1)</f>
        <v>Single or multiple cups</v>
      </c>
      <c r="E2062" t="str">
        <f>VLOOKUP(A2062,Panels!$A$1:$E$2104,5,0)</f>
        <v>Millstone Burn</v>
      </c>
    </row>
    <row r="2063">
      <c r="A2063" s="3">
        <v>573.0</v>
      </c>
      <c r="B2063" s="3">
        <v>100.0</v>
      </c>
      <c r="C2063" s="3">
        <v>1.0</v>
      </c>
      <c r="D2063" t="str">
        <f>VLOOKUP(B2063,ERA_MOTIF_TYPES.csv!$A$1:$C$119,2,1)</f>
        <v>Pick marks</v>
      </c>
      <c r="E2063" t="str">
        <f>VLOOKUP(A2063,Panels!$A$1:$E$2104,5,0)</f>
        <v>Millstone Burn</v>
      </c>
    </row>
    <row r="2064">
      <c r="A2064" s="3">
        <v>574.0</v>
      </c>
      <c r="B2064" s="3">
        <v>52.0</v>
      </c>
      <c r="C2064" s="3">
        <v>4.0</v>
      </c>
      <c r="D2064" t="str">
        <f>VLOOKUP(B2064,ERA_MOTIF_TYPES.csv!$A$1:$C$119,2,1)</f>
        <v>Single or multiple cups</v>
      </c>
      <c r="E2064" t="str">
        <f>VLOOKUP(A2064,Panels!$A$1:$E$2104,5,0)</f>
        <v>Snook Bank</v>
      </c>
    </row>
    <row r="2065">
      <c r="A2065" s="3">
        <v>574.0</v>
      </c>
      <c r="B2065" s="3">
        <v>57.0</v>
      </c>
      <c r="C2065" s="3">
        <v>1.0</v>
      </c>
      <c r="D2065" t="str">
        <f>VLOOKUP(B2065,ERA_MOTIF_TYPES.csv!$A$1:$C$119,2,1)</f>
        <v>Cup and ring</v>
      </c>
      <c r="E2065" t="str">
        <f>VLOOKUP(A2065,Panels!$A$1:$E$2104,5,0)</f>
        <v>Snook Bank</v>
      </c>
    </row>
    <row r="2066">
      <c r="A2066" s="3">
        <v>574.0</v>
      </c>
      <c r="B2066" s="3">
        <v>58.0</v>
      </c>
      <c r="C2066" s="3">
        <v>1.0</v>
      </c>
      <c r="D2066" t="str">
        <f>VLOOKUP(B2066,ERA_MOTIF_TYPES.csv!$A$1:$C$119,2,1)</f>
        <v>Cup and multiple rings</v>
      </c>
      <c r="E2066" t="str">
        <f>VLOOKUP(A2066,Panels!$A$1:$E$2104,5,0)</f>
        <v>Snook Bank</v>
      </c>
    </row>
    <row r="2067">
      <c r="A2067" s="3">
        <v>574.0</v>
      </c>
      <c r="B2067" s="3">
        <v>61.0</v>
      </c>
      <c r="C2067" s="3">
        <v>1.0</v>
      </c>
      <c r="D2067" t="str">
        <f>VLOOKUP(B2067,ERA_MOTIF_TYPES.csv!$A$1:$C$119,2,1)</f>
        <v>Cup and arc (or semi-ovoid)</v>
      </c>
      <c r="E2067" t="str">
        <f>VLOOKUP(A2067,Panels!$A$1:$E$2104,5,0)</f>
        <v>Snook Bank</v>
      </c>
    </row>
    <row r="2068">
      <c r="A2068" s="3">
        <v>575.0</v>
      </c>
      <c r="B2068" s="3">
        <v>52.0</v>
      </c>
      <c r="C2068" s="3">
        <v>1.0</v>
      </c>
      <c r="D2068" t="str">
        <f>VLOOKUP(B2068,ERA_MOTIF_TYPES.csv!$A$1:$C$119,2,1)</f>
        <v>Single or multiple cups</v>
      </c>
      <c r="E2068" t="str">
        <f>VLOOKUP(A2068,Panels!$A$1:$E$2104,5,0)</f>
        <v>Snook Bank</v>
      </c>
    </row>
    <row r="2069">
      <c r="A2069" s="3">
        <v>576.0</v>
      </c>
      <c r="B2069" s="3">
        <v>1.0</v>
      </c>
      <c r="C2069" s="3">
        <v>50.0</v>
      </c>
      <c r="D2069" t="str">
        <f>VLOOKUP(B2069,ERA_MOTIF_TYPES.csv!$A$1:$C$119,2,1)</f>
        <v>Cups Single</v>
      </c>
      <c r="E2069" t="str">
        <f>VLOOKUP(A2069,Panels!$A$1:$E$2104,5,0)</f>
        <v>Wellhope</v>
      </c>
    </row>
    <row r="2070">
      <c r="A2070" s="3">
        <v>576.0</v>
      </c>
      <c r="B2070" s="3">
        <v>10.0</v>
      </c>
      <c r="C2070" s="3">
        <v>1.0</v>
      </c>
      <c r="D2070" t="str">
        <f>VLOOKUP(B2070,ERA_MOTIF_TYPES.csv!$A$1:$C$119,2,1)</f>
        <v>Single Arc</v>
      </c>
      <c r="E2070" t="str">
        <f>VLOOKUP(A2070,Panels!$A$1:$E$2104,5,0)</f>
        <v>Wellhope</v>
      </c>
    </row>
    <row r="2071">
      <c r="A2071" s="3">
        <v>576.0</v>
      </c>
      <c r="B2071" s="3">
        <v>13.0</v>
      </c>
      <c r="C2071" s="3">
        <v>3.0</v>
      </c>
      <c r="D2071" t="str">
        <f>VLOOKUP(B2071,ERA_MOTIF_TYPES.csv!$A$1:$C$119,2,1)</f>
        <v>Single Ring + cup</v>
      </c>
      <c r="E2071" t="str">
        <f>VLOOKUP(A2071,Panels!$A$1:$E$2104,5,0)</f>
        <v>Wellhope</v>
      </c>
    </row>
    <row r="2072">
      <c r="A2072" s="3">
        <v>576.0</v>
      </c>
      <c r="B2072" s="3">
        <v>16.0</v>
      </c>
      <c r="C2072" s="3">
        <v>2.0</v>
      </c>
      <c r="D2072" t="str">
        <f>VLOOKUP(B2072,ERA_MOTIF_TYPES.csv!$A$1:$C$119,2,1)</f>
        <v>Single Arc + cup</v>
      </c>
      <c r="E2072" t="str">
        <f>VLOOKUP(A2072,Panels!$A$1:$E$2104,5,0)</f>
        <v>Wellhope</v>
      </c>
    </row>
    <row r="2073">
      <c r="A2073" s="3">
        <v>576.0</v>
      </c>
      <c r="B2073" s="3">
        <v>21.0</v>
      </c>
      <c r="C2073" s="3">
        <v>1.0</v>
      </c>
      <c r="D2073" t="str">
        <f>VLOOKUP(B2073,ERA_MOTIF_TYPES.csv!$A$1:$C$119,2,1)</f>
        <v>Keyhole cup and groove</v>
      </c>
      <c r="E2073" t="str">
        <f>VLOOKUP(A2073,Panels!$A$1:$E$2104,5,0)</f>
        <v>Wellhope</v>
      </c>
    </row>
    <row r="2074">
      <c r="A2074" s="3">
        <v>576.0</v>
      </c>
      <c r="B2074" s="3">
        <v>52.0</v>
      </c>
      <c r="C2074" s="3">
        <v>45.0</v>
      </c>
      <c r="D2074" t="str">
        <f>VLOOKUP(B2074,ERA_MOTIF_TYPES.csv!$A$1:$C$119,2,1)</f>
        <v>Single or multiple cups</v>
      </c>
      <c r="E2074" t="str">
        <f>VLOOKUP(A2074,Panels!$A$1:$E$2104,5,0)</f>
        <v>Wellhope</v>
      </c>
    </row>
    <row r="2075">
      <c r="A2075" s="3">
        <v>576.0</v>
      </c>
      <c r="B2075" s="3">
        <v>57.0</v>
      </c>
      <c r="C2075" s="3">
        <v>1.0</v>
      </c>
      <c r="D2075" t="str">
        <f>VLOOKUP(B2075,ERA_MOTIF_TYPES.csv!$A$1:$C$119,2,1)</f>
        <v>Cup and ring</v>
      </c>
      <c r="E2075" t="str">
        <f>VLOOKUP(A2075,Panels!$A$1:$E$2104,5,0)</f>
        <v>Wellhope</v>
      </c>
    </row>
    <row r="2076">
      <c r="A2076" s="3">
        <v>576.0</v>
      </c>
      <c r="B2076" s="3">
        <v>61.0</v>
      </c>
      <c r="C2076" s="3">
        <v>2.0</v>
      </c>
      <c r="D2076" t="str">
        <f>VLOOKUP(B2076,ERA_MOTIF_TYPES.csv!$A$1:$C$119,2,1)</f>
        <v>Cup and arc (or semi-ovoid)</v>
      </c>
      <c r="E2076" t="str">
        <f>VLOOKUP(A2076,Panels!$A$1:$E$2104,5,0)</f>
        <v>Wellhope</v>
      </c>
    </row>
    <row r="2077">
      <c r="A2077" s="3">
        <v>576.0</v>
      </c>
      <c r="B2077" s="3">
        <v>65.0</v>
      </c>
      <c r="C2077" s="3">
        <v>1.0</v>
      </c>
      <c r="D2077" t="str">
        <f>VLOOKUP(B2077,ERA_MOTIF_TYPES.csv!$A$1:$C$119,2,1)</f>
        <v>Cup and groove with penannular</v>
      </c>
      <c r="E2077" t="str">
        <f>VLOOKUP(A2077,Panels!$A$1:$E$2104,5,0)</f>
        <v>Wellhope</v>
      </c>
    </row>
    <row r="2078">
      <c r="A2078" s="3">
        <v>576.0</v>
      </c>
      <c r="B2078" s="3">
        <v>71.0</v>
      </c>
      <c r="C2078" s="3">
        <v>1.0</v>
      </c>
      <c r="D2078" t="str">
        <f>VLOOKUP(B2078,ERA_MOTIF_TYPES.csv!$A$1:$C$119,2,1)</f>
        <v>Penannular</v>
      </c>
      <c r="E2078" t="str">
        <f>VLOOKUP(A2078,Panels!$A$1:$E$2104,5,0)</f>
        <v>Wellhope</v>
      </c>
    </row>
    <row r="2079">
      <c r="A2079" s="3">
        <v>576.0</v>
      </c>
      <c r="B2079" s="3">
        <v>87.0</v>
      </c>
      <c r="C2079" s="3">
        <v>1.0</v>
      </c>
      <c r="D2079" t="str">
        <f>VLOOKUP(B2079,ERA_MOTIF_TYPES.csv!$A$1:$C$119,2,1)</f>
        <v>Linear and angular groove</v>
      </c>
      <c r="E2079" t="str">
        <f>VLOOKUP(A2079,Panels!$A$1:$E$2104,5,0)</f>
        <v>Wellhope</v>
      </c>
    </row>
    <row r="2080">
      <c r="A2080" s="3">
        <v>576.0</v>
      </c>
      <c r="B2080" s="3">
        <v>93.0</v>
      </c>
      <c r="C2080" s="3">
        <v>4.0</v>
      </c>
      <c r="D2080" t="str">
        <f>VLOOKUP(B2080,ERA_MOTIF_TYPES.csv!$A$1:$C$119,2,1)</f>
        <v>Midget cup</v>
      </c>
      <c r="E2080" t="str">
        <f>VLOOKUP(A2080,Panels!$A$1:$E$2104,5,0)</f>
        <v>Wellhope</v>
      </c>
    </row>
    <row r="2081">
      <c r="A2081" s="3">
        <v>576.0</v>
      </c>
      <c r="B2081" s="3">
        <v>100.0</v>
      </c>
      <c r="C2081" s="3">
        <v>1.0</v>
      </c>
      <c r="D2081" t="str">
        <f>VLOOKUP(B2081,ERA_MOTIF_TYPES.csv!$A$1:$C$119,2,1)</f>
        <v>Pick marks</v>
      </c>
      <c r="E2081" t="str">
        <f>VLOOKUP(A2081,Panels!$A$1:$E$2104,5,0)</f>
        <v>Wellhope</v>
      </c>
    </row>
    <row r="2082">
      <c r="A2082" s="3">
        <v>576.0</v>
      </c>
      <c r="B2082" s="3">
        <v>103.0</v>
      </c>
      <c r="C2082" s="3">
        <v>2.0</v>
      </c>
      <c r="D2082" t="str">
        <f>VLOOKUP(B2082,ERA_MOTIF_TYPES.csv!$A$1:$C$119,2,1)</f>
        <v>Cup and groove</v>
      </c>
      <c r="E2082" t="str">
        <f>VLOOKUP(A2082,Panels!$A$1:$E$2104,5,0)</f>
        <v>Wellhope</v>
      </c>
    </row>
    <row r="2083">
      <c r="A2083" s="3">
        <v>576.0</v>
      </c>
      <c r="B2083" s="3">
        <v>105.0</v>
      </c>
      <c r="C2083" s="3">
        <v>1.0</v>
      </c>
      <c r="D2083" t="str">
        <f>VLOOKUP(B2083,ERA_MOTIF_TYPES.csv!$A$1:$C$119,2,1)</f>
        <v>Two cups linked by a groove</v>
      </c>
      <c r="E2083" t="str">
        <f>VLOOKUP(A2083,Panels!$A$1:$E$2104,5,0)</f>
        <v>Wellhope</v>
      </c>
    </row>
    <row r="2084">
      <c r="A2084" s="3">
        <v>576.0</v>
      </c>
      <c r="B2084" s="3">
        <v>107.0</v>
      </c>
      <c r="C2084" s="3">
        <v>1.0</v>
      </c>
      <c r="D2084" t="str">
        <f>VLOOKUP(B2084,ERA_MOTIF_TYPES.csv!$A$1:$C$119,2,1)</f>
        <v>Cup and ring with exterior groove</v>
      </c>
      <c r="E2084" t="str">
        <f>VLOOKUP(A2084,Panels!$A$1:$E$2104,5,0)</f>
        <v>Wellhope</v>
      </c>
    </row>
    <row r="2085">
      <c r="A2085" s="3">
        <v>577.0</v>
      </c>
      <c r="B2085" s="3">
        <v>1.0</v>
      </c>
      <c r="C2085" s="3">
        <v>20.0</v>
      </c>
      <c r="D2085" t="str">
        <f>VLOOKUP(B2085,ERA_MOTIF_TYPES.csv!$A$1:$C$119,2,1)</f>
        <v>Cups Single</v>
      </c>
      <c r="E2085" t="str">
        <f>VLOOKUP(A2085,Panels!$A$1:$E$2104,5,0)</f>
        <v>Hawick Farm</v>
      </c>
    </row>
    <row r="2086">
      <c r="A2086" s="3">
        <v>578.0</v>
      </c>
      <c r="B2086" s="3">
        <v>1.0</v>
      </c>
      <c r="C2086" s="3">
        <v>12.0</v>
      </c>
      <c r="D2086" t="str">
        <f>VLOOKUP(B2086,ERA_MOTIF_TYPES.csv!$A$1:$C$119,2,1)</f>
        <v>Cups Single</v>
      </c>
      <c r="E2086" t="str">
        <f>VLOOKUP(A2086,Panels!$A$1:$E$2104,5,0)</f>
        <v>Hollinside Farm</v>
      </c>
    </row>
    <row r="2087">
      <c r="A2087" s="3">
        <v>578.0</v>
      </c>
      <c r="B2087" s="3">
        <v>13.0</v>
      </c>
      <c r="C2087" s="3">
        <v>7.0</v>
      </c>
      <c r="D2087" t="str">
        <f>VLOOKUP(B2087,ERA_MOTIF_TYPES.csv!$A$1:$C$119,2,1)</f>
        <v>Single Ring + cup</v>
      </c>
      <c r="E2087" t="str">
        <f>VLOOKUP(A2087,Panels!$A$1:$E$2104,5,0)</f>
        <v>Hollinside Farm</v>
      </c>
    </row>
    <row r="2088">
      <c r="A2088" s="3">
        <v>578.0</v>
      </c>
      <c r="B2088" s="3">
        <v>14.0</v>
      </c>
      <c r="C2088" s="3">
        <v>1.0</v>
      </c>
      <c r="D2088" t="str">
        <f>VLOOKUP(B2088,ERA_MOTIF_TYPES.csv!$A$1:$C$119,2,1)</f>
        <v>Multi Ring + cup</v>
      </c>
      <c r="E2088" t="str">
        <f>VLOOKUP(A2088,Panels!$A$1:$E$2104,5,0)</f>
        <v>Hollinside Farm</v>
      </c>
    </row>
    <row r="2089">
      <c r="A2089" s="3">
        <v>579.0</v>
      </c>
      <c r="B2089" s="3">
        <v>33.0</v>
      </c>
      <c r="C2089" s="3">
        <v>1.0</v>
      </c>
      <c r="D2089" t="str">
        <f>VLOOKUP(B2089,ERA_MOTIF_TYPES.csv!$A$1:$C$119,2,1)</f>
        <v>Cup Groove and multi ring</v>
      </c>
      <c r="E2089" t="str">
        <f>VLOOKUP(A2089,Panels!$A$1:$E$2104,5,0)</f>
        <v>Lemmington Wood</v>
      </c>
    </row>
    <row r="2090">
      <c r="A2090" s="3">
        <v>579.0</v>
      </c>
      <c r="B2090" s="3">
        <v>34.0</v>
      </c>
      <c r="C2090" s="3">
        <v>1.0</v>
      </c>
      <c r="D2090" t="str">
        <f>VLOOKUP(B2090,ERA_MOTIF_TYPES.csv!$A$1:$C$119,2,1)</f>
        <v>Cup Groove and penannular</v>
      </c>
      <c r="E2090" t="str">
        <f>VLOOKUP(A2090,Panels!$A$1:$E$2104,5,0)</f>
        <v>Lemmington Wood</v>
      </c>
    </row>
    <row r="2091">
      <c r="A2091" s="3">
        <v>579.0</v>
      </c>
      <c r="B2091" s="3">
        <v>63.0</v>
      </c>
      <c r="C2091" s="3">
        <v>2.0</v>
      </c>
      <c r="D2091" t="str">
        <f>VLOOKUP(B2091,ERA_MOTIF_TYPES.csv!$A$1:$C$119,2,1)</f>
        <v>Cup with groove cutting through ring</v>
      </c>
      <c r="E2091" t="str">
        <f>VLOOKUP(A2091,Panels!$A$1:$E$2104,5,0)</f>
        <v>Lemmington Wood</v>
      </c>
    </row>
    <row r="2092">
      <c r="A2092" s="3">
        <v>579.0</v>
      </c>
      <c r="B2092" s="3">
        <v>71.0</v>
      </c>
      <c r="C2092" s="3">
        <v>1.0</v>
      </c>
      <c r="D2092" t="str">
        <f>VLOOKUP(B2092,ERA_MOTIF_TYPES.csv!$A$1:$C$119,2,1)</f>
        <v>Penannular</v>
      </c>
      <c r="E2092" t="str">
        <f>VLOOKUP(A2092,Panels!$A$1:$E$2104,5,0)</f>
        <v>Lemmington Wood</v>
      </c>
    </row>
    <row r="2093">
      <c r="A2093" s="3">
        <v>580.0</v>
      </c>
      <c r="B2093" s="3">
        <v>25.0</v>
      </c>
      <c r="C2093" s="3">
        <v>1.0</v>
      </c>
      <c r="D2093" t="str">
        <f>VLOOKUP(B2093,ERA_MOTIF_TYPES.csv!$A$1:$C$119,2,1)</f>
        <v>Linear</v>
      </c>
      <c r="E2093" t="str">
        <f>VLOOKUP(A2093,Panels!$A$1:$E$2104,5,0)</f>
        <v>Corby's Crags Open</v>
      </c>
    </row>
    <row r="2094">
      <c r="A2094" s="3">
        <v>580.0</v>
      </c>
      <c r="B2094" s="3">
        <v>51.0</v>
      </c>
      <c r="C2094" s="3">
        <v>1.0</v>
      </c>
      <c r="D2094" t="str">
        <f>VLOOKUP(B2094,ERA_MOTIF_TYPES.csv!$A$1:$C$119,2,1)</f>
        <v>Bowls</v>
      </c>
      <c r="E2094" t="str">
        <f>VLOOKUP(A2094,Panels!$A$1:$E$2104,5,0)</f>
        <v>Corby's Crags Open</v>
      </c>
    </row>
    <row r="2095">
      <c r="A2095" s="3">
        <v>580.0</v>
      </c>
      <c r="B2095" s="3">
        <v>87.0</v>
      </c>
      <c r="C2095" s="3">
        <v>1.0</v>
      </c>
      <c r="D2095" t="str">
        <f>VLOOKUP(B2095,ERA_MOTIF_TYPES.csv!$A$1:$C$119,2,1)</f>
        <v>Linear and angular groove</v>
      </c>
      <c r="E2095" t="str">
        <f>VLOOKUP(A2095,Panels!$A$1:$E$2104,5,0)</f>
        <v>Corby's Crags Open</v>
      </c>
    </row>
    <row r="2096">
      <c r="A2096" s="3">
        <v>580.0</v>
      </c>
      <c r="B2096" s="3">
        <v>94.0</v>
      </c>
      <c r="C2096" s="3">
        <v>1.0</v>
      </c>
      <c r="D2096" t="str">
        <f>VLOOKUP(B2096,ERA_MOTIF_TYPES.csv!$A$1:$C$119,2,1)</f>
        <v>Basin</v>
      </c>
      <c r="E2096" t="str">
        <f>VLOOKUP(A2096,Panels!$A$1:$E$2104,5,0)</f>
        <v>Corby's Crags Open</v>
      </c>
    </row>
    <row r="2097">
      <c r="A2097" s="3">
        <v>581.0</v>
      </c>
      <c r="B2097" s="3">
        <v>25.0</v>
      </c>
      <c r="C2097" s="3">
        <v>1.0</v>
      </c>
      <c r="D2097" t="str">
        <f>VLOOKUP(B2097,ERA_MOTIF_TYPES.csv!$A$1:$C$119,2,1)</f>
        <v>Linear</v>
      </c>
      <c r="E2097" t="str">
        <f>VLOOKUP(A2097,Panels!$A$1:$E$2104,5,0)</f>
        <v>Corby's Crags Rock Shelter</v>
      </c>
    </row>
    <row r="2098">
      <c r="A2098" s="3">
        <v>581.0</v>
      </c>
      <c r="B2098" s="3">
        <v>110.0</v>
      </c>
      <c r="C2098" s="3">
        <v>1.0</v>
      </c>
      <c r="D2098" t="str">
        <f>VLOOKUP(B2098,ERA_MOTIF_TYPES.csv!$A$1:$C$119,2,1)</f>
        <v>Curved groove</v>
      </c>
      <c r="E2098" t="str">
        <f>VLOOKUP(A2098,Panels!$A$1:$E$2104,5,0)</f>
        <v>Corby's Crags Rock Shelter</v>
      </c>
    </row>
    <row r="2099">
      <c r="A2099" s="3">
        <v>583.0</v>
      </c>
      <c r="B2099" s="3">
        <v>1.0</v>
      </c>
      <c r="C2099" s="3">
        <v>40.0</v>
      </c>
      <c r="D2099" t="str">
        <f>VLOOKUP(B2099,ERA_MOTIF_TYPES.csv!$A$1:$C$119,2,1)</f>
        <v>Cups Single</v>
      </c>
      <c r="E2099" t="str">
        <f>VLOOKUP(A2099,Panels!$A$1:$E$2104,5,0)</f>
        <v>Caller Crag</v>
      </c>
    </row>
    <row r="2100">
      <c r="A2100" s="3">
        <v>583.0</v>
      </c>
      <c r="B2100" s="3">
        <v>2.0</v>
      </c>
      <c r="C2100" s="3">
        <v>1.0</v>
      </c>
      <c r="D2100" t="str">
        <f>VLOOKUP(B2100,ERA_MOTIF_TYPES.csv!$A$1:$C$119,2,1)</f>
        <v>Random Cluster</v>
      </c>
      <c r="E2100" t="str">
        <f>VLOOKUP(A2100,Panels!$A$1:$E$2104,5,0)</f>
        <v>Caller Crag</v>
      </c>
    </row>
    <row r="2101">
      <c r="A2101" s="3">
        <v>583.0</v>
      </c>
      <c r="B2101" s="3">
        <v>52.0</v>
      </c>
      <c r="C2101" s="3">
        <v>61.0</v>
      </c>
      <c r="D2101" t="str">
        <f>VLOOKUP(B2101,ERA_MOTIF_TYPES.csv!$A$1:$C$119,2,1)</f>
        <v>Single or multiple cups</v>
      </c>
      <c r="E2101" t="str">
        <f>VLOOKUP(A2101,Panels!$A$1:$E$2104,5,0)</f>
        <v>Caller Crag</v>
      </c>
    </row>
    <row r="2102">
      <c r="A2102" s="3">
        <v>583.0</v>
      </c>
      <c r="B2102" s="3">
        <v>57.0</v>
      </c>
      <c r="C2102" s="3">
        <v>1.0</v>
      </c>
      <c r="D2102" t="str">
        <f>VLOOKUP(B2102,ERA_MOTIF_TYPES.csv!$A$1:$C$119,2,1)</f>
        <v>Cup and ring</v>
      </c>
      <c r="E2102" t="str">
        <f>VLOOKUP(A2102,Panels!$A$1:$E$2104,5,0)</f>
        <v>Caller Crag</v>
      </c>
    </row>
    <row r="2103">
      <c r="A2103" s="3">
        <v>583.0</v>
      </c>
      <c r="B2103" s="3">
        <v>87.0</v>
      </c>
      <c r="C2103" s="3">
        <v>1.0</v>
      </c>
      <c r="D2103" t="str">
        <f>VLOOKUP(B2103,ERA_MOTIF_TYPES.csv!$A$1:$C$119,2,1)</f>
        <v>Linear and angular groove</v>
      </c>
      <c r="E2103" t="str">
        <f>VLOOKUP(A2103,Panels!$A$1:$E$2104,5,0)</f>
        <v>Caller Crag</v>
      </c>
    </row>
    <row r="2104">
      <c r="A2104" s="3">
        <v>583.0</v>
      </c>
      <c r="B2104" s="3">
        <v>93.0</v>
      </c>
      <c r="C2104" s="3">
        <v>4.0</v>
      </c>
      <c r="D2104" t="str">
        <f>VLOOKUP(B2104,ERA_MOTIF_TYPES.csv!$A$1:$C$119,2,1)</f>
        <v>Midget cup</v>
      </c>
      <c r="E2104" t="str">
        <f>VLOOKUP(A2104,Panels!$A$1:$E$2104,5,0)</f>
        <v>Caller Crag</v>
      </c>
    </row>
    <row r="2105">
      <c r="A2105" s="3">
        <v>583.0</v>
      </c>
      <c r="B2105" s="3">
        <v>94.0</v>
      </c>
      <c r="C2105" s="3">
        <v>4.0</v>
      </c>
      <c r="D2105" t="str">
        <f>VLOOKUP(B2105,ERA_MOTIF_TYPES.csv!$A$1:$C$119,2,1)</f>
        <v>Basin</v>
      </c>
      <c r="E2105" t="str">
        <f>VLOOKUP(A2105,Panels!$A$1:$E$2104,5,0)</f>
        <v>Caller Crag</v>
      </c>
    </row>
    <row r="2106">
      <c r="A2106" s="3">
        <v>583.0</v>
      </c>
      <c r="B2106" s="3">
        <v>103.0</v>
      </c>
      <c r="C2106" s="3">
        <v>2.0</v>
      </c>
      <c r="D2106" t="str">
        <f>VLOOKUP(B2106,ERA_MOTIF_TYPES.csv!$A$1:$C$119,2,1)</f>
        <v>Cup and groove</v>
      </c>
      <c r="E2106" t="str">
        <f>VLOOKUP(A2106,Panels!$A$1:$E$2104,5,0)</f>
        <v>Caller Crag</v>
      </c>
    </row>
    <row r="2107">
      <c r="A2107" s="3">
        <v>584.0</v>
      </c>
      <c r="B2107" s="3">
        <v>52.0</v>
      </c>
      <c r="C2107" s="3">
        <v>2.0</v>
      </c>
      <c r="D2107" t="str">
        <f>VLOOKUP(B2107,ERA_MOTIF_TYPES.csv!$A$1:$C$119,2,1)</f>
        <v>Single or multiple cups</v>
      </c>
      <c r="E2107" t="str">
        <f>VLOOKUP(A2107,Panels!$A$1:$E$2104,5,0)</f>
        <v>Caller Crag</v>
      </c>
    </row>
    <row r="2108">
      <c r="A2108" s="3">
        <v>585.0</v>
      </c>
      <c r="B2108" s="3">
        <v>52.0</v>
      </c>
      <c r="C2108" s="3">
        <v>5.0</v>
      </c>
      <c r="D2108" t="str">
        <f>VLOOKUP(B2108,ERA_MOTIF_TYPES.csv!$A$1:$C$119,2,1)</f>
        <v>Single or multiple cups</v>
      </c>
      <c r="E2108" t="str">
        <f>VLOOKUP(A2108,Panels!$A$1:$E$2104,5,0)</f>
        <v>Caller Crag</v>
      </c>
    </row>
    <row r="2109">
      <c r="A2109" s="3">
        <v>586.0</v>
      </c>
      <c r="B2109" s="3">
        <v>52.0</v>
      </c>
      <c r="C2109" s="3">
        <v>14.0</v>
      </c>
      <c r="D2109" t="str">
        <f>VLOOKUP(B2109,ERA_MOTIF_TYPES.csv!$A$1:$C$119,2,1)</f>
        <v>Single or multiple cups</v>
      </c>
      <c r="E2109" t="str">
        <f>VLOOKUP(A2109,Panels!$A$1:$E$2104,5,0)</f>
        <v>Caller Crag</v>
      </c>
    </row>
    <row r="2110">
      <c r="A2110" s="3">
        <v>586.0</v>
      </c>
      <c r="B2110" s="3">
        <v>103.0</v>
      </c>
      <c r="C2110" s="3">
        <v>1.0</v>
      </c>
      <c r="D2110" t="str">
        <f>VLOOKUP(B2110,ERA_MOTIF_TYPES.csv!$A$1:$C$119,2,1)</f>
        <v>Cup and groove</v>
      </c>
      <c r="E2110" t="str">
        <f>VLOOKUP(A2110,Panels!$A$1:$E$2104,5,0)</f>
        <v>Caller Crag</v>
      </c>
    </row>
    <row r="2111">
      <c r="A2111" s="3">
        <v>587.0</v>
      </c>
      <c r="B2111" s="3">
        <v>51.0</v>
      </c>
      <c r="C2111" s="3">
        <v>2.0</v>
      </c>
      <c r="D2111" t="str">
        <f>VLOOKUP(B2111,ERA_MOTIF_TYPES.csv!$A$1:$C$119,2,1)</f>
        <v>Bowls</v>
      </c>
      <c r="E2111" t="str">
        <f>VLOOKUP(A2111,Panels!$A$1:$E$2104,5,0)</f>
        <v>Caller Crag</v>
      </c>
    </row>
    <row r="2112">
      <c r="A2112" s="3">
        <v>587.0</v>
      </c>
      <c r="B2112" s="3">
        <v>93.0</v>
      </c>
      <c r="C2112" s="3">
        <v>1.0</v>
      </c>
      <c r="D2112" t="str">
        <f>VLOOKUP(B2112,ERA_MOTIF_TYPES.csv!$A$1:$C$119,2,1)</f>
        <v>Midget cup</v>
      </c>
      <c r="E2112" t="str">
        <f>VLOOKUP(A2112,Panels!$A$1:$E$2104,5,0)</f>
        <v>Caller Crag</v>
      </c>
    </row>
    <row r="2113">
      <c r="A2113" s="3">
        <v>587.0</v>
      </c>
      <c r="B2113" s="3">
        <v>94.0</v>
      </c>
      <c r="C2113" s="3">
        <v>1.0</v>
      </c>
      <c r="D2113" t="str">
        <f>VLOOKUP(B2113,ERA_MOTIF_TYPES.csv!$A$1:$C$119,2,1)</f>
        <v>Basin</v>
      </c>
      <c r="E2113" t="str">
        <f>VLOOKUP(A2113,Panels!$A$1:$E$2104,5,0)</f>
        <v>Caller Crag</v>
      </c>
    </row>
    <row r="2114">
      <c r="A2114" s="3">
        <v>588.0</v>
      </c>
      <c r="B2114" s="3">
        <v>52.0</v>
      </c>
      <c r="C2114" s="3">
        <v>1.0</v>
      </c>
      <c r="D2114" t="str">
        <f>VLOOKUP(B2114,ERA_MOTIF_TYPES.csv!$A$1:$C$119,2,1)</f>
        <v>Single or multiple cups</v>
      </c>
      <c r="E2114" t="str">
        <f>VLOOKUP(A2114,Panels!$A$1:$E$2104,5,0)</f>
        <v>Caller Crag</v>
      </c>
    </row>
    <row r="2115">
      <c r="A2115" s="3">
        <v>590.0</v>
      </c>
      <c r="B2115" s="3">
        <v>3.0</v>
      </c>
      <c r="C2115" s="3">
        <v>1.0</v>
      </c>
      <c r="D2115" t="str">
        <f>VLOOKUP(B2115,ERA_MOTIF_TYPES.csv!$A$1:$C$119,2,1)</f>
        <v>Parallel Domino</v>
      </c>
      <c r="E2115" t="str">
        <f>VLOOKUP(A2115,Panels!$A$1:$E$2104,5,0)</f>
        <v>Lamp Hill</v>
      </c>
    </row>
    <row r="2116">
      <c r="A2116" s="3">
        <v>590.0</v>
      </c>
      <c r="B2116" s="3">
        <v>53.0</v>
      </c>
      <c r="C2116" s="3">
        <v>1.0</v>
      </c>
      <c r="D2116" t="str">
        <f>VLOOKUP(B2116,ERA_MOTIF_TYPES.csv!$A$1:$C$119,2,1)</f>
        <v>Domino patterns and parallel lines</v>
      </c>
      <c r="E2116" t="str">
        <f>VLOOKUP(A2116,Panels!$A$1:$E$2104,5,0)</f>
        <v>Lamp Hill</v>
      </c>
    </row>
    <row r="2117">
      <c r="A2117" s="3">
        <v>591.0</v>
      </c>
      <c r="B2117" s="3">
        <v>51.0</v>
      </c>
      <c r="C2117" s="3">
        <v>3.0</v>
      </c>
      <c r="D2117" t="str">
        <f>VLOOKUP(B2117,ERA_MOTIF_TYPES.csv!$A$1:$C$119,2,1)</f>
        <v>Bowls</v>
      </c>
      <c r="E2117" t="str">
        <f>VLOOKUP(A2117,Panels!$A$1:$E$2104,5,0)</f>
        <v>Lamp Hill</v>
      </c>
    </row>
    <row r="2118">
      <c r="A2118" s="3">
        <v>591.0</v>
      </c>
      <c r="B2118" s="3">
        <v>52.0</v>
      </c>
      <c r="C2118" s="3">
        <v>2.0</v>
      </c>
      <c r="D2118" t="str">
        <f>VLOOKUP(B2118,ERA_MOTIF_TYPES.csv!$A$1:$C$119,2,1)</f>
        <v>Single or multiple cups</v>
      </c>
      <c r="E2118" t="str">
        <f>VLOOKUP(A2118,Panels!$A$1:$E$2104,5,0)</f>
        <v>Lamp Hill</v>
      </c>
    </row>
    <row r="2119">
      <c r="A2119" s="3">
        <v>591.0</v>
      </c>
      <c r="B2119" s="3">
        <v>94.0</v>
      </c>
      <c r="C2119" s="3">
        <v>1.0</v>
      </c>
      <c r="D2119" t="str">
        <f>VLOOKUP(B2119,ERA_MOTIF_TYPES.csv!$A$1:$C$119,2,1)</f>
        <v>Basin</v>
      </c>
      <c r="E2119" t="str">
        <f>VLOOKUP(A2119,Panels!$A$1:$E$2104,5,0)</f>
        <v>Lamp Hill</v>
      </c>
    </row>
    <row r="2120">
      <c r="A2120" s="3">
        <v>592.0</v>
      </c>
      <c r="B2120" s="3">
        <v>51.0</v>
      </c>
      <c r="C2120" s="3">
        <v>2.0</v>
      </c>
      <c r="D2120" t="str">
        <f>VLOOKUP(B2120,ERA_MOTIF_TYPES.csv!$A$1:$C$119,2,1)</f>
        <v>Bowls</v>
      </c>
      <c r="E2120" t="str">
        <f>VLOOKUP(A2120,Panels!$A$1:$E$2104,5,0)</f>
        <v>Lamp Hill</v>
      </c>
    </row>
    <row r="2121">
      <c r="A2121" s="3">
        <v>592.0</v>
      </c>
      <c r="B2121" s="3">
        <v>52.0</v>
      </c>
      <c r="C2121" s="3">
        <v>1.0</v>
      </c>
      <c r="D2121" t="str">
        <f>VLOOKUP(B2121,ERA_MOTIF_TYPES.csv!$A$1:$C$119,2,1)</f>
        <v>Single or multiple cups</v>
      </c>
      <c r="E2121" t="str">
        <f>VLOOKUP(A2121,Panels!$A$1:$E$2104,5,0)</f>
        <v>Lamp Hill</v>
      </c>
    </row>
    <row r="2122">
      <c r="A2122" s="3">
        <v>592.0</v>
      </c>
      <c r="B2122" s="3">
        <v>93.0</v>
      </c>
      <c r="C2122" s="3">
        <v>1.0</v>
      </c>
      <c r="D2122" t="str">
        <f>VLOOKUP(B2122,ERA_MOTIF_TYPES.csv!$A$1:$C$119,2,1)</f>
        <v>Midget cup</v>
      </c>
      <c r="E2122" t="str">
        <f>VLOOKUP(A2122,Panels!$A$1:$E$2104,5,0)</f>
        <v>Lamp Hill</v>
      </c>
    </row>
    <row r="2123">
      <c r="A2123" s="3">
        <v>593.0</v>
      </c>
      <c r="B2123" s="3">
        <v>1.0</v>
      </c>
      <c r="C2123" s="3">
        <v>4.0</v>
      </c>
      <c r="D2123" t="str">
        <f>VLOOKUP(B2123,ERA_MOTIF_TYPES.csv!$A$1:$C$119,2,1)</f>
        <v>Cups Single</v>
      </c>
      <c r="E2123" t="str">
        <f>VLOOKUP(A2123,Panels!$A$1:$E$2104,5,0)</f>
        <v>Rough Castles</v>
      </c>
    </row>
    <row r="2124">
      <c r="A2124" s="3">
        <v>593.0</v>
      </c>
      <c r="B2124" s="3">
        <v>13.0</v>
      </c>
      <c r="C2124" s="3">
        <v>1.0</v>
      </c>
      <c r="D2124" t="str">
        <f>VLOOKUP(B2124,ERA_MOTIF_TYPES.csv!$A$1:$C$119,2,1)</f>
        <v>Single Ring + cup</v>
      </c>
      <c r="E2124" t="str">
        <f>VLOOKUP(A2124,Panels!$A$1:$E$2104,5,0)</f>
        <v>Rough Castles</v>
      </c>
    </row>
    <row r="2125">
      <c r="A2125" s="3">
        <v>593.0</v>
      </c>
      <c r="B2125" s="3">
        <v>14.0</v>
      </c>
      <c r="C2125" s="3">
        <v>1.0</v>
      </c>
      <c r="D2125" t="str">
        <f>VLOOKUP(B2125,ERA_MOTIF_TYPES.csv!$A$1:$C$119,2,1)</f>
        <v>Multi Ring + cup</v>
      </c>
      <c r="E2125" t="str">
        <f>VLOOKUP(A2125,Panels!$A$1:$E$2104,5,0)</f>
        <v>Rough Castles</v>
      </c>
    </row>
    <row r="2126">
      <c r="A2126" s="3">
        <v>594.0</v>
      </c>
      <c r="B2126" s="3">
        <v>1.0</v>
      </c>
      <c r="C2126" s="3">
        <v>3.0</v>
      </c>
      <c r="D2126" t="str">
        <f>VLOOKUP(B2126,ERA_MOTIF_TYPES.csv!$A$1:$C$119,2,1)</f>
        <v>Cups Single</v>
      </c>
      <c r="E2126" t="str">
        <f>VLOOKUP(A2126,Panels!$A$1:$E$2104,5,0)</f>
        <v>Rough Castles</v>
      </c>
    </row>
    <row r="2127">
      <c r="A2127" s="3">
        <v>594.0</v>
      </c>
      <c r="B2127" s="3">
        <v>55.0</v>
      </c>
      <c r="C2127" s="3">
        <v>1.0</v>
      </c>
      <c r="D2127" t="str">
        <f>VLOOKUP(B2127,ERA_MOTIF_TYPES.csv!$A$1:$C$119,2,1)</f>
        <v>Cups in a straight or curved line</v>
      </c>
      <c r="E2127" t="str">
        <f>VLOOKUP(A2127,Panels!$A$1:$E$2104,5,0)</f>
        <v>Rough Castles</v>
      </c>
    </row>
    <row r="2128">
      <c r="A2128" s="3">
        <v>595.0</v>
      </c>
      <c r="B2128" s="3">
        <v>1.0</v>
      </c>
      <c r="C2128" s="3">
        <v>2.0</v>
      </c>
      <c r="D2128" t="str">
        <f>VLOOKUP(B2128,ERA_MOTIF_TYPES.csv!$A$1:$C$119,2,1)</f>
        <v>Cups Single</v>
      </c>
      <c r="E2128" t="str">
        <f>VLOOKUP(A2128,Panels!$A$1:$E$2104,5,0)</f>
        <v>Rough Castles</v>
      </c>
    </row>
    <row r="2129">
      <c r="A2129" s="3">
        <v>595.0</v>
      </c>
      <c r="B2129" s="3">
        <v>52.0</v>
      </c>
      <c r="C2129" s="3">
        <v>6.0</v>
      </c>
      <c r="D2129" t="str">
        <f>VLOOKUP(B2129,ERA_MOTIF_TYPES.csv!$A$1:$C$119,2,1)</f>
        <v>Single or multiple cups</v>
      </c>
      <c r="E2129" t="str">
        <f>VLOOKUP(A2129,Panels!$A$1:$E$2104,5,0)</f>
        <v>Rough Castles</v>
      </c>
    </row>
    <row r="2130">
      <c r="A2130" s="3">
        <v>596.0</v>
      </c>
      <c r="B2130" s="3">
        <v>1.0</v>
      </c>
      <c r="C2130" s="3">
        <v>1.0</v>
      </c>
      <c r="D2130" t="str">
        <f>VLOOKUP(B2130,ERA_MOTIF_TYPES.csv!$A$1:$C$119,2,1)</f>
        <v>Cups Single</v>
      </c>
      <c r="E2130" t="str">
        <f>VLOOKUP(A2130,Panels!$A$1:$E$2104,5,0)</f>
        <v>Rough Castles</v>
      </c>
    </row>
    <row r="2131">
      <c r="A2131" s="3">
        <v>596.0</v>
      </c>
      <c r="B2131" s="3">
        <v>52.0</v>
      </c>
      <c r="C2131" s="3">
        <v>4.0</v>
      </c>
      <c r="D2131" t="str">
        <f>VLOOKUP(B2131,ERA_MOTIF_TYPES.csv!$A$1:$C$119,2,1)</f>
        <v>Single or multiple cups</v>
      </c>
      <c r="E2131" t="str">
        <f>VLOOKUP(A2131,Panels!$A$1:$E$2104,5,0)</f>
        <v>Rough Castles</v>
      </c>
    </row>
    <row r="2132">
      <c r="A2132" s="3">
        <v>597.0</v>
      </c>
      <c r="B2132" s="3">
        <v>1.0</v>
      </c>
      <c r="C2132" s="3">
        <v>2.0</v>
      </c>
      <c r="D2132" t="str">
        <f>VLOOKUP(B2132,ERA_MOTIF_TYPES.csv!$A$1:$C$119,2,1)</f>
        <v>Cups Single</v>
      </c>
      <c r="E2132" t="str">
        <f>VLOOKUP(A2132,Panels!$A$1:$E$2104,5,0)</f>
        <v>Rough Castles</v>
      </c>
    </row>
    <row r="2133">
      <c r="A2133" s="3">
        <v>597.0</v>
      </c>
      <c r="B2133" s="3">
        <v>52.0</v>
      </c>
      <c r="C2133" s="3">
        <v>2.0</v>
      </c>
      <c r="D2133" t="str">
        <f>VLOOKUP(B2133,ERA_MOTIF_TYPES.csv!$A$1:$C$119,2,1)</f>
        <v>Single or multiple cups</v>
      </c>
      <c r="E2133" t="str">
        <f>VLOOKUP(A2133,Panels!$A$1:$E$2104,5,0)</f>
        <v>Rough Castles</v>
      </c>
    </row>
    <row r="2134">
      <c r="A2134" s="3">
        <v>598.0</v>
      </c>
      <c r="B2134" s="3">
        <v>1.0</v>
      </c>
      <c r="C2134" s="3">
        <v>3.0</v>
      </c>
      <c r="D2134" t="str">
        <f>VLOOKUP(B2134,ERA_MOTIF_TYPES.csv!$A$1:$C$119,2,1)</f>
        <v>Cups Single</v>
      </c>
      <c r="E2134" t="str">
        <f>VLOOKUP(A2134,Panels!$A$1:$E$2104,5,0)</f>
        <v>Midstead</v>
      </c>
    </row>
    <row r="2135">
      <c r="A2135" s="3">
        <v>598.0</v>
      </c>
      <c r="B2135" s="3">
        <v>13.0</v>
      </c>
      <c r="C2135" s="3">
        <v>3.0</v>
      </c>
      <c r="D2135" t="str">
        <f>VLOOKUP(B2135,ERA_MOTIF_TYPES.csv!$A$1:$C$119,2,1)</f>
        <v>Single Ring + cup</v>
      </c>
      <c r="E2135" t="str">
        <f>VLOOKUP(A2135,Panels!$A$1:$E$2104,5,0)</f>
        <v>Midstead</v>
      </c>
    </row>
    <row r="2136">
      <c r="A2136" s="3">
        <v>598.0</v>
      </c>
      <c r="B2136" s="3">
        <v>14.0</v>
      </c>
      <c r="C2136" s="3">
        <v>1.0</v>
      </c>
      <c r="D2136" t="str">
        <f>VLOOKUP(B2136,ERA_MOTIF_TYPES.csv!$A$1:$C$119,2,1)</f>
        <v>Multi Ring + cup</v>
      </c>
      <c r="E2136" t="str">
        <f>VLOOKUP(A2136,Panels!$A$1:$E$2104,5,0)</f>
        <v>Midstead</v>
      </c>
    </row>
    <row r="2137">
      <c r="A2137" s="3">
        <v>598.0</v>
      </c>
      <c r="B2137" s="3">
        <v>32.0</v>
      </c>
      <c r="C2137" s="3">
        <v>1.0</v>
      </c>
      <c r="D2137" t="str">
        <f>VLOOKUP(B2137,ERA_MOTIF_TYPES.csv!$A$1:$C$119,2,1)</f>
        <v>Cup Groove and single ring</v>
      </c>
      <c r="E2137" t="str">
        <f>VLOOKUP(A2137,Panels!$A$1:$E$2104,5,0)</f>
        <v>Midstead</v>
      </c>
    </row>
    <row r="2138">
      <c r="A2138" s="3">
        <v>598.0</v>
      </c>
      <c r="B2138" s="3">
        <v>33.0</v>
      </c>
      <c r="C2138" s="3">
        <v>1.0</v>
      </c>
      <c r="D2138" t="str">
        <f>VLOOKUP(B2138,ERA_MOTIF_TYPES.csv!$A$1:$C$119,2,1)</f>
        <v>Cup Groove and multi ring</v>
      </c>
      <c r="E2138" t="str">
        <f>VLOOKUP(A2138,Panels!$A$1:$E$2104,5,0)</f>
        <v>Midstead</v>
      </c>
    </row>
    <row r="2139">
      <c r="A2139" s="3">
        <v>598.0</v>
      </c>
      <c r="B2139" s="3">
        <v>57.0</v>
      </c>
      <c r="C2139" s="3">
        <v>3.0</v>
      </c>
      <c r="D2139" t="str">
        <f>VLOOKUP(B2139,ERA_MOTIF_TYPES.csv!$A$1:$C$119,2,1)</f>
        <v>Cup and ring</v>
      </c>
      <c r="E2139" t="str">
        <f>VLOOKUP(A2139,Panels!$A$1:$E$2104,5,0)</f>
        <v>Midstead</v>
      </c>
    </row>
    <row r="2140">
      <c r="A2140" s="3">
        <v>598.0</v>
      </c>
      <c r="B2140" s="3">
        <v>64.0</v>
      </c>
      <c r="C2140" s="3">
        <v>1.0</v>
      </c>
      <c r="D2140" t="str">
        <f>VLOOKUP(B2140,ERA_MOTIF_TYPES.csv!$A$1:$C$119,2,1)</f>
        <v>Cup with groove cutting through multiple rings</v>
      </c>
      <c r="E2140" t="str">
        <f>VLOOKUP(A2140,Panels!$A$1:$E$2104,5,0)</f>
        <v>Midstead</v>
      </c>
    </row>
    <row r="2141">
      <c r="A2141" s="3">
        <v>598.0</v>
      </c>
      <c r="B2141" s="3">
        <v>107.0</v>
      </c>
      <c r="C2141" s="3">
        <v>4.0</v>
      </c>
      <c r="D2141" t="str">
        <f>VLOOKUP(B2141,ERA_MOTIF_TYPES.csv!$A$1:$C$119,2,1)</f>
        <v>Cup and ring with exterior groove</v>
      </c>
      <c r="E2141" t="str">
        <f>VLOOKUP(A2141,Panels!$A$1:$E$2104,5,0)</f>
        <v>Midstead</v>
      </c>
    </row>
    <row r="2142">
      <c r="A2142" s="3">
        <v>599.0</v>
      </c>
      <c r="B2142" s="3">
        <v>1.0</v>
      </c>
      <c r="C2142" s="3">
        <v>35.0</v>
      </c>
      <c r="D2142" t="str">
        <f>VLOOKUP(B2142,ERA_MOTIF_TYPES.csv!$A$1:$C$119,2,1)</f>
        <v>Cups Single</v>
      </c>
      <c r="E2142" t="str">
        <f>VLOOKUP(A2142,Panels!$A$1:$E$2104,5,0)</f>
        <v>Midstead</v>
      </c>
    </row>
    <row r="2143">
      <c r="A2143" s="3">
        <v>599.0</v>
      </c>
      <c r="B2143" s="3">
        <v>52.0</v>
      </c>
      <c r="C2143" s="3">
        <v>33.0</v>
      </c>
      <c r="D2143" t="str">
        <f>VLOOKUP(B2143,ERA_MOTIF_TYPES.csv!$A$1:$C$119,2,1)</f>
        <v>Single or multiple cups</v>
      </c>
      <c r="E2143" t="str">
        <f>VLOOKUP(A2143,Panels!$A$1:$E$2104,5,0)</f>
        <v>Midstead</v>
      </c>
    </row>
    <row r="2144">
      <c r="A2144" s="3">
        <v>599.0</v>
      </c>
      <c r="B2144" s="3">
        <v>105.0</v>
      </c>
      <c r="C2144" s="3">
        <v>1.0</v>
      </c>
      <c r="D2144" t="str">
        <f>VLOOKUP(B2144,ERA_MOTIF_TYPES.csv!$A$1:$C$119,2,1)</f>
        <v>Two cups linked by a groove</v>
      </c>
      <c r="E2144" t="str">
        <f>VLOOKUP(A2144,Panels!$A$1:$E$2104,5,0)</f>
        <v>Midstead</v>
      </c>
    </row>
    <row r="2145">
      <c r="A2145" s="3">
        <v>600.0</v>
      </c>
      <c r="B2145" s="3">
        <v>1.0</v>
      </c>
      <c r="C2145" s="3">
        <v>13.0</v>
      </c>
      <c r="D2145" t="str">
        <f>VLOOKUP(B2145,ERA_MOTIF_TYPES.csv!$A$1:$C$119,2,1)</f>
        <v>Cups Single</v>
      </c>
      <c r="E2145" t="str">
        <f>VLOOKUP(A2145,Panels!$A$1:$E$2104,5,0)</f>
        <v>Midstead</v>
      </c>
    </row>
    <row r="2146">
      <c r="A2146" s="3">
        <v>600.0</v>
      </c>
      <c r="B2146" s="3">
        <v>52.0</v>
      </c>
      <c r="C2146" s="3">
        <v>24.0</v>
      </c>
      <c r="D2146" t="str">
        <f>VLOOKUP(B2146,ERA_MOTIF_TYPES.csv!$A$1:$C$119,2,1)</f>
        <v>Single or multiple cups</v>
      </c>
      <c r="E2146" t="str">
        <f>VLOOKUP(A2146,Panels!$A$1:$E$2104,5,0)</f>
        <v>Midstead</v>
      </c>
    </row>
    <row r="2147">
      <c r="A2147" s="3">
        <v>600.0</v>
      </c>
      <c r="B2147" s="3">
        <v>103.0</v>
      </c>
      <c r="C2147" s="3">
        <v>1.0</v>
      </c>
      <c r="D2147" t="str">
        <f>VLOOKUP(B2147,ERA_MOTIF_TYPES.csv!$A$1:$C$119,2,1)</f>
        <v>Cup and groove</v>
      </c>
      <c r="E2147" t="str">
        <f>VLOOKUP(A2147,Panels!$A$1:$E$2104,5,0)</f>
        <v>Midstead</v>
      </c>
    </row>
    <row r="2148">
      <c r="A2148" s="3">
        <v>600.0</v>
      </c>
      <c r="B2148" s="3">
        <v>105.0</v>
      </c>
      <c r="C2148" s="3">
        <v>1.0</v>
      </c>
      <c r="D2148" t="str">
        <f>VLOOKUP(B2148,ERA_MOTIF_TYPES.csv!$A$1:$C$119,2,1)</f>
        <v>Two cups linked by a groove</v>
      </c>
      <c r="E2148" t="str">
        <f>VLOOKUP(A2148,Panels!$A$1:$E$2104,5,0)</f>
        <v>Midstead</v>
      </c>
    </row>
    <row r="2149">
      <c r="A2149" s="3">
        <v>601.0</v>
      </c>
      <c r="B2149" s="3">
        <v>1.0</v>
      </c>
      <c r="C2149" s="3">
        <v>1.0</v>
      </c>
      <c r="D2149" t="str">
        <f>VLOOKUP(B2149,ERA_MOTIF_TYPES.csv!$A$1:$C$119,2,1)</f>
        <v>Cups Single</v>
      </c>
      <c r="E2149" t="str">
        <f>VLOOKUP(A2149,Panels!$A$1:$E$2104,5,0)</f>
        <v>Midstead</v>
      </c>
    </row>
    <row r="2150">
      <c r="A2150" s="3">
        <v>601.0</v>
      </c>
      <c r="B2150" s="3">
        <v>52.0</v>
      </c>
      <c r="C2150" s="3">
        <v>1.0</v>
      </c>
      <c r="D2150" t="str">
        <f>VLOOKUP(B2150,ERA_MOTIF_TYPES.csv!$A$1:$C$119,2,1)</f>
        <v>Single or multiple cups</v>
      </c>
      <c r="E2150" t="str">
        <f>VLOOKUP(A2150,Panels!$A$1:$E$2104,5,0)</f>
        <v>Midstead</v>
      </c>
    </row>
    <row r="2151">
      <c r="A2151" s="3">
        <v>601.0</v>
      </c>
      <c r="B2151" s="3">
        <v>100.0</v>
      </c>
      <c r="C2151" s="3">
        <v>1.0</v>
      </c>
      <c r="D2151" t="str">
        <f>VLOOKUP(B2151,ERA_MOTIF_TYPES.csv!$A$1:$C$119,2,1)</f>
        <v>Pick marks</v>
      </c>
      <c r="E2151" t="str">
        <f>VLOOKUP(A2151,Panels!$A$1:$E$2104,5,0)</f>
        <v>Midstead</v>
      </c>
    </row>
    <row r="2152">
      <c r="A2152" s="3">
        <v>602.0</v>
      </c>
      <c r="B2152" s="3">
        <v>51.0</v>
      </c>
      <c r="C2152" s="3">
        <v>1.0</v>
      </c>
      <c r="D2152" t="str">
        <f>VLOOKUP(B2152,ERA_MOTIF_TYPES.csv!$A$1:$C$119,2,1)</f>
        <v>Bowls</v>
      </c>
      <c r="E2152" t="str">
        <f>VLOOKUP(A2152,Panels!$A$1:$E$2104,5,0)</f>
        <v>Midstead</v>
      </c>
    </row>
    <row r="2153">
      <c r="A2153" s="3">
        <v>602.0</v>
      </c>
      <c r="B2153" s="3">
        <v>52.0</v>
      </c>
      <c r="C2153" s="3">
        <v>9.0</v>
      </c>
      <c r="D2153" t="str">
        <f>VLOOKUP(B2153,ERA_MOTIF_TYPES.csv!$A$1:$C$119,2,1)</f>
        <v>Single or multiple cups</v>
      </c>
      <c r="E2153" t="str">
        <f>VLOOKUP(A2153,Panels!$A$1:$E$2104,5,0)</f>
        <v>Midstead</v>
      </c>
    </row>
    <row r="2154">
      <c r="A2154" s="3">
        <v>602.0</v>
      </c>
      <c r="B2154" s="3">
        <v>105.0</v>
      </c>
      <c r="C2154" s="3">
        <v>3.0</v>
      </c>
      <c r="D2154" t="str">
        <f>VLOOKUP(B2154,ERA_MOTIF_TYPES.csv!$A$1:$C$119,2,1)</f>
        <v>Two cups linked by a groove</v>
      </c>
      <c r="E2154" t="str">
        <f>VLOOKUP(A2154,Panels!$A$1:$E$2104,5,0)</f>
        <v>Midstead</v>
      </c>
    </row>
    <row r="2155">
      <c r="A2155" s="3">
        <v>603.0</v>
      </c>
      <c r="B2155" s="3">
        <v>1.0</v>
      </c>
      <c r="C2155" s="3">
        <v>5.0</v>
      </c>
      <c r="D2155" t="str">
        <f>VLOOKUP(B2155,ERA_MOTIF_TYPES.csv!$A$1:$C$119,2,1)</f>
        <v>Cups Single</v>
      </c>
      <c r="E2155" t="str">
        <f>VLOOKUP(A2155,Panels!$A$1:$E$2104,5,0)</f>
        <v>Powburn</v>
      </c>
    </row>
    <row r="2156">
      <c r="A2156" s="3">
        <v>603.0</v>
      </c>
      <c r="B2156" s="3">
        <v>13.0</v>
      </c>
      <c r="C2156" s="3">
        <v>2.0</v>
      </c>
      <c r="D2156" t="str">
        <f>VLOOKUP(B2156,ERA_MOTIF_TYPES.csv!$A$1:$C$119,2,1)</f>
        <v>Single Ring + cup</v>
      </c>
      <c r="E2156" t="str">
        <f>VLOOKUP(A2156,Panels!$A$1:$E$2104,5,0)</f>
        <v>Powburn</v>
      </c>
    </row>
    <row r="2157">
      <c r="A2157" s="3">
        <v>603.0</v>
      </c>
      <c r="B2157" s="3">
        <v>14.0</v>
      </c>
      <c r="C2157" s="3">
        <v>1.0</v>
      </c>
      <c r="D2157" t="str">
        <f>VLOOKUP(B2157,ERA_MOTIF_TYPES.csv!$A$1:$C$119,2,1)</f>
        <v>Multi Ring + cup</v>
      </c>
      <c r="E2157" t="str">
        <f>VLOOKUP(A2157,Panels!$A$1:$E$2104,5,0)</f>
        <v>Powburn</v>
      </c>
    </row>
    <row r="2158">
      <c r="A2158" s="3">
        <v>603.0</v>
      </c>
      <c r="B2158" s="3">
        <v>52.0</v>
      </c>
      <c r="C2158" s="3">
        <v>36.0</v>
      </c>
      <c r="D2158" t="str">
        <f>VLOOKUP(B2158,ERA_MOTIF_TYPES.csv!$A$1:$C$119,2,1)</f>
        <v>Single or multiple cups</v>
      </c>
      <c r="E2158" t="str">
        <f>VLOOKUP(A2158,Panels!$A$1:$E$2104,5,0)</f>
        <v>Powburn</v>
      </c>
    </row>
    <row r="2159">
      <c r="A2159" s="3">
        <v>603.0</v>
      </c>
      <c r="B2159" s="3">
        <v>55.0</v>
      </c>
      <c r="C2159" s="3">
        <v>1.0</v>
      </c>
      <c r="D2159" t="str">
        <f>VLOOKUP(B2159,ERA_MOTIF_TYPES.csv!$A$1:$C$119,2,1)</f>
        <v>Cups in a straight or curved line</v>
      </c>
      <c r="E2159" t="str">
        <f>VLOOKUP(A2159,Panels!$A$1:$E$2104,5,0)</f>
        <v>Powburn</v>
      </c>
    </row>
    <row r="2160">
      <c r="A2160" s="3">
        <v>603.0</v>
      </c>
      <c r="B2160" s="3">
        <v>57.0</v>
      </c>
      <c r="C2160" s="3">
        <v>3.0</v>
      </c>
      <c r="D2160" t="str">
        <f>VLOOKUP(B2160,ERA_MOTIF_TYPES.csv!$A$1:$C$119,2,1)</f>
        <v>Cup and ring</v>
      </c>
      <c r="E2160" t="str">
        <f>VLOOKUP(A2160,Panels!$A$1:$E$2104,5,0)</f>
        <v>Powburn</v>
      </c>
    </row>
    <row r="2161">
      <c r="A2161" s="3">
        <v>603.0</v>
      </c>
      <c r="B2161" s="3">
        <v>58.0</v>
      </c>
      <c r="C2161" s="3">
        <v>1.0</v>
      </c>
      <c r="D2161" t="str">
        <f>VLOOKUP(B2161,ERA_MOTIF_TYPES.csv!$A$1:$C$119,2,1)</f>
        <v>Cup and multiple rings</v>
      </c>
      <c r="E2161" t="str">
        <f>VLOOKUP(A2161,Panels!$A$1:$E$2104,5,0)</f>
        <v>Powburn</v>
      </c>
    </row>
    <row r="2162">
      <c r="A2162" s="3">
        <v>603.0</v>
      </c>
      <c r="B2162" s="3">
        <v>87.0</v>
      </c>
      <c r="C2162" s="3">
        <v>2.0</v>
      </c>
      <c r="D2162" t="str">
        <f>VLOOKUP(B2162,ERA_MOTIF_TYPES.csv!$A$1:$C$119,2,1)</f>
        <v>Linear and angular groove</v>
      </c>
      <c r="E2162" t="str">
        <f>VLOOKUP(A2162,Panels!$A$1:$E$2104,5,0)</f>
        <v>Powburn</v>
      </c>
    </row>
    <row r="2163">
      <c r="A2163" s="3">
        <v>603.0</v>
      </c>
      <c r="B2163" s="3">
        <v>90.0</v>
      </c>
      <c r="C2163" s="3">
        <v>1.0</v>
      </c>
      <c r="D2163" t="str">
        <f>VLOOKUP(B2163,ERA_MOTIF_TYPES.csv!$A$1:$C$119,2,1)</f>
        <v>Serpentine groove</v>
      </c>
      <c r="E2163" t="str">
        <f>VLOOKUP(A2163,Panels!$A$1:$E$2104,5,0)</f>
        <v>Powburn</v>
      </c>
    </row>
    <row r="2164">
      <c r="A2164" s="3">
        <v>603.0</v>
      </c>
      <c r="B2164" s="3">
        <v>103.0</v>
      </c>
      <c r="C2164" s="3">
        <v>3.0</v>
      </c>
      <c r="D2164" t="str">
        <f>VLOOKUP(B2164,ERA_MOTIF_TYPES.csv!$A$1:$C$119,2,1)</f>
        <v>Cup and groove</v>
      </c>
      <c r="E2164" t="str">
        <f>VLOOKUP(A2164,Panels!$A$1:$E$2104,5,0)</f>
        <v>Powburn</v>
      </c>
    </row>
    <row r="2165">
      <c r="A2165" s="3">
        <v>604.0</v>
      </c>
      <c r="B2165" s="3">
        <v>39.0</v>
      </c>
      <c r="C2165" s="3">
        <v>1.0</v>
      </c>
      <c r="D2165" t="str">
        <f>VLOOKUP(B2165,ERA_MOTIF_TYPES.csv!$A$1:$C$119,2,1)</f>
        <v>Spiral Right</v>
      </c>
      <c r="E2165" t="str">
        <f>VLOOKUP(A2165,Panels!$A$1:$E$2104,5,0)</f>
        <v>Morwick</v>
      </c>
    </row>
    <row r="2166">
      <c r="A2166" s="3">
        <v>604.0</v>
      </c>
      <c r="B2166" s="3">
        <v>40.0</v>
      </c>
      <c r="C2166" s="3">
        <v>1.0</v>
      </c>
      <c r="D2166" t="str">
        <f>VLOOKUP(B2166,ERA_MOTIF_TYPES.csv!$A$1:$C$119,2,1)</f>
        <v>Spiral Running</v>
      </c>
      <c r="E2166" t="str">
        <f>VLOOKUP(A2166,Panels!$A$1:$E$2104,5,0)</f>
        <v>Morwick</v>
      </c>
    </row>
    <row r="2167">
      <c r="A2167" s="3">
        <v>604.0</v>
      </c>
      <c r="B2167" s="3">
        <v>70.0</v>
      </c>
      <c r="C2167" s="3">
        <v>1.0</v>
      </c>
      <c r="D2167" t="str">
        <f>VLOOKUP(B2167,ERA_MOTIF_TYPES.csv!$A$1:$C$119,2,1)</f>
        <v>Concentric rings</v>
      </c>
      <c r="E2167" t="str">
        <f>VLOOKUP(A2167,Panels!$A$1:$E$2104,5,0)</f>
        <v>Morwick</v>
      </c>
    </row>
    <row r="2168">
      <c r="A2168" s="3">
        <v>604.0</v>
      </c>
      <c r="B2168" s="3">
        <v>87.0</v>
      </c>
      <c r="C2168" s="3">
        <v>2.0</v>
      </c>
      <c r="D2168" t="str">
        <f>VLOOKUP(B2168,ERA_MOTIF_TYPES.csv!$A$1:$C$119,2,1)</f>
        <v>Linear and angular groove</v>
      </c>
      <c r="E2168" t="str">
        <f>VLOOKUP(A2168,Panels!$A$1:$E$2104,5,0)</f>
        <v>Morwick</v>
      </c>
    </row>
    <row r="2169">
      <c r="A2169" s="3">
        <v>604.0</v>
      </c>
      <c r="B2169" s="3">
        <v>97.0</v>
      </c>
      <c r="C2169" s="3">
        <v>1.0</v>
      </c>
      <c r="D2169" t="str">
        <f>VLOOKUP(B2169,ERA_MOTIF_TYPES.csv!$A$1:$C$119,2,1)</f>
        <v>Horned spiral</v>
      </c>
      <c r="E2169" t="str">
        <f>VLOOKUP(A2169,Panels!$A$1:$E$2104,5,0)</f>
        <v>Morwick</v>
      </c>
    </row>
    <row r="2170">
      <c r="A2170" s="3">
        <v>604.0</v>
      </c>
      <c r="B2170" s="3">
        <v>98.0</v>
      </c>
      <c r="C2170" s="3">
        <v>2.0</v>
      </c>
      <c r="D2170" t="str">
        <f>VLOOKUP(B2170,ERA_MOTIF_TYPES.csv!$A$1:$C$119,2,1)</f>
        <v>Left hand spiral</v>
      </c>
      <c r="E2170" t="str">
        <f>VLOOKUP(A2170,Panels!$A$1:$E$2104,5,0)</f>
        <v>Morwick</v>
      </c>
    </row>
    <row r="2171">
      <c r="A2171" s="3">
        <v>604.0</v>
      </c>
      <c r="B2171" s="3">
        <v>99.0</v>
      </c>
      <c r="C2171" s="3">
        <v>3.0</v>
      </c>
      <c r="D2171" t="str">
        <f>VLOOKUP(B2171,ERA_MOTIF_TYPES.csv!$A$1:$C$119,2,1)</f>
        <v>Right hand spiral</v>
      </c>
      <c r="E2171" t="str">
        <f>VLOOKUP(A2171,Panels!$A$1:$E$2104,5,0)</f>
        <v>Morwick</v>
      </c>
    </row>
    <row r="2172">
      <c r="A2172" s="3">
        <v>604.0</v>
      </c>
      <c r="B2172" s="3">
        <v>100.0</v>
      </c>
      <c r="C2172" s="3">
        <v>1.0</v>
      </c>
      <c r="D2172" t="str">
        <f>VLOOKUP(B2172,ERA_MOTIF_TYPES.csv!$A$1:$C$119,2,1)</f>
        <v>Pick marks</v>
      </c>
      <c r="E2172" t="str">
        <f>VLOOKUP(A2172,Panels!$A$1:$E$2104,5,0)</f>
        <v>Morwick</v>
      </c>
    </row>
    <row r="2173">
      <c r="A2173" s="3">
        <v>604.0</v>
      </c>
      <c r="B2173" s="3">
        <v>114.0</v>
      </c>
      <c r="C2173" s="3">
        <v>1.0</v>
      </c>
      <c r="D2173" t="str">
        <f>VLOOKUP(B2173,ERA_MOTIF_TYPES.csv!$A$1:$C$119,2,1)</f>
        <v>S shaped spiral</v>
      </c>
      <c r="E2173" t="str">
        <f>VLOOKUP(A2173,Panels!$A$1:$E$2104,5,0)</f>
        <v>Morwick</v>
      </c>
    </row>
    <row r="2174">
      <c r="A2174" s="3">
        <v>605.0</v>
      </c>
      <c r="B2174" s="3">
        <v>12.0</v>
      </c>
      <c r="C2174" s="3">
        <v>1.0</v>
      </c>
      <c r="D2174" t="str">
        <f>VLOOKUP(B2174,ERA_MOTIF_TYPES.csv!$A$1:$C$119,2,1)</f>
        <v>Multi Arc</v>
      </c>
      <c r="E2174" t="str">
        <f>VLOOKUP(A2174,Panels!$A$1:$E$2104,5,0)</f>
        <v>Morwick</v>
      </c>
    </row>
    <row r="2175">
      <c r="A2175" s="3">
        <v>605.0</v>
      </c>
      <c r="B2175" s="3">
        <v>14.0</v>
      </c>
      <c r="C2175" s="3">
        <v>1.0</v>
      </c>
      <c r="D2175" t="str">
        <f>VLOOKUP(B2175,ERA_MOTIF_TYPES.csv!$A$1:$C$119,2,1)</f>
        <v>Multi Ring + cup</v>
      </c>
      <c r="E2175" t="str">
        <f>VLOOKUP(A2175,Panels!$A$1:$E$2104,5,0)</f>
        <v>Morwick</v>
      </c>
    </row>
    <row r="2176">
      <c r="A2176" s="3">
        <v>605.0</v>
      </c>
      <c r="B2176" s="3">
        <v>40.0</v>
      </c>
      <c r="C2176" s="3">
        <v>1.0</v>
      </c>
      <c r="D2176" t="str">
        <f>VLOOKUP(B2176,ERA_MOTIF_TYPES.csv!$A$1:$C$119,2,1)</f>
        <v>Spiral Running</v>
      </c>
      <c r="E2176" t="str">
        <f>VLOOKUP(A2176,Panels!$A$1:$E$2104,5,0)</f>
        <v>Morwick</v>
      </c>
    </row>
    <row r="2177">
      <c r="A2177" s="3">
        <v>605.0</v>
      </c>
      <c r="B2177" s="3">
        <v>52.0</v>
      </c>
      <c r="C2177" s="3">
        <v>3.0</v>
      </c>
      <c r="D2177" t="str">
        <f>VLOOKUP(B2177,ERA_MOTIF_TYPES.csv!$A$1:$C$119,2,1)</f>
        <v>Single or multiple cups</v>
      </c>
      <c r="E2177" t="str">
        <f>VLOOKUP(A2177,Panels!$A$1:$E$2104,5,0)</f>
        <v>Morwick</v>
      </c>
    </row>
    <row r="2178">
      <c r="A2178" s="3">
        <v>605.0</v>
      </c>
      <c r="B2178" s="3">
        <v>58.0</v>
      </c>
      <c r="C2178" s="3">
        <v>1.0</v>
      </c>
      <c r="D2178" t="str">
        <f>VLOOKUP(B2178,ERA_MOTIF_TYPES.csv!$A$1:$C$119,2,1)</f>
        <v>Cup and multiple rings</v>
      </c>
      <c r="E2178" t="str">
        <f>VLOOKUP(A2178,Panels!$A$1:$E$2104,5,0)</f>
        <v>Morwick</v>
      </c>
    </row>
    <row r="2179">
      <c r="A2179" s="3">
        <v>605.0</v>
      </c>
      <c r="B2179" s="3">
        <v>69.0</v>
      </c>
      <c r="C2179" s="3">
        <v>1.0</v>
      </c>
      <c r="D2179" t="str">
        <f>VLOOKUP(B2179,ERA_MOTIF_TYPES.csv!$A$1:$C$119,2,1)</f>
        <v>Ring</v>
      </c>
      <c r="E2179" t="str">
        <f>VLOOKUP(A2179,Panels!$A$1:$E$2104,5,0)</f>
        <v>Morwick</v>
      </c>
    </row>
    <row r="2180">
      <c r="A2180" s="3">
        <v>605.0</v>
      </c>
      <c r="B2180" s="3">
        <v>73.0</v>
      </c>
      <c r="C2180" s="3">
        <v>3.0</v>
      </c>
      <c r="D2180" t="str">
        <f>VLOOKUP(B2180,ERA_MOTIF_TYPES.csv!$A$1:$C$119,2,1)</f>
        <v>Arc</v>
      </c>
      <c r="E2180" t="str">
        <f>VLOOKUP(A2180,Panels!$A$1:$E$2104,5,0)</f>
        <v>Morwick</v>
      </c>
    </row>
    <row r="2181">
      <c r="A2181" s="3">
        <v>605.0</v>
      </c>
      <c r="B2181" s="3">
        <v>94.0</v>
      </c>
      <c r="C2181" s="3">
        <v>1.0</v>
      </c>
      <c r="D2181" t="str">
        <f>VLOOKUP(B2181,ERA_MOTIF_TYPES.csv!$A$1:$C$119,2,1)</f>
        <v>Basin</v>
      </c>
      <c r="E2181" t="str">
        <f>VLOOKUP(A2181,Panels!$A$1:$E$2104,5,0)</f>
        <v>Morwick</v>
      </c>
    </row>
    <row r="2182">
      <c r="A2182" s="3">
        <v>605.0</v>
      </c>
      <c r="B2182" s="3">
        <v>97.0</v>
      </c>
      <c r="C2182" s="3">
        <v>3.0</v>
      </c>
      <c r="D2182" t="str">
        <f>VLOOKUP(B2182,ERA_MOTIF_TYPES.csv!$A$1:$C$119,2,1)</f>
        <v>Horned spiral</v>
      </c>
      <c r="E2182" t="str">
        <f>VLOOKUP(A2182,Panels!$A$1:$E$2104,5,0)</f>
        <v>Morwick</v>
      </c>
    </row>
    <row r="2183">
      <c r="A2183" s="3">
        <v>605.0</v>
      </c>
      <c r="B2183" s="3">
        <v>98.0</v>
      </c>
      <c r="C2183" s="3">
        <v>3.0</v>
      </c>
      <c r="D2183" t="str">
        <f>VLOOKUP(B2183,ERA_MOTIF_TYPES.csv!$A$1:$C$119,2,1)</f>
        <v>Left hand spiral</v>
      </c>
      <c r="E2183" t="str">
        <f>VLOOKUP(A2183,Panels!$A$1:$E$2104,5,0)</f>
        <v>Morwick</v>
      </c>
    </row>
    <row r="2184">
      <c r="A2184" s="3">
        <v>605.0</v>
      </c>
      <c r="B2184" s="3">
        <v>99.0</v>
      </c>
      <c r="C2184" s="3">
        <v>4.0</v>
      </c>
      <c r="D2184" t="str">
        <f>VLOOKUP(B2184,ERA_MOTIF_TYPES.csv!$A$1:$C$119,2,1)</f>
        <v>Right hand spiral</v>
      </c>
      <c r="E2184" t="str">
        <f>VLOOKUP(A2184,Panels!$A$1:$E$2104,5,0)</f>
        <v>Morwick</v>
      </c>
    </row>
    <row r="2185">
      <c r="A2185" s="3">
        <v>605.0</v>
      </c>
      <c r="B2185" s="3">
        <v>110.0</v>
      </c>
      <c r="C2185" s="3">
        <v>4.0</v>
      </c>
      <c r="D2185" t="str">
        <f>VLOOKUP(B2185,ERA_MOTIF_TYPES.csv!$A$1:$C$119,2,1)</f>
        <v>Curved groove</v>
      </c>
      <c r="E2185" t="str">
        <f>VLOOKUP(A2185,Panels!$A$1:$E$2104,5,0)</f>
        <v>Morwick</v>
      </c>
    </row>
    <row r="2186">
      <c r="A2186" s="3">
        <v>606.0</v>
      </c>
      <c r="B2186" s="3">
        <v>69.0</v>
      </c>
      <c r="C2186" s="3">
        <v>1.0</v>
      </c>
      <c r="D2186" t="str">
        <f>VLOOKUP(B2186,ERA_MOTIF_TYPES.csv!$A$1:$C$119,2,1)</f>
        <v>Ring</v>
      </c>
      <c r="E2186" t="str">
        <f>VLOOKUP(A2186,Panels!$A$1:$E$2104,5,0)</f>
        <v>Morwick</v>
      </c>
    </row>
    <row r="2187">
      <c r="A2187" s="3">
        <v>606.0</v>
      </c>
      <c r="B2187" s="3">
        <v>74.0</v>
      </c>
      <c r="C2187" s="3">
        <v>1.0</v>
      </c>
      <c r="D2187" t="str">
        <f>VLOOKUP(B2187,ERA_MOTIF_TYPES.csv!$A$1:$C$119,2,1)</f>
        <v>Multiple arcs</v>
      </c>
      <c r="E2187" t="str">
        <f>VLOOKUP(A2187,Panels!$A$1:$E$2104,5,0)</f>
        <v>Morwick</v>
      </c>
    </row>
    <row r="2188">
      <c r="A2188" s="3">
        <v>606.0</v>
      </c>
      <c r="B2188" s="3">
        <v>116.0</v>
      </c>
      <c r="C2188" s="3">
        <v>1.0</v>
      </c>
      <c r="D2188" t="str">
        <f>VLOOKUP(B2188,ERA_MOTIF_TYPES.csv!$A$1:$C$119,2,1)</f>
        <v>Multiple square grooves</v>
      </c>
      <c r="E2188" t="str">
        <f>VLOOKUP(A2188,Panels!$A$1:$E$2104,5,0)</f>
        <v>Morwick</v>
      </c>
    </row>
    <row r="2189">
      <c r="A2189" s="3">
        <v>607.0</v>
      </c>
      <c r="B2189" s="3">
        <v>39.0</v>
      </c>
      <c r="C2189" s="3">
        <v>1.0</v>
      </c>
      <c r="D2189" t="str">
        <f>VLOOKUP(B2189,ERA_MOTIF_TYPES.csv!$A$1:$C$119,2,1)</f>
        <v>Spiral Right</v>
      </c>
      <c r="E2189" t="str">
        <f>VLOOKUP(A2189,Panels!$A$1:$E$2104,5,0)</f>
        <v>Morwick</v>
      </c>
    </row>
    <row r="2190">
      <c r="A2190" s="3">
        <v>607.0</v>
      </c>
      <c r="B2190" s="3">
        <v>40.0</v>
      </c>
      <c r="C2190" s="3">
        <v>1.0</v>
      </c>
      <c r="D2190" t="str">
        <f>VLOOKUP(B2190,ERA_MOTIF_TYPES.csv!$A$1:$C$119,2,1)</f>
        <v>Spiral Running</v>
      </c>
      <c r="E2190" t="str">
        <f>VLOOKUP(A2190,Panels!$A$1:$E$2104,5,0)</f>
        <v>Morwick</v>
      </c>
    </row>
    <row r="2191">
      <c r="A2191" s="3">
        <v>607.0</v>
      </c>
      <c r="B2191" s="3">
        <v>96.0</v>
      </c>
      <c r="C2191" s="3">
        <v>2.0</v>
      </c>
      <c r="D2191" t="str">
        <f>VLOOKUP(B2191,ERA_MOTIF_TYPES.csv!$A$1:$C$119,2,1)</f>
        <v>Running spiral</v>
      </c>
      <c r="E2191" t="str">
        <f>VLOOKUP(A2191,Panels!$A$1:$E$2104,5,0)</f>
        <v>Morwick</v>
      </c>
    </row>
    <row r="2192">
      <c r="A2192" s="3">
        <v>608.0</v>
      </c>
      <c r="B2192" s="3">
        <v>39.0</v>
      </c>
      <c r="C2192" s="3">
        <v>1.0</v>
      </c>
      <c r="D2192" t="str">
        <f>VLOOKUP(B2192,ERA_MOTIF_TYPES.csv!$A$1:$C$119,2,1)</f>
        <v>Spiral Right</v>
      </c>
      <c r="E2192" t="str">
        <f>VLOOKUP(A2192,Panels!$A$1:$E$2104,5,0)</f>
        <v>Morwick</v>
      </c>
    </row>
    <row r="2193">
      <c r="A2193" s="3">
        <v>608.0</v>
      </c>
      <c r="B2193" s="3">
        <v>99.0</v>
      </c>
      <c r="C2193" s="3">
        <v>2.0</v>
      </c>
      <c r="D2193" t="str">
        <f>VLOOKUP(B2193,ERA_MOTIF_TYPES.csv!$A$1:$C$119,2,1)</f>
        <v>Right hand spiral</v>
      </c>
      <c r="E2193" t="str">
        <f>VLOOKUP(A2193,Panels!$A$1:$E$2104,5,0)</f>
        <v>Morwick</v>
      </c>
    </row>
    <row r="2194">
      <c r="A2194" s="3">
        <v>608.0</v>
      </c>
      <c r="B2194" s="3">
        <v>110.0</v>
      </c>
      <c r="C2194" s="3">
        <v>1.0</v>
      </c>
      <c r="D2194" t="str">
        <f>VLOOKUP(B2194,ERA_MOTIF_TYPES.csv!$A$1:$C$119,2,1)</f>
        <v>Curved groove</v>
      </c>
      <c r="E2194" t="str">
        <f>VLOOKUP(A2194,Panels!$A$1:$E$2104,5,0)</f>
        <v>Morwick</v>
      </c>
    </row>
    <row r="2195">
      <c r="A2195" s="3">
        <v>609.0</v>
      </c>
      <c r="B2195" s="3">
        <v>40.0</v>
      </c>
      <c r="C2195" s="3">
        <v>4.0</v>
      </c>
      <c r="D2195" t="str">
        <f>VLOOKUP(B2195,ERA_MOTIF_TYPES.csv!$A$1:$C$119,2,1)</f>
        <v>Spiral Running</v>
      </c>
      <c r="E2195" t="str">
        <f>VLOOKUP(A2195,Panels!$A$1:$E$2104,5,0)</f>
        <v>Morwick</v>
      </c>
    </row>
    <row r="2196">
      <c r="A2196" s="3">
        <v>609.0</v>
      </c>
      <c r="B2196" s="3">
        <v>41.0</v>
      </c>
      <c r="C2196" s="3">
        <v>1.0</v>
      </c>
      <c r="D2196" t="str">
        <f>VLOOKUP(B2196,ERA_MOTIF_TYPES.csv!$A$1:$C$119,2,1)</f>
        <v>Spiral Triple</v>
      </c>
      <c r="E2196" t="str">
        <f>VLOOKUP(A2196,Panels!$A$1:$E$2104,5,0)</f>
        <v>Morwick</v>
      </c>
    </row>
    <row r="2197">
      <c r="A2197" s="3">
        <v>609.0</v>
      </c>
      <c r="B2197" s="3">
        <v>92.0</v>
      </c>
      <c r="C2197" s="3">
        <v>1.0</v>
      </c>
      <c r="D2197" t="str">
        <f>VLOOKUP(B2197,ERA_MOTIF_TYPES.csv!$A$1:$C$119,2,1)</f>
        <v>Triple spiral</v>
      </c>
      <c r="E2197" t="str">
        <f>VLOOKUP(A2197,Panels!$A$1:$E$2104,5,0)</f>
        <v>Morwick</v>
      </c>
    </row>
    <row r="2198">
      <c r="A2198" s="3">
        <v>609.0</v>
      </c>
      <c r="B2198" s="3">
        <v>97.0</v>
      </c>
      <c r="C2198" s="3">
        <v>4.0</v>
      </c>
      <c r="D2198" t="str">
        <f>VLOOKUP(B2198,ERA_MOTIF_TYPES.csv!$A$1:$C$119,2,1)</f>
        <v>Horned spiral</v>
      </c>
      <c r="E2198" t="str">
        <f>VLOOKUP(A2198,Panels!$A$1:$E$2104,5,0)</f>
        <v>Morwick</v>
      </c>
    </row>
    <row r="2199">
      <c r="A2199" s="3">
        <v>609.0</v>
      </c>
      <c r="B2199" s="3">
        <v>98.0</v>
      </c>
      <c r="C2199" s="3">
        <v>1.0</v>
      </c>
      <c r="D2199" t="str">
        <f>VLOOKUP(B2199,ERA_MOTIF_TYPES.csv!$A$1:$C$119,2,1)</f>
        <v>Left hand spiral</v>
      </c>
      <c r="E2199" t="str">
        <f>VLOOKUP(A2199,Panels!$A$1:$E$2104,5,0)</f>
        <v>Morwick</v>
      </c>
    </row>
    <row r="2200">
      <c r="A2200" s="3">
        <v>609.0</v>
      </c>
      <c r="B2200" s="3">
        <v>103.0</v>
      </c>
      <c r="C2200" s="3">
        <v>1.0</v>
      </c>
      <c r="D2200" t="str">
        <f>VLOOKUP(B2200,ERA_MOTIF_TYPES.csv!$A$1:$C$119,2,1)</f>
        <v>Cup and groove</v>
      </c>
      <c r="E2200" t="str">
        <f>VLOOKUP(A2200,Panels!$A$1:$E$2104,5,0)</f>
        <v>Morwick</v>
      </c>
    </row>
    <row r="2201">
      <c r="A2201" s="3">
        <v>610.0</v>
      </c>
      <c r="B2201" s="3">
        <v>10.0</v>
      </c>
      <c r="C2201" s="3">
        <v>1.0</v>
      </c>
      <c r="D2201" t="str">
        <f>VLOOKUP(B2201,ERA_MOTIF_TYPES.csv!$A$1:$C$119,2,1)</f>
        <v>Single Arc</v>
      </c>
      <c r="E2201" t="str">
        <f>VLOOKUP(A2201,Panels!$A$1:$E$2104,5,0)</f>
        <v>Morwick</v>
      </c>
    </row>
    <row r="2202">
      <c r="A2202" s="3">
        <v>610.0</v>
      </c>
      <c r="B2202" s="3">
        <v>52.0</v>
      </c>
      <c r="C2202" s="3">
        <v>11.0</v>
      </c>
      <c r="D2202" t="str">
        <f>VLOOKUP(B2202,ERA_MOTIF_TYPES.csv!$A$1:$C$119,2,1)</f>
        <v>Single or multiple cups</v>
      </c>
      <c r="E2202" t="str">
        <f>VLOOKUP(A2202,Panels!$A$1:$E$2104,5,0)</f>
        <v>Morwick</v>
      </c>
    </row>
    <row r="2203">
      <c r="A2203" s="3">
        <v>610.0</v>
      </c>
      <c r="B2203" s="3">
        <v>58.0</v>
      </c>
      <c r="C2203" s="3">
        <v>1.0</v>
      </c>
      <c r="D2203" t="str">
        <f>VLOOKUP(B2203,ERA_MOTIF_TYPES.csv!$A$1:$C$119,2,1)</f>
        <v>Cup and multiple rings</v>
      </c>
      <c r="E2203" t="str">
        <f>VLOOKUP(A2203,Panels!$A$1:$E$2104,5,0)</f>
        <v>Morwick</v>
      </c>
    </row>
    <row r="2204">
      <c r="A2204" s="3">
        <v>611.0</v>
      </c>
      <c r="B2204" s="3">
        <v>38.0</v>
      </c>
      <c r="C2204" s="3">
        <v>1.0</v>
      </c>
      <c r="D2204" t="str">
        <f>VLOOKUP(B2204,ERA_MOTIF_TYPES.csv!$A$1:$C$119,2,1)</f>
        <v>Spiral Left</v>
      </c>
      <c r="E2204" t="str">
        <f>VLOOKUP(A2204,Panels!$A$1:$E$2104,5,0)</f>
        <v>Morwick</v>
      </c>
    </row>
    <row r="2205">
      <c r="A2205" s="3">
        <v>611.0</v>
      </c>
      <c r="B2205" s="3">
        <v>99.0</v>
      </c>
      <c r="C2205" s="3">
        <v>2.0</v>
      </c>
      <c r="D2205" t="str">
        <f>VLOOKUP(B2205,ERA_MOTIF_TYPES.csv!$A$1:$C$119,2,1)</f>
        <v>Right hand spiral</v>
      </c>
      <c r="E2205" t="str">
        <f>VLOOKUP(A2205,Panels!$A$1:$E$2104,5,0)</f>
        <v>Morwick</v>
      </c>
    </row>
    <row r="2206">
      <c r="A2206" s="3">
        <v>612.0</v>
      </c>
      <c r="B2206" s="3">
        <v>8.0</v>
      </c>
      <c r="C2206" s="3">
        <v>1.0</v>
      </c>
      <c r="D2206" t="str">
        <f>VLOOKUP(B2206,ERA_MOTIF_TYPES.csv!$A$1:$C$119,2,1)</f>
        <v>Multi Ring</v>
      </c>
      <c r="E2206" t="str">
        <f>VLOOKUP(A2206,Panels!$A$1:$E$2104,5,0)</f>
        <v>Morwick</v>
      </c>
    </row>
    <row r="2207">
      <c r="A2207" s="3">
        <v>612.0</v>
      </c>
      <c r="B2207" s="3">
        <v>73.0</v>
      </c>
      <c r="C2207" s="3">
        <v>1.0</v>
      </c>
      <c r="D2207" t="str">
        <f>VLOOKUP(B2207,ERA_MOTIF_TYPES.csv!$A$1:$C$119,2,1)</f>
        <v>Arc</v>
      </c>
      <c r="E2207" t="str">
        <f>VLOOKUP(A2207,Panels!$A$1:$E$2104,5,0)</f>
        <v>Morwick</v>
      </c>
    </row>
    <row r="2208">
      <c r="A2208" s="3">
        <v>612.0</v>
      </c>
      <c r="B2208" s="3">
        <v>98.0</v>
      </c>
      <c r="C2208" s="3">
        <v>1.0</v>
      </c>
      <c r="D2208" t="str">
        <f>VLOOKUP(B2208,ERA_MOTIF_TYPES.csv!$A$1:$C$119,2,1)</f>
        <v>Left hand spiral</v>
      </c>
      <c r="E2208" t="str">
        <f>VLOOKUP(A2208,Panels!$A$1:$E$2104,5,0)</f>
        <v>Morwick</v>
      </c>
    </row>
    <row r="2209">
      <c r="A2209" s="3">
        <v>612.0</v>
      </c>
      <c r="B2209" s="3">
        <v>110.0</v>
      </c>
      <c r="C2209" s="3">
        <v>2.0</v>
      </c>
      <c r="D2209" t="str">
        <f>VLOOKUP(B2209,ERA_MOTIF_TYPES.csv!$A$1:$C$119,2,1)</f>
        <v>Curved groove</v>
      </c>
      <c r="E2209" t="str">
        <f>VLOOKUP(A2209,Panels!$A$1:$E$2104,5,0)</f>
        <v>Morwick</v>
      </c>
    </row>
    <row r="2210">
      <c r="A2210" s="3">
        <v>613.0</v>
      </c>
      <c r="B2210" s="3">
        <v>69.0</v>
      </c>
      <c r="C2210" s="3">
        <v>1.0</v>
      </c>
      <c r="D2210" t="str">
        <f>VLOOKUP(B2210,ERA_MOTIF_TYPES.csv!$A$1:$C$119,2,1)</f>
        <v>Ring</v>
      </c>
      <c r="E2210" t="str">
        <f>VLOOKUP(A2210,Panels!$A$1:$E$2104,5,0)</f>
        <v>Morwick</v>
      </c>
    </row>
    <row r="2211">
      <c r="A2211" s="3">
        <v>613.0</v>
      </c>
      <c r="B2211" s="3">
        <v>73.0</v>
      </c>
      <c r="C2211" s="3">
        <v>2.0</v>
      </c>
      <c r="D2211" t="str">
        <f>VLOOKUP(B2211,ERA_MOTIF_TYPES.csv!$A$1:$C$119,2,1)</f>
        <v>Arc</v>
      </c>
      <c r="E2211" t="str">
        <f>VLOOKUP(A2211,Panels!$A$1:$E$2104,5,0)</f>
        <v>Morwick</v>
      </c>
    </row>
    <row r="2212">
      <c r="A2212" s="3">
        <v>613.0</v>
      </c>
      <c r="B2212" s="3">
        <v>99.0</v>
      </c>
      <c r="C2212" s="3">
        <v>1.0</v>
      </c>
      <c r="D2212" t="str">
        <f>VLOOKUP(B2212,ERA_MOTIF_TYPES.csv!$A$1:$C$119,2,1)</f>
        <v>Right hand spiral</v>
      </c>
      <c r="E2212" t="str">
        <f>VLOOKUP(A2212,Panels!$A$1:$E$2104,5,0)</f>
        <v>Morwick</v>
      </c>
    </row>
    <row r="2213">
      <c r="A2213" s="3">
        <v>614.0</v>
      </c>
      <c r="B2213" s="3">
        <v>5.0</v>
      </c>
      <c r="C2213" s="3">
        <v>1.0</v>
      </c>
      <c r="D2213" t="str">
        <f>VLOOKUP(B2213,ERA_MOTIF_TYPES.csv!$A$1:$C$119,2,1)</f>
        <v>Rosette</v>
      </c>
      <c r="E2213" t="str">
        <f>VLOOKUP(A2213,Panels!$A$1:$E$2104,5,0)</f>
        <v>Morwick</v>
      </c>
    </row>
    <row r="2214">
      <c r="A2214" s="3">
        <v>614.0</v>
      </c>
      <c r="B2214" s="3">
        <v>8.0</v>
      </c>
      <c r="C2214" s="3">
        <v>1.0</v>
      </c>
      <c r="D2214" t="str">
        <f>VLOOKUP(B2214,ERA_MOTIF_TYPES.csv!$A$1:$C$119,2,1)</f>
        <v>Multi Ring</v>
      </c>
      <c r="E2214" t="str">
        <f>VLOOKUP(A2214,Panels!$A$1:$E$2104,5,0)</f>
        <v>Morwick</v>
      </c>
    </row>
    <row r="2215">
      <c r="A2215" s="3">
        <v>614.0</v>
      </c>
      <c r="B2215" s="3">
        <v>55.0</v>
      </c>
      <c r="C2215" s="3">
        <v>2.0</v>
      </c>
      <c r="D2215" t="str">
        <f>VLOOKUP(B2215,ERA_MOTIF_TYPES.csv!$A$1:$C$119,2,1)</f>
        <v>Cups in a straight or curved line</v>
      </c>
      <c r="E2215" t="str">
        <f>VLOOKUP(A2215,Panels!$A$1:$E$2104,5,0)</f>
        <v>Morwick</v>
      </c>
    </row>
    <row r="2216">
      <c r="A2216" s="3">
        <v>614.0</v>
      </c>
      <c r="B2216" s="3">
        <v>57.0</v>
      </c>
      <c r="C2216" s="3">
        <v>1.0</v>
      </c>
      <c r="D2216" t="str">
        <f>VLOOKUP(B2216,ERA_MOTIF_TYPES.csv!$A$1:$C$119,2,1)</f>
        <v>Cup and ring</v>
      </c>
      <c r="E2216" t="str">
        <f>VLOOKUP(A2216,Panels!$A$1:$E$2104,5,0)</f>
        <v>Morwick</v>
      </c>
    </row>
    <row r="2217">
      <c r="A2217" s="3">
        <v>614.0</v>
      </c>
      <c r="B2217" s="3">
        <v>73.0</v>
      </c>
      <c r="C2217" s="3">
        <v>2.0</v>
      </c>
      <c r="D2217" t="str">
        <f>VLOOKUP(B2217,ERA_MOTIF_TYPES.csv!$A$1:$C$119,2,1)</f>
        <v>Arc</v>
      </c>
      <c r="E2217" t="str">
        <f>VLOOKUP(A2217,Panels!$A$1:$E$2104,5,0)</f>
        <v>Morwick</v>
      </c>
    </row>
    <row r="2218">
      <c r="A2218" s="3">
        <v>614.0</v>
      </c>
      <c r="B2218" s="3">
        <v>98.0</v>
      </c>
      <c r="C2218" s="3">
        <v>1.0</v>
      </c>
      <c r="D2218" t="str">
        <f>VLOOKUP(B2218,ERA_MOTIF_TYPES.csv!$A$1:$C$119,2,1)</f>
        <v>Left hand spiral</v>
      </c>
      <c r="E2218" t="str">
        <f>VLOOKUP(A2218,Panels!$A$1:$E$2104,5,0)</f>
        <v>Morwick</v>
      </c>
    </row>
    <row r="2219">
      <c r="A2219" s="3">
        <v>614.0</v>
      </c>
      <c r="B2219" s="3">
        <v>100.0</v>
      </c>
      <c r="C2219" s="3">
        <v>1.0</v>
      </c>
      <c r="D2219" t="str">
        <f>VLOOKUP(B2219,ERA_MOTIF_TYPES.csv!$A$1:$C$119,2,1)</f>
        <v>Pick marks</v>
      </c>
      <c r="E2219" t="str">
        <f>VLOOKUP(A2219,Panels!$A$1:$E$2104,5,0)</f>
        <v>Morwick</v>
      </c>
    </row>
    <row r="2220">
      <c r="A2220" s="3">
        <v>615.0</v>
      </c>
      <c r="B2220" s="3">
        <v>1.0</v>
      </c>
      <c r="C2220" s="3">
        <v>5.0</v>
      </c>
      <c r="D2220" t="str">
        <f>VLOOKUP(B2220,ERA_MOTIF_TYPES.csv!$A$1:$C$119,2,1)</f>
        <v>Cups Single</v>
      </c>
      <c r="E2220" t="str">
        <f>VLOOKUP(A2220,Panels!$A$1:$E$2104,5,0)</f>
        <v>Morwick</v>
      </c>
    </row>
    <row r="2221">
      <c r="A2221" s="3">
        <v>615.0</v>
      </c>
      <c r="B2221" s="3">
        <v>52.0</v>
      </c>
      <c r="C2221" s="3">
        <v>7.0</v>
      </c>
      <c r="D2221" t="str">
        <f>VLOOKUP(B2221,ERA_MOTIF_TYPES.csv!$A$1:$C$119,2,1)</f>
        <v>Single or multiple cups</v>
      </c>
      <c r="E2221" t="str">
        <f>VLOOKUP(A2221,Panels!$A$1:$E$2104,5,0)</f>
        <v>Morwick</v>
      </c>
    </row>
    <row r="2222">
      <c r="A2222" s="3">
        <v>616.0</v>
      </c>
      <c r="B2222" s="3">
        <v>8.0</v>
      </c>
      <c r="C2222" s="3">
        <v>2.0</v>
      </c>
      <c r="D2222" t="str">
        <f>VLOOKUP(B2222,ERA_MOTIF_TYPES.csv!$A$1:$C$119,2,1)</f>
        <v>Multi Ring</v>
      </c>
      <c r="E2222" t="str">
        <f>VLOOKUP(A2222,Panels!$A$1:$E$2104,5,0)</f>
        <v>Morwick</v>
      </c>
    </row>
    <row r="2223">
      <c r="A2223" s="3">
        <v>616.0</v>
      </c>
      <c r="B2223" s="3">
        <v>60.0</v>
      </c>
      <c r="C2223" s="3">
        <v>1.0</v>
      </c>
      <c r="D2223" t="str">
        <f>VLOOKUP(B2223,ERA_MOTIF_TYPES.csv!$A$1:$C$119,2,1)</f>
        <v>Cup and multiple penannulars</v>
      </c>
      <c r="E2223" t="str">
        <f>VLOOKUP(A2223,Panels!$A$1:$E$2104,5,0)</f>
        <v>Morwick</v>
      </c>
    </row>
    <row r="2224">
      <c r="A2224" s="3">
        <v>616.0</v>
      </c>
      <c r="B2224" s="3">
        <v>99.0</v>
      </c>
      <c r="C2224" s="3">
        <v>1.0</v>
      </c>
      <c r="D2224" t="str">
        <f>VLOOKUP(B2224,ERA_MOTIF_TYPES.csv!$A$1:$C$119,2,1)</f>
        <v>Right hand spiral</v>
      </c>
      <c r="E2224" t="str">
        <f>VLOOKUP(A2224,Panels!$A$1:$E$2104,5,0)</f>
        <v>Morwick</v>
      </c>
    </row>
    <row r="2225">
      <c r="A2225" s="3">
        <v>617.0</v>
      </c>
      <c r="B2225" s="3">
        <v>1.0</v>
      </c>
      <c r="C2225" s="3">
        <v>1.0</v>
      </c>
      <c r="D2225" t="str">
        <f>VLOOKUP(B2225,ERA_MOTIF_TYPES.csv!$A$1:$C$119,2,1)</f>
        <v>Cups Single</v>
      </c>
      <c r="E2225" t="str">
        <f>VLOOKUP(A2225,Panels!$A$1:$E$2104,5,0)</f>
        <v>Morwick</v>
      </c>
    </row>
    <row r="2226">
      <c r="A2226" s="3">
        <v>617.0</v>
      </c>
      <c r="B2226" s="3">
        <v>8.0</v>
      </c>
      <c r="C2226" s="3">
        <v>1.0</v>
      </c>
      <c r="D2226" t="str">
        <f>VLOOKUP(B2226,ERA_MOTIF_TYPES.csv!$A$1:$C$119,2,1)</f>
        <v>Multi Ring</v>
      </c>
      <c r="E2226" t="str">
        <f>VLOOKUP(A2226,Panels!$A$1:$E$2104,5,0)</f>
        <v>Morwick</v>
      </c>
    </row>
    <row r="2227">
      <c r="A2227" s="3">
        <v>617.0</v>
      </c>
      <c r="B2227" s="3">
        <v>40.0</v>
      </c>
      <c r="C2227" s="3">
        <v>1.0</v>
      </c>
      <c r="D2227" t="str">
        <f>VLOOKUP(B2227,ERA_MOTIF_TYPES.csv!$A$1:$C$119,2,1)</f>
        <v>Spiral Running</v>
      </c>
      <c r="E2227" t="str">
        <f>VLOOKUP(A2227,Panels!$A$1:$E$2104,5,0)</f>
        <v>Morwick</v>
      </c>
    </row>
    <row r="2228">
      <c r="A2228" s="3">
        <v>617.0</v>
      </c>
      <c r="B2228" s="3">
        <v>52.0</v>
      </c>
      <c r="C2228" s="3">
        <v>6.0</v>
      </c>
      <c r="D2228" t="str">
        <f>VLOOKUP(B2228,ERA_MOTIF_TYPES.csv!$A$1:$C$119,2,1)</f>
        <v>Single or multiple cups</v>
      </c>
      <c r="E2228" t="str">
        <f>VLOOKUP(A2228,Panels!$A$1:$E$2104,5,0)</f>
        <v>Morwick</v>
      </c>
    </row>
    <row r="2229">
      <c r="A2229" s="3">
        <v>617.0</v>
      </c>
      <c r="B2229" s="3">
        <v>61.0</v>
      </c>
      <c r="C2229" s="3">
        <v>1.0</v>
      </c>
      <c r="D2229" t="str">
        <f>VLOOKUP(B2229,ERA_MOTIF_TYPES.csv!$A$1:$C$119,2,1)</f>
        <v>Cup and arc (or semi-ovoid)</v>
      </c>
      <c r="E2229" t="str">
        <f>VLOOKUP(A2229,Panels!$A$1:$E$2104,5,0)</f>
        <v>Morwick</v>
      </c>
    </row>
    <row r="2230">
      <c r="A2230" s="3">
        <v>617.0</v>
      </c>
      <c r="B2230" s="3">
        <v>70.0</v>
      </c>
      <c r="C2230" s="3">
        <v>1.0</v>
      </c>
      <c r="D2230" t="str">
        <f>VLOOKUP(B2230,ERA_MOTIF_TYPES.csv!$A$1:$C$119,2,1)</f>
        <v>Concentric rings</v>
      </c>
      <c r="E2230" t="str">
        <f>VLOOKUP(A2230,Panels!$A$1:$E$2104,5,0)</f>
        <v>Morwick</v>
      </c>
    </row>
    <row r="2231">
      <c r="A2231" s="3">
        <v>617.0</v>
      </c>
      <c r="B2231" s="3">
        <v>105.0</v>
      </c>
      <c r="C2231" s="3">
        <v>1.0</v>
      </c>
      <c r="D2231" t="str">
        <f>VLOOKUP(B2231,ERA_MOTIF_TYPES.csv!$A$1:$C$119,2,1)</f>
        <v>Two cups linked by a groove</v>
      </c>
      <c r="E2231" t="str">
        <f>VLOOKUP(A2231,Panels!$A$1:$E$2104,5,0)</f>
        <v>Morwick</v>
      </c>
    </row>
    <row r="2232">
      <c r="A2232" s="3">
        <v>619.0</v>
      </c>
      <c r="B2232" s="3">
        <v>1.0</v>
      </c>
      <c r="C2232" s="3">
        <v>20.0</v>
      </c>
      <c r="D2232" t="str">
        <f>VLOOKUP(B2232,ERA_MOTIF_TYPES.csv!$A$1:$C$119,2,1)</f>
        <v>Cups Single</v>
      </c>
      <c r="E2232" t="str">
        <f>VLOOKUP(A2232,Panels!$A$1:$E$2104,5,0)</f>
        <v>Crocky's Heugh</v>
      </c>
    </row>
    <row r="2233">
      <c r="A2233" s="3">
        <v>619.0</v>
      </c>
      <c r="B2233" s="3">
        <v>31.0</v>
      </c>
      <c r="C2233" s="3">
        <v>1.0</v>
      </c>
      <c r="D2233" t="str">
        <f>VLOOKUP(B2233,ERA_MOTIF_TYPES.csv!$A$1:$C$119,2,1)</f>
        <v>Cup and Groove</v>
      </c>
      <c r="E2233" t="str">
        <f>VLOOKUP(A2233,Panels!$A$1:$E$2104,5,0)</f>
        <v>Crocky's Heugh</v>
      </c>
    </row>
    <row r="2234">
      <c r="A2234" s="3">
        <v>619.0</v>
      </c>
      <c r="B2234" s="3">
        <v>52.0</v>
      </c>
      <c r="C2234" s="3">
        <v>32.0</v>
      </c>
      <c r="D2234" t="str">
        <f>VLOOKUP(B2234,ERA_MOTIF_TYPES.csv!$A$1:$C$119,2,1)</f>
        <v>Single or multiple cups</v>
      </c>
      <c r="E2234" t="str">
        <f>VLOOKUP(A2234,Panels!$A$1:$E$2104,5,0)</f>
        <v>Crocky's Heugh</v>
      </c>
    </row>
    <row r="2235">
      <c r="A2235" s="3">
        <v>619.0</v>
      </c>
      <c r="B2235" s="3">
        <v>59.0</v>
      </c>
      <c r="C2235" s="3">
        <v>2.0</v>
      </c>
      <c r="D2235" t="str">
        <f>VLOOKUP(B2235,ERA_MOTIF_TYPES.csv!$A$1:$C$119,2,1)</f>
        <v>Cup and penannular</v>
      </c>
      <c r="E2235" t="str">
        <f>VLOOKUP(A2235,Panels!$A$1:$E$2104,5,0)</f>
        <v>Crocky's Heugh</v>
      </c>
    </row>
    <row r="2236">
      <c r="A2236" s="3">
        <v>620.0</v>
      </c>
      <c r="B2236" s="3">
        <v>1.0</v>
      </c>
      <c r="C2236" s="3">
        <v>1.0</v>
      </c>
      <c r="D2236" t="str">
        <f>VLOOKUP(B2236,ERA_MOTIF_TYPES.csv!$A$1:$C$119,2,1)</f>
        <v>Cups Single</v>
      </c>
      <c r="E2236" t="str">
        <f>VLOOKUP(A2236,Panels!$A$1:$E$2104,5,0)</f>
        <v>Crocky's Heugh</v>
      </c>
    </row>
    <row r="2237">
      <c r="A2237" s="3">
        <v>620.0</v>
      </c>
      <c r="B2237" s="3">
        <v>52.0</v>
      </c>
      <c r="C2237" s="3">
        <v>5.0</v>
      </c>
      <c r="D2237" t="str">
        <f>VLOOKUP(B2237,ERA_MOTIF_TYPES.csv!$A$1:$C$119,2,1)</f>
        <v>Single or multiple cups</v>
      </c>
      <c r="E2237" t="str">
        <f>VLOOKUP(A2237,Panels!$A$1:$E$2104,5,0)</f>
        <v>Crocky's Heugh</v>
      </c>
    </row>
    <row r="2238">
      <c r="A2238" s="3">
        <v>652.0</v>
      </c>
      <c r="B2238" s="3">
        <v>71.0</v>
      </c>
      <c r="C2238" s="3">
        <v>1.0</v>
      </c>
      <c r="D2238" t="str">
        <f>VLOOKUP(B2238,ERA_MOTIF_TYPES.csv!$A$1:$C$119,2,1)</f>
        <v>Penannular</v>
      </c>
      <c r="E2238" t="str">
        <f>VLOOKUP(A2238,Panels!$A$1:$E$2104,5,0)</f>
        <v>Dod Law Excavation Site</v>
      </c>
    </row>
    <row r="2239">
      <c r="A2239" s="3">
        <v>654.0</v>
      </c>
      <c r="B2239" s="3">
        <v>52.0</v>
      </c>
      <c r="C2239" s="3">
        <v>1.0</v>
      </c>
      <c r="D2239" t="str">
        <f>VLOOKUP(B2239,ERA_MOTIF_TYPES.csv!$A$1:$C$119,2,1)</f>
        <v>Single or multiple cups</v>
      </c>
      <c r="E2239" t="str">
        <f>VLOOKUP(A2239,Panels!$A$1:$E$2104,5,0)</f>
        <v>Dod Law Excavation Site</v>
      </c>
    </row>
    <row r="2240">
      <c r="A2240" s="3">
        <v>656.0</v>
      </c>
      <c r="B2240" s="3">
        <v>53.0</v>
      </c>
      <c r="C2240" s="3">
        <v>1.0</v>
      </c>
      <c r="D2240" t="str">
        <f>VLOOKUP(B2240,ERA_MOTIF_TYPES.csv!$A$1:$C$119,2,1)</f>
        <v>Domino patterns and parallel lines</v>
      </c>
      <c r="E2240" t="str">
        <f>VLOOKUP(A2240,Panels!$A$1:$E$2104,5,0)</f>
        <v>Gled Law</v>
      </c>
    </row>
    <row r="2241">
      <c r="A2241" s="3">
        <v>657.0</v>
      </c>
      <c r="B2241" s="3">
        <v>54.0</v>
      </c>
      <c r="C2241" s="3">
        <v>1.0</v>
      </c>
      <c r="D2241" t="str">
        <f>VLOOKUP(B2241,ERA_MOTIF_TYPES.csv!$A$1:$C$119,2,1)</f>
        <v>Rosette</v>
      </c>
      <c r="E2241" t="str">
        <f>VLOOKUP(A2241,Panels!$A$1:$E$2104,5,0)</f>
        <v>Buttony</v>
      </c>
    </row>
    <row r="2242">
      <c r="A2242" s="3">
        <v>658.0</v>
      </c>
      <c r="B2242" s="3">
        <v>52.0</v>
      </c>
      <c r="C2242" s="3">
        <v>1.0</v>
      </c>
      <c r="D2242" t="str">
        <f>VLOOKUP(B2242,ERA_MOTIF_TYPES.csv!$A$1:$C$119,2,1)</f>
        <v>Single or multiple cups</v>
      </c>
      <c r="E2242" t="str">
        <f>VLOOKUP(A2242,Panels!$A$1:$E$2104,5,0)</f>
        <v>West Horton</v>
      </c>
    </row>
    <row r="2243">
      <c r="A2243" s="3">
        <v>658.0</v>
      </c>
      <c r="B2243" s="3">
        <v>57.0</v>
      </c>
      <c r="C2243" s="3">
        <v>1.0</v>
      </c>
      <c r="D2243" t="str">
        <f>VLOOKUP(B2243,ERA_MOTIF_TYPES.csv!$A$1:$C$119,2,1)</f>
        <v>Cup and ring</v>
      </c>
      <c r="E2243" t="str">
        <f>VLOOKUP(A2243,Panels!$A$1:$E$2104,5,0)</f>
        <v>West Horton</v>
      </c>
    </row>
    <row r="2244">
      <c r="A2244" s="3">
        <v>660.0</v>
      </c>
      <c r="B2244" s="3">
        <v>52.0</v>
      </c>
      <c r="C2244" s="3">
        <v>1.0</v>
      </c>
      <c r="D2244" t="str">
        <f>VLOOKUP(B2244,ERA_MOTIF_TYPES.csv!$A$1:$C$119,2,1)</f>
        <v>Single or multiple cups</v>
      </c>
      <c r="E2244" t="str">
        <f>VLOOKUP(A2244,Panels!$A$1:$E$2104,5,0)</f>
        <v>The Ringses</v>
      </c>
    </row>
    <row r="2245">
      <c r="A2245" s="3">
        <v>660.0</v>
      </c>
      <c r="B2245" s="3">
        <v>54.0</v>
      </c>
      <c r="C2245" s="3">
        <v>1.0</v>
      </c>
      <c r="D2245" t="str">
        <f>VLOOKUP(B2245,ERA_MOTIF_TYPES.csv!$A$1:$C$119,2,1)</f>
        <v>Rosette</v>
      </c>
      <c r="E2245" t="str">
        <f>VLOOKUP(A2245,Panels!$A$1:$E$2104,5,0)</f>
        <v>The Ringses</v>
      </c>
    </row>
    <row r="2246">
      <c r="A2246" s="3">
        <v>660.0</v>
      </c>
      <c r="B2246" s="3">
        <v>57.0</v>
      </c>
      <c r="C2246" s="3">
        <v>1.0</v>
      </c>
      <c r="D2246" t="str">
        <f>VLOOKUP(B2246,ERA_MOTIF_TYPES.csv!$A$1:$C$119,2,1)</f>
        <v>Cup and ring</v>
      </c>
      <c r="E2246" t="str">
        <f>VLOOKUP(A2246,Panels!$A$1:$E$2104,5,0)</f>
        <v>The Ringses</v>
      </c>
    </row>
    <row r="2247">
      <c r="A2247" s="3">
        <v>660.0</v>
      </c>
      <c r="B2247" s="3">
        <v>66.0</v>
      </c>
      <c r="C2247" s="3">
        <v>1.0</v>
      </c>
      <c r="D2247" t="str">
        <f>VLOOKUP(B2247,ERA_MOTIF_TYPES.csv!$A$1:$C$119,2,1)</f>
        <v>Cup and groove with multiple penannulars</v>
      </c>
      <c r="E2247" t="str">
        <f>VLOOKUP(A2247,Panels!$A$1:$E$2104,5,0)</f>
        <v>The Ringses</v>
      </c>
    </row>
    <row r="2248">
      <c r="A2248" s="3">
        <v>661.0</v>
      </c>
      <c r="B2248" s="3">
        <v>52.0</v>
      </c>
      <c r="C2248" s="3">
        <v>9.0</v>
      </c>
      <c r="D2248" t="str">
        <f>VLOOKUP(B2248,ERA_MOTIF_TYPES.csv!$A$1:$C$119,2,1)</f>
        <v>Single or multiple cups</v>
      </c>
      <c r="E2248" t="str">
        <f>VLOOKUP(A2248,Panels!$A$1:$E$2104,5,0)</f>
        <v>The Ringses</v>
      </c>
    </row>
    <row r="2249">
      <c r="A2249" s="3">
        <v>661.0</v>
      </c>
      <c r="B2249" s="3">
        <v>57.0</v>
      </c>
      <c r="C2249" s="3">
        <v>4.0</v>
      </c>
      <c r="D2249" t="str">
        <f>VLOOKUP(B2249,ERA_MOTIF_TYPES.csv!$A$1:$C$119,2,1)</f>
        <v>Cup and ring</v>
      </c>
      <c r="E2249" t="str">
        <f>VLOOKUP(A2249,Panels!$A$1:$E$2104,5,0)</f>
        <v>The Ringses</v>
      </c>
    </row>
    <row r="2250">
      <c r="A2250" s="3">
        <v>662.0</v>
      </c>
      <c r="B2250" s="3">
        <v>52.0</v>
      </c>
      <c r="C2250" s="3">
        <v>4.0</v>
      </c>
      <c r="D2250" t="str">
        <f>VLOOKUP(B2250,ERA_MOTIF_TYPES.csv!$A$1:$C$119,2,1)</f>
        <v>Single or multiple cups</v>
      </c>
      <c r="E2250" t="str">
        <f>VLOOKUP(A2250,Panels!$A$1:$E$2104,5,0)</f>
        <v>Hazelrigg</v>
      </c>
    </row>
    <row r="2251">
      <c r="A2251" s="3">
        <v>662.0</v>
      </c>
      <c r="B2251" s="3">
        <v>62.0</v>
      </c>
      <c r="C2251" s="3">
        <v>1.0</v>
      </c>
      <c r="D2251" t="str">
        <f>VLOOKUP(B2251,ERA_MOTIF_TYPES.csv!$A$1:$C$119,2,1)</f>
        <v>Cup and multiple arcs</v>
      </c>
      <c r="E2251" t="str">
        <f>VLOOKUP(A2251,Panels!$A$1:$E$2104,5,0)</f>
        <v>Hazelrigg</v>
      </c>
    </row>
    <row r="2252">
      <c r="A2252" s="3">
        <v>662.0</v>
      </c>
      <c r="B2252" s="3">
        <v>100.0</v>
      </c>
      <c r="C2252" s="3">
        <v>1.0</v>
      </c>
      <c r="D2252" t="str">
        <f>VLOOKUP(B2252,ERA_MOTIF_TYPES.csv!$A$1:$C$119,2,1)</f>
        <v>Pick marks</v>
      </c>
      <c r="E2252" t="str">
        <f>VLOOKUP(A2252,Panels!$A$1:$E$2104,5,0)</f>
        <v>Hazelrigg</v>
      </c>
    </row>
    <row r="2253">
      <c r="A2253" s="3">
        <v>664.0</v>
      </c>
      <c r="B2253" s="3">
        <v>63.0</v>
      </c>
      <c r="C2253" s="3">
        <v>2.0</v>
      </c>
      <c r="D2253" t="str">
        <f>VLOOKUP(B2253,ERA_MOTIF_TYPES.csv!$A$1:$C$119,2,1)</f>
        <v>Cup with groove cutting through ring</v>
      </c>
      <c r="E2253" t="str">
        <f>VLOOKUP(A2253,Panels!$A$1:$E$2104,5,0)</f>
        <v>Weetwood Clavering</v>
      </c>
    </row>
    <row r="2254">
      <c r="A2254" s="3">
        <v>664.0</v>
      </c>
      <c r="B2254" s="3">
        <v>73.0</v>
      </c>
      <c r="C2254" s="3">
        <v>2.0</v>
      </c>
      <c r="D2254" t="str">
        <f>VLOOKUP(B2254,ERA_MOTIF_TYPES.csv!$A$1:$C$119,2,1)</f>
        <v>Arc</v>
      </c>
      <c r="E2254" t="str">
        <f>VLOOKUP(A2254,Panels!$A$1:$E$2104,5,0)</f>
        <v>Weetwood Clavering</v>
      </c>
    </row>
    <row r="2255">
      <c r="A2255" s="3">
        <v>664.0</v>
      </c>
      <c r="B2255" s="3">
        <v>87.0</v>
      </c>
      <c r="C2255" s="3">
        <v>1.0</v>
      </c>
      <c r="D2255" t="str">
        <f>VLOOKUP(B2255,ERA_MOTIF_TYPES.csv!$A$1:$C$119,2,1)</f>
        <v>Linear and angular groove</v>
      </c>
      <c r="E2255" t="str">
        <f>VLOOKUP(A2255,Panels!$A$1:$E$2104,5,0)</f>
        <v>Weetwood Clavering</v>
      </c>
    </row>
    <row r="2256">
      <c r="A2256" s="3">
        <v>665.0</v>
      </c>
      <c r="B2256" s="3">
        <v>59.0</v>
      </c>
      <c r="C2256" s="3">
        <v>1.0</v>
      </c>
      <c r="D2256" t="str">
        <f>VLOOKUP(B2256,ERA_MOTIF_TYPES.csv!$A$1:$C$119,2,1)</f>
        <v>Cup and penannular</v>
      </c>
      <c r="E2256" t="str">
        <f>VLOOKUP(A2256,Panels!$A$1:$E$2104,5,0)</f>
        <v>Weetwood Portable</v>
      </c>
    </row>
    <row r="2257">
      <c r="A2257" s="3">
        <v>666.0</v>
      </c>
      <c r="B2257" s="3">
        <v>52.0</v>
      </c>
      <c r="C2257" s="3">
        <v>1.0</v>
      </c>
      <c r="D2257" t="str">
        <f>VLOOKUP(B2257,ERA_MOTIF_TYPES.csv!$A$1:$C$119,2,1)</f>
        <v>Single or multiple cups</v>
      </c>
      <c r="E2257" t="str">
        <f>VLOOKUP(A2257,Panels!$A$1:$E$2104,5,0)</f>
        <v>Weetwood Portable</v>
      </c>
    </row>
    <row r="2258">
      <c r="A2258" s="3">
        <v>667.0</v>
      </c>
      <c r="B2258" s="3">
        <v>52.0</v>
      </c>
      <c r="C2258" s="3">
        <v>1.0</v>
      </c>
      <c r="D2258" t="str">
        <f>VLOOKUP(B2258,ERA_MOTIF_TYPES.csv!$A$1:$C$119,2,1)</f>
        <v>Single or multiple cups</v>
      </c>
      <c r="E2258" t="str">
        <f>VLOOKUP(A2258,Panels!$A$1:$E$2104,5,0)</f>
        <v>Weetwood Portable</v>
      </c>
    </row>
    <row r="2259">
      <c r="A2259" s="3">
        <v>668.0</v>
      </c>
      <c r="B2259" s="3">
        <v>52.0</v>
      </c>
      <c r="C2259" s="3">
        <v>2.0</v>
      </c>
      <c r="D2259" t="str">
        <f>VLOOKUP(B2259,ERA_MOTIF_TYPES.csv!$A$1:$C$119,2,1)</f>
        <v>Single or multiple cups</v>
      </c>
      <c r="E2259" t="str">
        <f>VLOOKUP(A2259,Panels!$A$1:$E$2104,5,0)</f>
        <v>North Plantation</v>
      </c>
    </row>
    <row r="2260">
      <c r="A2260" s="3">
        <v>668.0</v>
      </c>
      <c r="B2260" s="3">
        <v>60.0</v>
      </c>
      <c r="C2260" s="3">
        <v>1.0</v>
      </c>
      <c r="D2260" t="str">
        <f>VLOOKUP(B2260,ERA_MOTIF_TYPES.csv!$A$1:$C$119,2,1)</f>
        <v>Cup and multiple penannulars</v>
      </c>
      <c r="E2260" t="str">
        <f>VLOOKUP(A2260,Panels!$A$1:$E$2104,5,0)</f>
        <v>North Plantation</v>
      </c>
    </row>
    <row r="2261">
      <c r="A2261" s="3">
        <v>673.0</v>
      </c>
      <c r="B2261" s="3">
        <v>52.0</v>
      </c>
      <c r="C2261" s="3">
        <v>2.0</v>
      </c>
      <c r="D2261" t="str">
        <f>VLOOKUP(B2261,ERA_MOTIF_TYPES.csv!$A$1:$C$119,2,1)</f>
        <v>Single or multiple cups</v>
      </c>
      <c r="E2261" t="str">
        <f>VLOOKUP(A2261,Panels!$A$1:$E$2104,5,0)</f>
        <v>Chatton</v>
      </c>
    </row>
    <row r="2262">
      <c r="A2262" s="3">
        <v>673.0</v>
      </c>
      <c r="B2262" s="3">
        <v>57.0</v>
      </c>
      <c r="C2262" s="3">
        <v>1.0</v>
      </c>
      <c r="D2262" t="str">
        <f>VLOOKUP(B2262,ERA_MOTIF_TYPES.csv!$A$1:$C$119,2,1)</f>
        <v>Cup and ring</v>
      </c>
      <c r="E2262" t="str">
        <f>VLOOKUP(A2262,Panels!$A$1:$E$2104,5,0)</f>
        <v>Chatton</v>
      </c>
    </row>
    <row r="2263">
      <c r="A2263" s="3">
        <v>673.0</v>
      </c>
      <c r="B2263" s="3">
        <v>61.0</v>
      </c>
      <c r="C2263" s="3">
        <v>1.0</v>
      </c>
      <c r="D2263" t="str">
        <f>VLOOKUP(B2263,ERA_MOTIF_TYPES.csv!$A$1:$C$119,2,1)</f>
        <v>Cup and arc (or semi-ovoid)</v>
      </c>
      <c r="E2263" t="str">
        <f>VLOOKUP(A2263,Panels!$A$1:$E$2104,5,0)</f>
        <v>Chatton</v>
      </c>
    </row>
    <row r="2264">
      <c r="A2264" s="3">
        <v>674.0</v>
      </c>
      <c r="B2264" s="3">
        <v>52.0</v>
      </c>
      <c r="C2264" s="3">
        <v>6.0</v>
      </c>
      <c r="D2264" t="str">
        <f>VLOOKUP(B2264,ERA_MOTIF_TYPES.csv!$A$1:$C$119,2,1)</f>
        <v>Single or multiple cups</v>
      </c>
      <c r="E2264" t="str">
        <f>VLOOKUP(A2264,Panels!$A$1:$E$2104,5,0)</f>
        <v>Belshill Quarry</v>
      </c>
    </row>
    <row r="2265">
      <c r="A2265" s="3">
        <v>674.0</v>
      </c>
      <c r="B2265" s="3">
        <v>61.0</v>
      </c>
      <c r="C2265" s="3">
        <v>1.0</v>
      </c>
      <c r="D2265" t="str">
        <f>VLOOKUP(B2265,ERA_MOTIF_TYPES.csv!$A$1:$C$119,2,1)</f>
        <v>Cup and arc (or semi-ovoid)</v>
      </c>
      <c r="E2265" t="str">
        <f>VLOOKUP(A2265,Panels!$A$1:$E$2104,5,0)</f>
        <v>Belshill Quarry</v>
      </c>
    </row>
    <row r="2266">
      <c r="A2266" s="3">
        <v>675.0</v>
      </c>
      <c r="B2266" s="3">
        <v>52.0</v>
      </c>
      <c r="C2266" s="3">
        <v>5.0</v>
      </c>
      <c r="D2266" t="str">
        <f>VLOOKUP(B2266,ERA_MOTIF_TYPES.csv!$A$1:$C$119,2,1)</f>
        <v>Single or multiple cups</v>
      </c>
      <c r="E2266" t="str">
        <f>VLOOKUP(A2266,Panels!$A$1:$E$2104,5,0)</f>
        <v>Belshill Quarry</v>
      </c>
    </row>
    <row r="2267">
      <c r="A2267" s="3">
        <v>675.0</v>
      </c>
      <c r="B2267" s="3">
        <v>65.0</v>
      </c>
      <c r="C2267" s="3">
        <v>1.0</v>
      </c>
      <c r="D2267" t="str">
        <f>VLOOKUP(B2267,ERA_MOTIF_TYPES.csv!$A$1:$C$119,2,1)</f>
        <v>Cup and groove with penannular</v>
      </c>
      <c r="E2267" t="str">
        <f>VLOOKUP(A2267,Panels!$A$1:$E$2104,5,0)</f>
        <v>Belshill Quarry</v>
      </c>
    </row>
    <row r="2268">
      <c r="A2268" s="3">
        <v>675.0</v>
      </c>
      <c r="B2268" s="3">
        <v>100.0</v>
      </c>
      <c r="C2268" s="3">
        <v>1.0</v>
      </c>
      <c r="D2268" t="str">
        <f>VLOOKUP(B2268,ERA_MOTIF_TYPES.csv!$A$1:$C$119,2,1)</f>
        <v>Pick marks</v>
      </c>
      <c r="E2268" t="str">
        <f>VLOOKUP(A2268,Panels!$A$1:$E$2104,5,0)</f>
        <v>Belshill Quarry</v>
      </c>
    </row>
    <row r="2269">
      <c r="A2269" s="3">
        <v>675.0</v>
      </c>
      <c r="B2269" s="3">
        <v>103.0</v>
      </c>
      <c r="C2269" s="3">
        <v>1.0</v>
      </c>
      <c r="D2269" t="str">
        <f>VLOOKUP(B2269,ERA_MOTIF_TYPES.csv!$A$1:$C$119,2,1)</f>
        <v>Cup and groove</v>
      </c>
      <c r="E2269" t="str">
        <f>VLOOKUP(A2269,Panels!$A$1:$E$2104,5,0)</f>
        <v>Belshill Quarry</v>
      </c>
    </row>
    <row r="2270">
      <c r="A2270" s="3">
        <v>677.0</v>
      </c>
      <c r="B2270" s="3">
        <v>52.0</v>
      </c>
      <c r="C2270" s="3">
        <v>1.0</v>
      </c>
      <c r="D2270" t="str">
        <f>VLOOKUP(B2270,ERA_MOTIF_TYPES.csv!$A$1:$C$119,2,1)</f>
        <v>Single or multiple cups</v>
      </c>
      <c r="E2270" t="str">
        <f>VLOOKUP(A2270,Panels!$A$1:$E$2104,5,0)</f>
        <v>Milfield South Henge</v>
      </c>
    </row>
    <row r="2271">
      <c r="A2271" s="3">
        <v>679.0</v>
      </c>
      <c r="B2271" s="3">
        <v>52.0</v>
      </c>
      <c r="C2271" s="3">
        <v>2.0</v>
      </c>
      <c r="D2271" t="str">
        <f>VLOOKUP(B2271,ERA_MOTIF_TYPES.csv!$A$1:$C$119,2,1)</f>
        <v>Single or multiple cups</v>
      </c>
      <c r="E2271" t="str">
        <f>VLOOKUP(A2271,Panels!$A$1:$E$2104,5,0)</f>
        <v>Whitelaw, Kirknewton</v>
      </c>
    </row>
    <row r="2272">
      <c r="A2272" s="3">
        <v>679.0</v>
      </c>
      <c r="B2272" s="3">
        <v>57.0</v>
      </c>
      <c r="C2272" s="3">
        <v>1.0</v>
      </c>
      <c r="D2272" t="str">
        <f>VLOOKUP(B2272,ERA_MOTIF_TYPES.csv!$A$1:$C$119,2,1)</f>
        <v>Cup and ring</v>
      </c>
      <c r="E2272" t="str">
        <f>VLOOKUP(A2272,Panels!$A$1:$E$2104,5,0)</f>
        <v>Whitelaw, Kirknewton</v>
      </c>
    </row>
    <row r="2273">
      <c r="A2273" s="3">
        <v>679.0</v>
      </c>
      <c r="B2273" s="3">
        <v>61.0</v>
      </c>
      <c r="C2273" s="3">
        <v>1.0</v>
      </c>
      <c r="D2273" t="str">
        <f>VLOOKUP(B2273,ERA_MOTIF_TYPES.csv!$A$1:$C$119,2,1)</f>
        <v>Cup and arc (or semi-ovoid)</v>
      </c>
      <c r="E2273" t="str">
        <f>VLOOKUP(A2273,Panels!$A$1:$E$2104,5,0)</f>
        <v>Whitelaw, Kirknewton</v>
      </c>
    </row>
    <row r="2274">
      <c r="A2274" s="3">
        <v>679.0</v>
      </c>
      <c r="B2274" s="3">
        <v>62.0</v>
      </c>
      <c r="C2274" s="3">
        <v>1.0</v>
      </c>
      <c r="D2274" t="str">
        <f>VLOOKUP(B2274,ERA_MOTIF_TYPES.csv!$A$1:$C$119,2,1)</f>
        <v>Cup and multiple arcs</v>
      </c>
      <c r="E2274" t="str">
        <f>VLOOKUP(A2274,Panels!$A$1:$E$2104,5,0)</f>
        <v>Whitelaw, Kirknewton</v>
      </c>
    </row>
    <row r="2275">
      <c r="A2275" s="3">
        <v>679.0</v>
      </c>
      <c r="B2275" s="3">
        <v>66.0</v>
      </c>
      <c r="C2275" s="3">
        <v>1.0</v>
      </c>
      <c r="D2275" t="str">
        <f>VLOOKUP(B2275,ERA_MOTIF_TYPES.csv!$A$1:$C$119,2,1)</f>
        <v>Cup and groove with multiple penannulars</v>
      </c>
      <c r="E2275" t="str">
        <f>VLOOKUP(A2275,Panels!$A$1:$E$2104,5,0)</f>
        <v>Whitelaw, Kirknewton</v>
      </c>
    </row>
    <row r="2276">
      <c r="A2276" s="3">
        <v>679.0</v>
      </c>
      <c r="B2276" s="3">
        <v>69.0</v>
      </c>
      <c r="C2276" s="3">
        <v>1.0</v>
      </c>
      <c r="D2276" t="str">
        <f>VLOOKUP(B2276,ERA_MOTIF_TYPES.csv!$A$1:$C$119,2,1)</f>
        <v>Ring</v>
      </c>
      <c r="E2276" t="str">
        <f>VLOOKUP(A2276,Panels!$A$1:$E$2104,5,0)</f>
        <v>Whitelaw, Kirknewton</v>
      </c>
    </row>
    <row r="2277">
      <c r="A2277" s="3">
        <v>679.0</v>
      </c>
      <c r="B2277" s="3">
        <v>74.0</v>
      </c>
      <c r="C2277" s="3">
        <v>4.0</v>
      </c>
      <c r="D2277" t="str">
        <f>VLOOKUP(B2277,ERA_MOTIF_TYPES.csv!$A$1:$C$119,2,1)</f>
        <v>Multiple arcs</v>
      </c>
      <c r="E2277" t="str">
        <f>VLOOKUP(A2277,Panels!$A$1:$E$2104,5,0)</f>
        <v>Whitelaw, Kirknewton</v>
      </c>
    </row>
    <row r="2278">
      <c r="A2278" s="3">
        <v>679.0</v>
      </c>
      <c r="B2278" s="3">
        <v>87.0</v>
      </c>
      <c r="C2278" s="3">
        <v>1.0</v>
      </c>
      <c r="D2278" t="str">
        <f>VLOOKUP(B2278,ERA_MOTIF_TYPES.csv!$A$1:$C$119,2,1)</f>
        <v>Linear and angular groove</v>
      </c>
      <c r="E2278" t="str">
        <f>VLOOKUP(A2278,Panels!$A$1:$E$2104,5,0)</f>
        <v>Whitelaw, Kirknewton</v>
      </c>
    </row>
    <row r="2279">
      <c r="A2279" s="3">
        <v>679.0</v>
      </c>
      <c r="B2279" s="3">
        <v>93.0</v>
      </c>
      <c r="C2279" s="3">
        <v>2.0</v>
      </c>
      <c r="D2279" t="str">
        <f>VLOOKUP(B2279,ERA_MOTIF_TYPES.csv!$A$1:$C$119,2,1)</f>
        <v>Midget cup</v>
      </c>
      <c r="E2279" t="str">
        <f>VLOOKUP(A2279,Panels!$A$1:$E$2104,5,0)</f>
        <v>Whitelaw, Kirknewton</v>
      </c>
    </row>
    <row r="2280">
      <c r="A2280" s="3">
        <v>680.0</v>
      </c>
      <c r="B2280" s="3">
        <v>66.0</v>
      </c>
      <c r="C2280" s="3">
        <v>1.0</v>
      </c>
      <c r="D2280" t="str">
        <f>VLOOKUP(B2280,ERA_MOTIF_TYPES.csv!$A$1:$C$119,2,1)</f>
        <v>Cup and groove with multiple penannulars</v>
      </c>
      <c r="E2280" t="str">
        <f>VLOOKUP(A2280,Panels!$A$1:$E$2104,5,0)</f>
        <v>Yetlington Lane</v>
      </c>
    </row>
    <row r="2281">
      <c r="A2281" s="3">
        <v>682.0</v>
      </c>
      <c r="B2281" s="3">
        <v>52.0</v>
      </c>
      <c r="C2281" s="3">
        <v>1.0</v>
      </c>
      <c r="D2281" t="str">
        <f>VLOOKUP(B2281,ERA_MOTIF_TYPES.csv!$A$1:$C$119,2,1)</f>
        <v>Single or multiple cups</v>
      </c>
      <c r="E2281" t="str">
        <f>VLOOKUP(A2281,Panels!$A$1:$E$2104,5,0)</f>
        <v>Brockdam Moor</v>
      </c>
    </row>
    <row r="2282">
      <c r="A2282" s="3">
        <v>682.0</v>
      </c>
      <c r="B2282" s="3">
        <v>63.0</v>
      </c>
      <c r="C2282" s="3">
        <v>1.0</v>
      </c>
      <c r="D2282" t="str">
        <f>VLOOKUP(B2282,ERA_MOTIF_TYPES.csv!$A$1:$C$119,2,1)</f>
        <v>Cup with groove cutting through ring</v>
      </c>
      <c r="E2282" t="str">
        <f>VLOOKUP(A2282,Panels!$A$1:$E$2104,5,0)</f>
        <v>Brockdam Moor</v>
      </c>
    </row>
    <row r="2283">
      <c r="A2283" s="3">
        <v>683.0</v>
      </c>
      <c r="B2283" s="3">
        <v>52.0</v>
      </c>
      <c r="C2283" s="3">
        <v>1.0</v>
      </c>
      <c r="D2283" t="str">
        <f>VLOOKUP(B2283,ERA_MOTIF_TYPES.csv!$A$1:$C$119,2,1)</f>
        <v>Single or multiple cups</v>
      </c>
      <c r="E2283" t="str">
        <f>VLOOKUP(A2283,Panels!$A$1:$E$2104,5,0)</f>
        <v>Ouston, Pike Hill</v>
      </c>
    </row>
    <row r="2284">
      <c r="A2284" s="3">
        <v>684.0</v>
      </c>
      <c r="B2284" s="3">
        <v>52.0</v>
      </c>
      <c r="C2284" s="3">
        <v>1.0</v>
      </c>
      <c r="D2284" t="str">
        <f>VLOOKUP(B2284,ERA_MOTIF_TYPES.csv!$A$1:$C$119,2,1)</f>
        <v>Single or multiple cups</v>
      </c>
      <c r="E2284" t="str">
        <f>VLOOKUP(A2284,Panels!$A$1:$E$2104,5,0)</f>
        <v>The Pitland Hills Cairn, Birtley</v>
      </c>
    </row>
    <row r="2285">
      <c r="A2285" s="3">
        <v>685.0</v>
      </c>
      <c r="B2285" s="3">
        <v>52.0</v>
      </c>
      <c r="C2285" s="3">
        <v>4.0</v>
      </c>
      <c r="D2285" t="str">
        <f>VLOOKUP(B2285,ERA_MOTIF_TYPES.csv!$A$1:$C$119,2,1)</f>
        <v>Single or multiple cups</v>
      </c>
      <c r="E2285" t="str">
        <f>VLOOKUP(A2285,Panels!$A$1:$E$2104,5,0)</f>
        <v>The Pitland Hills Cairn, Birtley</v>
      </c>
    </row>
    <row r="2286">
      <c r="A2286" s="3">
        <v>685.0</v>
      </c>
      <c r="B2286" s="3">
        <v>93.0</v>
      </c>
      <c r="C2286" s="3">
        <v>3.0</v>
      </c>
      <c r="D2286" t="str">
        <f>VLOOKUP(B2286,ERA_MOTIF_TYPES.csv!$A$1:$C$119,2,1)</f>
        <v>Midget cup</v>
      </c>
      <c r="E2286" t="str">
        <f>VLOOKUP(A2286,Panels!$A$1:$E$2104,5,0)</f>
        <v>The Pitland Hills Cairn, Birtley</v>
      </c>
    </row>
    <row r="2287">
      <c r="A2287" s="3">
        <v>686.0</v>
      </c>
      <c r="B2287" s="3">
        <v>52.0</v>
      </c>
      <c r="C2287" s="3">
        <v>1.0</v>
      </c>
      <c r="D2287" t="str">
        <f>VLOOKUP(B2287,ERA_MOTIF_TYPES.csv!$A$1:$C$119,2,1)</f>
        <v>Single or multiple cups</v>
      </c>
      <c r="E2287" t="str">
        <f>VLOOKUP(A2287,Panels!$A$1:$E$2104,5,0)</f>
        <v>The Pitland Hills Cairn, Birtley</v>
      </c>
    </row>
    <row r="2288">
      <c r="A2288" s="3">
        <v>687.0</v>
      </c>
      <c r="B2288" s="3">
        <v>52.0</v>
      </c>
      <c r="C2288" s="3">
        <v>2.0</v>
      </c>
      <c r="D2288" t="str">
        <f>VLOOKUP(B2288,ERA_MOTIF_TYPES.csv!$A$1:$C$119,2,1)</f>
        <v>Single or multiple cups</v>
      </c>
      <c r="E2288" t="str">
        <f>VLOOKUP(A2288,Panels!$A$1:$E$2104,5,0)</f>
        <v>The Pitland Hills Cairn, Birtley</v>
      </c>
    </row>
    <row r="2289">
      <c r="A2289" s="3">
        <v>687.0</v>
      </c>
      <c r="B2289" s="3">
        <v>94.0</v>
      </c>
      <c r="C2289" s="3">
        <v>1.0</v>
      </c>
      <c r="D2289" t="str">
        <f>VLOOKUP(B2289,ERA_MOTIF_TYPES.csv!$A$1:$C$119,2,1)</f>
        <v>Basin</v>
      </c>
      <c r="E2289" t="str">
        <f>VLOOKUP(A2289,Panels!$A$1:$E$2104,5,0)</f>
        <v>The Pitland Hills Cairn, Birtley</v>
      </c>
    </row>
    <row r="2290">
      <c r="A2290" s="3">
        <v>688.0</v>
      </c>
      <c r="B2290" s="3">
        <v>95.0</v>
      </c>
      <c r="C2290" s="3">
        <v>1.0</v>
      </c>
      <c r="D2290" t="str">
        <f>VLOOKUP(B2290,ERA_MOTIF_TYPES.csv!$A$1:$C$119,2,1)</f>
        <v>Three parallel grooves</v>
      </c>
      <c r="E2290" t="str">
        <f>VLOOKUP(A2290,Panels!$A$1:$E$2104,5,0)</f>
        <v>The Pitland Hills Cairn, Birtley</v>
      </c>
    </row>
    <row r="2291">
      <c r="A2291" s="3">
        <v>689.0</v>
      </c>
      <c r="B2291" s="3">
        <v>52.0</v>
      </c>
      <c r="C2291" s="3">
        <v>2.0</v>
      </c>
      <c r="D2291" t="str">
        <f>VLOOKUP(B2291,ERA_MOTIF_TYPES.csv!$A$1:$C$119,2,1)</f>
        <v>Single or multiple cups</v>
      </c>
      <c r="E2291" t="str">
        <f>VLOOKUP(A2291,Panels!$A$1:$E$2104,5,0)</f>
        <v>The Pitland Hills Cairn, Birtley</v>
      </c>
    </row>
    <row r="2292">
      <c r="A2292" s="3">
        <v>689.0</v>
      </c>
      <c r="B2292" s="3">
        <v>100.0</v>
      </c>
      <c r="C2292" s="3">
        <v>1.0</v>
      </c>
      <c r="D2292" t="str">
        <f>VLOOKUP(B2292,ERA_MOTIF_TYPES.csv!$A$1:$C$119,2,1)</f>
        <v>Pick marks</v>
      </c>
      <c r="E2292" t="str">
        <f>VLOOKUP(A2292,Panels!$A$1:$E$2104,5,0)</f>
        <v>The Pitland Hills Cairn, Birtley</v>
      </c>
    </row>
    <row r="2293">
      <c r="A2293" s="3">
        <v>690.0</v>
      </c>
      <c r="B2293" s="3">
        <v>52.0</v>
      </c>
      <c r="C2293" s="3">
        <v>1.0</v>
      </c>
      <c r="D2293" t="str">
        <f>VLOOKUP(B2293,ERA_MOTIF_TYPES.csv!$A$1:$C$119,2,1)</f>
        <v>Single or multiple cups</v>
      </c>
      <c r="E2293" t="str">
        <f>VLOOKUP(A2293,Panels!$A$1:$E$2104,5,0)</f>
        <v>The Pitland Hills Cairn, Birtley</v>
      </c>
    </row>
    <row r="2294">
      <c r="A2294" s="3">
        <v>691.0</v>
      </c>
      <c r="B2294" s="3">
        <v>52.0</v>
      </c>
      <c r="C2294" s="3">
        <v>1.0</v>
      </c>
      <c r="D2294" t="str">
        <f>VLOOKUP(B2294,ERA_MOTIF_TYPES.csv!$A$1:$C$119,2,1)</f>
        <v>Single or multiple cups</v>
      </c>
      <c r="E2294" t="str">
        <f>VLOOKUP(A2294,Panels!$A$1:$E$2104,5,0)</f>
        <v>The Pitland Hills Cairn, Birtley</v>
      </c>
    </row>
    <row r="2295">
      <c r="A2295" s="3">
        <v>692.0</v>
      </c>
      <c r="B2295" s="3">
        <v>52.0</v>
      </c>
      <c r="C2295" s="3">
        <v>6.0</v>
      </c>
      <c r="D2295" t="str">
        <f>VLOOKUP(B2295,ERA_MOTIF_TYPES.csv!$A$1:$C$119,2,1)</f>
        <v>Single or multiple cups</v>
      </c>
      <c r="E2295" t="str">
        <f>VLOOKUP(A2295,Panels!$A$1:$E$2104,5,0)</f>
        <v>The Pitland Hills Cairn, Birtley</v>
      </c>
    </row>
    <row r="2296">
      <c r="A2296" s="3">
        <v>693.0</v>
      </c>
      <c r="B2296" s="3">
        <v>52.0</v>
      </c>
      <c r="C2296" s="3">
        <v>1.0</v>
      </c>
      <c r="D2296" t="str">
        <f>VLOOKUP(B2296,ERA_MOTIF_TYPES.csv!$A$1:$C$119,2,1)</f>
        <v>Single or multiple cups</v>
      </c>
      <c r="E2296" t="str">
        <f>VLOOKUP(A2296,Panels!$A$1:$E$2104,5,0)</f>
        <v>The Pitland Hills Cairn, Birtley</v>
      </c>
    </row>
    <row r="2297">
      <c r="A2297" s="3">
        <v>693.0</v>
      </c>
      <c r="B2297" s="3">
        <v>94.0</v>
      </c>
      <c r="C2297" s="3">
        <v>1.0</v>
      </c>
      <c r="D2297" t="str">
        <f>VLOOKUP(B2297,ERA_MOTIF_TYPES.csv!$A$1:$C$119,2,1)</f>
        <v>Basin</v>
      </c>
      <c r="E2297" t="str">
        <f>VLOOKUP(A2297,Panels!$A$1:$E$2104,5,0)</f>
        <v>The Pitland Hills Cairn, Birtley</v>
      </c>
    </row>
    <row r="2298">
      <c r="A2298" s="3">
        <v>693.0</v>
      </c>
      <c r="B2298" s="3">
        <v>100.0</v>
      </c>
      <c r="C2298" s="3">
        <v>1.0</v>
      </c>
      <c r="D2298" t="str">
        <f>VLOOKUP(B2298,ERA_MOTIF_TYPES.csv!$A$1:$C$119,2,1)</f>
        <v>Pick marks</v>
      </c>
      <c r="E2298" t="str">
        <f>VLOOKUP(A2298,Panels!$A$1:$E$2104,5,0)</f>
        <v>The Pitland Hills Cairn, Birtley</v>
      </c>
    </row>
    <row r="2299">
      <c r="A2299" s="3">
        <v>694.0</v>
      </c>
      <c r="B2299" s="3">
        <v>52.0</v>
      </c>
      <c r="C2299" s="3">
        <v>2.0</v>
      </c>
      <c r="D2299" t="str">
        <f>VLOOKUP(B2299,ERA_MOTIF_TYPES.csv!$A$1:$C$119,2,1)</f>
        <v>Single or multiple cups</v>
      </c>
      <c r="E2299" t="str">
        <f>VLOOKUP(A2299,Panels!$A$1:$E$2104,5,0)</f>
        <v>The Pitland Hills Cairn, Birtley</v>
      </c>
    </row>
    <row r="2300">
      <c r="A2300" s="3">
        <v>694.0</v>
      </c>
      <c r="B2300" s="3">
        <v>100.0</v>
      </c>
      <c r="C2300" s="3">
        <v>1.0</v>
      </c>
      <c r="D2300" t="str">
        <f>VLOOKUP(B2300,ERA_MOTIF_TYPES.csv!$A$1:$C$119,2,1)</f>
        <v>Pick marks</v>
      </c>
      <c r="E2300" t="str">
        <f>VLOOKUP(A2300,Panels!$A$1:$E$2104,5,0)</f>
        <v>The Pitland Hills Cairn, Birtley</v>
      </c>
    </row>
    <row r="2301">
      <c r="A2301" s="3">
        <v>695.0</v>
      </c>
      <c r="B2301" s="3">
        <v>52.0</v>
      </c>
      <c r="C2301" s="3">
        <v>1.0</v>
      </c>
      <c r="D2301" t="str">
        <f>VLOOKUP(B2301,ERA_MOTIF_TYPES.csv!$A$1:$C$119,2,1)</f>
        <v>Single or multiple cups</v>
      </c>
      <c r="E2301" t="str">
        <f>VLOOKUP(A2301,Panels!$A$1:$E$2104,5,0)</f>
        <v>The Pitland Hills Cairn, Birtley</v>
      </c>
    </row>
    <row r="2302">
      <c r="A2302" s="3">
        <v>696.0</v>
      </c>
      <c r="B2302" s="3">
        <v>52.0</v>
      </c>
      <c r="C2302" s="3">
        <v>14.0</v>
      </c>
      <c r="D2302" t="str">
        <f>VLOOKUP(B2302,ERA_MOTIF_TYPES.csv!$A$1:$C$119,2,1)</f>
        <v>Single or multiple cups</v>
      </c>
      <c r="E2302" t="str">
        <f>VLOOKUP(A2302,Panels!$A$1:$E$2104,5,0)</f>
        <v>The Pitland Hills Cairn, Birtley</v>
      </c>
    </row>
    <row r="2303">
      <c r="A2303" s="3">
        <v>697.0</v>
      </c>
      <c r="B2303" s="3">
        <v>52.0</v>
      </c>
      <c r="C2303" s="3">
        <v>2.0</v>
      </c>
      <c r="D2303" t="str">
        <f>VLOOKUP(B2303,ERA_MOTIF_TYPES.csv!$A$1:$C$119,2,1)</f>
        <v>Single or multiple cups</v>
      </c>
      <c r="E2303" t="str">
        <f>VLOOKUP(A2303,Panels!$A$1:$E$2104,5,0)</f>
        <v>The Pitland Hills Cairn, Birtley</v>
      </c>
    </row>
    <row r="2304">
      <c r="A2304" s="3">
        <v>698.0</v>
      </c>
      <c r="B2304" s="3">
        <v>52.0</v>
      </c>
      <c r="C2304" s="3">
        <v>1.0</v>
      </c>
      <c r="D2304" t="str">
        <f>VLOOKUP(B2304,ERA_MOTIF_TYPES.csv!$A$1:$C$119,2,1)</f>
        <v>Single or multiple cups</v>
      </c>
      <c r="E2304" t="str">
        <f>VLOOKUP(A2304,Panels!$A$1:$E$2104,5,0)</f>
        <v>The Pitland Hills Cairn, Birtley</v>
      </c>
    </row>
    <row r="2305">
      <c r="A2305" s="3">
        <v>699.0</v>
      </c>
      <c r="B2305" s="3">
        <v>52.0</v>
      </c>
      <c r="C2305" s="3">
        <v>1.0</v>
      </c>
      <c r="D2305" t="str">
        <f>VLOOKUP(B2305,ERA_MOTIF_TYPES.csv!$A$1:$C$119,2,1)</f>
        <v>Single or multiple cups</v>
      </c>
      <c r="E2305" t="str">
        <f>VLOOKUP(A2305,Panels!$A$1:$E$2104,5,0)</f>
        <v>The Pitland Hills Cairn, Birtley</v>
      </c>
    </row>
    <row r="2306">
      <c r="A2306" s="3">
        <v>700.0</v>
      </c>
      <c r="B2306" s="3">
        <v>52.0</v>
      </c>
      <c r="C2306" s="3">
        <v>1.0</v>
      </c>
      <c r="D2306" t="str">
        <f>VLOOKUP(B2306,ERA_MOTIF_TYPES.csv!$A$1:$C$119,2,1)</f>
        <v>Single or multiple cups</v>
      </c>
      <c r="E2306" t="str">
        <f>VLOOKUP(A2306,Panels!$A$1:$E$2104,5,0)</f>
        <v>The Pitland Hills Cairn, Birtley</v>
      </c>
    </row>
    <row r="2307">
      <c r="A2307" s="3">
        <v>701.0</v>
      </c>
      <c r="B2307" s="3">
        <v>52.0</v>
      </c>
      <c r="C2307" s="3">
        <v>9.0</v>
      </c>
      <c r="D2307" t="str">
        <f>VLOOKUP(B2307,ERA_MOTIF_TYPES.csv!$A$1:$C$119,2,1)</f>
        <v>Single or multiple cups</v>
      </c>
      <c r="E2307" t="str">
        <f>VLOOKUP(A2307,Panels!$A$1:$E$2104,5,0)</f>
        <v>Hunters Hill, Ovington</v>
      </c>
    </row>
    <row r="2308">
      <c r="A2308" s="3">
        <v>701.0</v>
      </c>
      <c r="B2308" s="3">
        <v>61.0</v>
      </c>
      <c r="C2308" s="3">
        <v>1.0</v>
      </c>
      <c r="D2308" t="str">
        <f>VLOOKUP(B2308,ERA_MOTIF_TYPES.csv!$A$1:$C$119,2,1)</f>
        <v>Cup and arc (or semi-ovoid)</v>
      </c>
      <c r="E2308" t="str">
        <f>VLOOKUP(A2308,Panels!$A$1:$E$2104,5,0)</f>
        <v>Hunters Hill, Ovington</v>
      </c>
    </row>
    <row r="2309">
      <c r="A2309" s="3">
        <v>701.0</v>
      </c>
      <c r="B2309" s="3">
        <v>64.0</v>
      </c>
      <c r="C2309" s="3">
        <v>1.0</v>
      </c>
      <c r="D2309" t="str">
        <f>VLOOKUP(B2309,ERA_MOTIF_TYPES.csv!$A$1:$C$119,2,1)</f>
        <v>Cup with groove cutting through multiple rings</v>
      </c>
      <c r="E2309" t="str">
        <f>VLOOKUP(A2309,Panels!$A$1:$E$2104,5,0)</f>
        <v>Hunters Hill, Ovington</v>
      </c>
    </row>
    <row r="2310">
      <c r="A2310" s="3">
        <v>701.0</v>
      </c>
      <c r="B2310" s="3">
        <v>87.0</v>
      </c>
      <c r="C2310" s="3">
        <v>1.0</v>
      </c>
      <c r="D2310" t="str">
        <f>VLOOKUP(B2310,ERA_MOTIF_TYPES.csv!$A$1:$C$119,2,1)</f>
        <v>Linear and angular groove</v>
      </c>
      <c r="E2310" t="str">
        <f>VLOOKUP(A2310,Panels!$A$1:$E$2104,5,0)</f>
        <v>Hunters Hill, Ovington</v>
      </c>
    </row>
    <row r="2311">
      <c r="A2311" s="3">
        <v>701.0</v>
      </c>
      <c r="B2311" s="3">
        <v>103.0</v>
      </c>
      <c r="C2311" s="3">
        <v>2.0</v>
      </c>
      <c r="D2311" t="str">
        <f>VLOOKUP(B2311,ERA_MOTIF_TYPES.csv!$A$1:$C$119,2,1)</f>
        <v>Cup and groove</v>
      </c>
      <c r="E2311" t="str">
        <f>VLOOKUP(A2311,Panels!$A$1:$E$2104,5,0)</f>
        <v>Hunters Hill, Ovington</v>
      </c>
    </row>
    <row r="2312">
      <c r="A2312" s="3">
        <v>701.0</v>
      </c>
      <c r="B2312" s="3">
        <v>105.0</v>
      </c>
      <c r="C2312" s="3">
        <v>8.0</v>
      </c>
      <c r="D2312" t="str">
        <f>VLOOKUP(B2312,ERA_MOTIF_TYPES.csv!$A$1:$C$119,2,1)</f>
        <v>Two cups linked by a groove</v>
      </c>
      <c r="E2312" t="str">
        <f>VLOOKUP(A2312,Panels!$A$1:$E$2104,5,0)</f>
        <v>Hunters Hill, Ovington</v>
      </c>
    </row>
    <row r="2313">
      <c r="A2313" s="3">
        <v>701.0</v>
      </c>
      <c r="B2313" s="3">
        <v>110.0</v>
      </c>
      <c r="C2313" s="3">
        <v>3.0</v>
      </c>
      <c r="D2313" t="str">
        <f>VLOOKUP(B2313,ERA_MOTIF_TYPES.csv!$A$1:$C$119,2,1)</f>
        <v>Curved groove</v>
      </c>
      <c r="E2313" t="str">
        <f>VLOOKUP(A2313,Panels!$A$1:$E$2104,5,0)</f>
        <v>Hunters Hill, Ovington</v>
      </c>
    </row>
    <row r="2314">
      <c r="A2314" s="3">
        <v>705.0</v>
      </c>
      <c r="B2314" s="3">
        <v>52.0</v>
      </c>
      <c r="C2314" s="3">
        <v>1.0</v>
      </c>
      <c r="D2314" t="str">
        <f>VLOOKUP(B2314,ERA_MOTIF_TYPES.csv!$A$1:$C$119,2,1)</f>
        <v>Single or multiple cups</v>
      </c>
      <c r="E2314" t="str">
        <f>VLOOKUP(A2314,Panels!$A$1:$E$2104,5,0)</f>
        <v>Fowberry Excavation Site - Cairn r</v>
      </c>
    </row>
    <row r="2315">
      <c r="A2315" s="3">
        <v>707.0</v>
      </c>
      <c r="B2315" s="3">
        <v>69.0</v>
      </c>
      <c r="C2315" s="3">
        <v>1.0</v>
      </c>
      <c r="D2315" t="str">
        <f>VLOOKUP(B2315,ERA_MOTIF_TYPES.csv!$A$1:$C$119,2,1)</f>
        <v>Ring</v>
      </c>
      <c r="E2315" t="str">
        <f>VLOOKUP(A2315,Panels!$A$1:$E$2104,5,0)</f>
        <v>Harbottle Peels</v>
      </c>
    </row>
    <row r="2316">
      <c r="A2316" s="3">
        <v>708.0</v>
      </c>
      <c r="B2316" s="3">
        <v>52.0</v>
      </c>
      <c r="C2316" s="3">
        <v>1.0</v>
      </c>
      <c r="D2316" t="str">
        <f>VLOOKUP(B2316,ERA_MOTIF_TYPES.csv!$A$1:$C$119,2,1)</f>
        <v>Single or multiple cups</v>
      </c>
      <c r="E2316" t="str">
        <f>VLOOKUP(A2316,Panels!$A$1:$E$2104,5,0)</f>
        <v>The Fawns, Kirkwhelpington</v>
      </c>
    </row>
    <row r="2317">
      <c r="A2317" s="3">
        <v>709.0</v>
      </c>
      <c r="B2317" s="3">
        <v>52.0</v>
      </c>
      <c r="C2317" s="3">
        <v>1.0</v>
      </c>
      <c r="D2317" t="str">
        <f>VLOOKUP(B2317,ERA_MOTIF_TYPES.csv!$A$1:$C$119,2,1)</f>
        <v>Single or multiple cups</v>
      </c>
      <c r="E2317" t="str">
        <f>VLOOKUP(A2317,Panels!$A$1:$E$2104,5,0)</f>
        <v>Cambo,Wallington</v>
      </c>
    </row>
    <row r="2318">
      <c r="A2318" s="3">
        <v>711.0</v>
      </c>
      <c r="B2318" s="3">
        <v>1.0</v>
      </c>
      <c r="C2318" s="3">
        <v>2.0</v>
      </c>
      <c r="D2318" t="str">
        <f>VLOOKUP(B2318,ERA_MOTIF_TYPES.csv!$A$1:$C$119,2,1)</f>
        <v>Cups Single</v>
      </c>
      <c r="E2318" t="str">
        <f>VLOOKUP(A2318,Panels!$A$1:$E$2104,5,0)</f>
        <v>Beanley Portable</v>
      </c>
    </row>
    <row r="2319">
      <c r="A2319" s="3">
        <v>711.0</v>
      </c>
      <c r="B2319" s="3">
        <v>35.0</v>
      </c>
      <c r="C2319" s="3">
        <v>3.0</v>
      </c>
      <c r="D2319" t="str">
        <f>VLOOKUP(B2319,ERA_MOTIF_TYPES.csv!$A$1:$C$119,2,1)</f>
        <v>Cup Groove and multi penannular</v>
      </c>
      <c r="E2319" t="str">
        <f>VLOOKUP(A2319,Panels!$A$1:$E$2104,5,0)</f>
        <v>Beanley Portable</v>
      </c>
    </row>
    <row r="2320">
      <c r="A2320" s="3">
        <v>712.0</v>
      </c>
      <c r="B2320" s="3">
        <v>15.0</v>
      </c>
      <c r="C2320" s="3">
        <v>1.0</v>
      </c>
      <c r="D2320" t="str">
        <f>VLOOKUP(B2320,ERA_MOTIF_TYPES.csv!$A$1:$C$119,2,1)</f>
        <v>Multi Penanular + cup</v>
      </c>
      <c r="E2320" t="str">
        <f>VLOOKUP(A2320,Panels!$A$1:$E$2104,5,0)</f>
        <v>Beanley Portable</v>
      </c>
    </row>
    <row r="2321">
      <c r="A2321" s="3">
        <v>712.0</v>
      </c>
      <c r="B2321" s="3">
        <v>60.0</v>
      </c>
      <c r="C2321" s="3">
        <v>1.0</v>
      </c>
      <c r="D2321" t="str">
        <f>VLOOKUP(B2321,ERA_MOTIF_TYPES.csv!$A$1:$C$119,2,1)</f>
        <v>Cup and multiple penannulars</v>
      </c>
      <c r="E2321" t="str">
        <f>VLOOKUP(A2321,Panels!$A$1:$E$2104,5,0)</f>
        <v>Beanley Portable</v>
      </c>
    </row>
    <row r="2322">
      <c r="A2322" s="3">
        <v>713.0</v>
      </c>
      <c r="B2322" s="3">
        <v>105.0</v>
      </c>
      <c r="C2322" s="3">
        <v>1.0</v>
      </c>
      <c r="D2322" t="str">
        <f>VLOOKUP(B2322,ERA_MOTIF_TYPES.csv!$A$1:$C$119,2,1)</f>
        <v>Two cups linked by a groove</v>
      </c>
      <c r="E2322" t="str">
        <f>VLOOKUP(A2322,Panels!$A$1:$E$2104,5,0)</f>
        <v>Fenwick Fell Field</v>
      </c>
    </row>
    <row r="2323">
      <c r="A2323" s="3">
        <v>714.0</v>
      </c>
      <c r="B2323" s="3">
        <v>1.0</v>
      </c>
      <c r="C2323" s="3">
        <v>1.0</v>
      </c>
      <c r="D2323" t="str">
        <f>VLOOKUP(B2323,ERA_MOTIF_TYPES.csv!$A$1:$C$119,2,1)</f>
        <v>Cups Single</v>
      </c>
      <c r="E2323" t="str">
        <f>VLOOKUP(A2323,Panels!$A$1:$E$2104,5,0)</f>
        <v>Fenwick Fell Field</v>
      </c>
    </row>
    <row r="2324">
      <c r="A2324" s="3">
        <v>714.0</v>
      </c>
      <c r="B2324" s="3">
        <v>52.0</v>
      </c>
      <c r="C2324" s="3">
        <v>1.0</v>
      </c>
      <c r="D2324" t="str">
        <f>VLOOKUP(B2324,ERA_MOTIF_TYPES.csv!$A$1:$C$119,2,1)</f>
        <v>Single or multiple cups</v>
      </c>
      <c r="E2324" t="str">
        <f>VLOOKUP(A2324,Panels!$A$1:$E$2104,5,0)</f>
        <v>Fenwick Fell Field</v>
      </c>
    </row>
    <row r="2325">
      <c r="A2325" s="3">
        <v>715.0</v>
      </c>
      <c r="B2325" s="3">
        <v>1.0</v>
      </c>
      <c r="C2325" s="3">
        <v>12.0</v>
      </c>
      <c r="D2325" t="str">
        <f>VLOOKUP(B2325,ERA_MOTIF_TYPES.csv!$A$1:$C$119,2,1)</f>
        <v>Cups Single</v>
      </c>
      <c r="E2325" t="str">
        <f>VLOOKUP(A2325,Panels!$A$1:$E$2104,5,0)</f>
        <v>Corbridge</v>
      </c>
    </row>
    <row r="2326">
      <c r="A2326" s="3">
        <v>715.0</v>
      </c>
      <c r="B2326" s="3">
        <v>46.0</v>
      </c>
      <c r="C2326" s="3">
        <v>1.0</v>
      </c>
      <c r="D2326" t="str">
        <f>VLOOKUP(B2326,ERA_MOTIF_TYPES.csv!$A$1:$C$119,2,1)</f>
        <v>Groove and cups</v>
      </c>
      <c r="E2326" t="str">
        <f>VLOOKUP(A2326,Panels!$A$1:$E$2104,5,0)</f>
        <v>Corbridge</v>
      </c>
    </row>
    <row r="2327">
      <c r="A2327" s="3">
        <v>715.0</v>
      </c>
      <c r="B2327" s="3">
        <v>52.0</v>
      </c>
      <c r="C2327" s="3">
        <v>23.0</v>
      </c>
      <c r="D2327" t="str">
        <f>VLOOKUP(B2327,ERA_MOTIF_TYPES.csv!$A$1:$C$119,2,1)</f>
        <v>Single or multiple cups</v>
      </c>
      <c r="E2327" t="str">
        <f>VLOOKUP(A2327,Panels!$A$1:$E$2104,5,0)</f>
        <v>Corbridge</v>
      </c>
    </row>
    <row r="2328">
      <c r="A2328" s="3">
        <v>715.0</v>
      </c>
      <c r="B2328" s="3">
        <v>84.0</v>
      </c>
      <c r="C2328" s="3">
        <v>1.0</v>
      </c>
      <c r="D2328" t="str">
        <f>VLOOKUP(B2328,ERA_MOTIF_TYPES.csv!$A$1:$C$119,2,1)</f>
        <v>Oval groove enclosing cups</v>
      </c>
      <c r="E2328" t="str">
        <f>VLOOKUP(A2328,Panels!$A$1:$E$2104,5,0)</f>
        <v>Corbridge</v>
      </c>
    </row>
    <row r="2329">
      <c r="A2329" s="3">
        <v>715.0</v>
      </c>
      <c r="B2329" s="3">
        <v>105.0</v>
      </c>
      <c r="C2329" s="3">
        <v>1.0</v>
      </c>
      <c r="D2329" t="str">
        <f>VLOOKUP(B2329,ERA_MOTIF_TYPES.csv!$A$1:$C$119,2,1)</f>
        <v>Two cups linked by a groove</v>
      </c>
      <c r="E2329" t="str">
        <f>VLOOKUP(A2329,Panels!$A$1:$E$2104,5,0)</f>
        <v>Corbridge</v>
      </c>
    </row>
    <row r="2330">
      <c r="A2330" s="3">
        <v>716.0</v>
      </c>
      <c r="B2330" s="3">
        <v>13.0</v>
      </c>
      <c r="C2330" s="3">
        <v>3.0</v>
      </c>
      <c r="D2330" t="str">
        <f>VLOOKUP(B2330,ERA_MOTIF_TYPES.csv!$A$1:$C$119,2,1)</f>
        <v>Single Ring + cup</v>
      </c>
      <c r="E2330" t="str">
        <f>VLOOKUP(A2330,Panels!$A$1:$E$2104,5,0)</f>
        <v>St John Lee Church</v>
      </c>
    </row>
    <row r="2331">
      <c r="A2331" s="3">
        <v>716.0</v>
      </c>
      <c r="B2331" s="3">
        <v>14.0</v>
      </c>
      <c r="C2331" s="3">
        <v>1.0</v>
      </c>
      <c r="D2331" t="str">
        <f>VLOOKUP(B2331,ERA_MOTIF_TYPES.csv!$A$1:$C$119,2,1)</f>
        <v>Multi Ring + cup</v>
      </c>
      <c r="E2331" t="str">
        <f>VLOOKUP(A2331,Panels!$A$1:$E$2104,5,0)</f>
        <v>St John Lee Church</v>
      </c>
    </row>
    <row r="2332">
      <c r="A2332" s="3">
        <v>716.0</v>
      </c>
      <c r="B2332" s="3">
        <v>27.0</v>
      </c>
      <c r="C2332" s="3">
        <v>1.0</v>
      </c>
      <c r="D2332" t="str">
        <f>VLOOKUP(B2332,ERA_MOTIF_TYPES.csv!$A$1:$C$119,2,1)</f>
        <v>Serpentine</v>
      </c>
      <c r="E2332" t="str">
        <f>VLOOKUP(A2332,Panels!$A$1:$E$2104,5,0)</f>
        <v>St John Lee Church</v>
      </c>
    </row>
    <row r="2333">
      <c r="A2333" s="3">
        <v>716.0</v>
      </c>
      <c r="B2333" s="3">
        <v>33.0</v>
      </c>
      <c r="C2333" s="3">
        <v>1.0</v>
      </c>
      <c r="D2333" t="str">
        <f>VLOOKUP(B2333,ERA_MOTIF_TYPES.csv!$A$1:$C$119,2,1)</f>
        <v>Cup Groove and multi ring</v>
      </c>
      <c r="E2333" t="str">
        <f>VLOOKUP(A2333,Panels!$A$1:$E$2104,5,0)</f>
        <v>St John Lee Church</v>
      </c>
    </row>
    <row r="2334">
      <c r="A2334" s="3">
        <v>716.0</v>
      </c>
      <c r="B2334" s="3">
        <v>52.0</v>
      </c>
      <c r="C2334" s="3">
        <v>1.0</v>
      </c>
      <c r="D2334" t="str">
        <f>VLOOKUP(B2334,ERA_MOTIF_TYPES.csv!$A$1:$C$119,2,1)</f>
        <v>Single or multiple cups</v>
      </c>
      <c r="E2334" t="str">
        <f>VLOOKUP(A2334,Panels!$A$1:$E$2104,5,0)</f>
        <v>St John Lee Church</v>
      </c>
    </row>
    <row r="2335">
      <c r="A2335" s="3">
        <v>716.0</v>
      </c>
      <c r="B2335" s="3">
        <v>57.0</v>
      </c>
      <c r="C2335" s="3">
        <v>1.0</v>
      </c>
      <c r="D2335" t="str">
        <f>VLOOKUP(B2335,ERA_MOTIF_TYPES.csv!$A$1:$C$119,2,1)</f>
        <v>Cup and ring</v>
      </c>
      <c r="E2335" t="str">
        <f>VLOOKUP(A2335,Panels!$A$1:$E$2104,5,0)</f>
        <v>St John Lee Church</v>
      </c>
    </row>
    <row r="2336">
      <c r="A2336" s="3">
        <v>716.0</v>
      </c>
      <c r="B2336" s="3">
        <v>63.0</v>
      </c>
      <c r="C2336" s="3">
        <v>2.0</v>
      </c>
      <c r="D2336" t="str">
        <f>VLOOKUP(B2336,ERA_MOTIF_TYPES.csv!$A$1:$C$119,2,1)</f>
        <v>Cup with groove cutting through ring</v>
      </c>
      <c r="E2336" t="str">
        <f>VLOOKUP(A2336,Panels!$A$1:$E$2104,5,0)</f>
        <v>St John Lee Church</v>
      </c>
    </row>
    <row r="2337">
      <c r="A2337" s="3">
        <v>716.0</v>
      </c>
      <c r="B2337" s="3">
        <v>64.0</v>
      </c>
      <c r="C2337" s="3">
        <v>2.0</v>
      </c>
      <c r="D2337" t="str">
        <f>VLOOKUP(B2337,ERA_MOTIF_TYPES.csv!$A$1:$C$119,2,1)</f>
        <v>Cup with groove cutting through multiple rings</v>
      </c>
      <c r="E2337" t="str">
        <f>VLOOKUP(A2337,Panels!$A$1:$E$2104,5,0)</f>
        <v>St John Lee Church</v>
      </c>
    </row>
    <row r="2338">
      <c r="A2338" s="3">
        <v>716.0</v>
      </c>
      <c r="B2338" s="3">
        <v>90.0</v>
      </c>
      <c r="C2338" s="3">
        <v>1.0</v>
      </c>
      <c r="D2338" t="str">
        <f>VLOOKUP(B2338,ERA_MOTIF_TYPES.csv!$A$1:$C$119,2,1)</f>
        <v>Serpentine groove</v>
      </c>
      <c r="E2338" t="str">
        <f>VLOOKUP(A2338,Panels!$A$1:$E$2104,5,0)</f>
        <v>St John Lee Church</v>
      </c>
    </row>
    <row r="2339">
      <c r="A2339" s="3">
        <v>716.0</v>
      </c>
      <c r="B2339" s="3">
        <v>110.0</v>
      </c>
      <c r="C2339" s="3">
        <v>1.0</v>
      </c>
      <c r="D2339" t="str">
        <f>VLOOKUP(B2339,ERA_MOTIF_TYPES.csv!$A$1:$C$119,2,1)</f>
        <v>Curved groove</v>
      </c>
      <c r="E2339" t="str">
        <f>VLOOKUP(A2339,Panels!$A$1:$E$2104,5,0)</f>
        <v>St John Lee Church</v>
      </c>
    </row>
    <row r="2340">
      <c r="A2340" s="3">
        <v>717.0</v>
      </c>
      <c r="B2340" s="3">
        <v>1.0</v>
      </c>
      <c r="C2340" s="3">
        <v>7.0</v>
      </c>
      <c r="D2340" t="str">
        <f>VLOOKUP(B2340,ERA_MOTIF_TYPES.csv!$A$1:$C$119,2,1)</f>
        <v>Cups Single</v>
      </c>
      <c r="E2340" t="str">
        <f>VLOOKUP(A2340,Panels!$A$1:$E$2104,5,0)</f>
        <v>Shield Croft Farm, Hexham</v>
      </c>
    </row>
    <row r="2341">
      <c r="A2341" s="3">
        <v>717.0</v>
      </c>
      <c r="B2341" s="3">
        <v>52.0</v>
      </c>
      <c r="C2341" s="3">
        <v>7.0</v>
      </c>
      <c r="D2341" t="str">
        <f>VLOOKUP(B2341,ERA_MOTIF_TYPES.csv!$A$1:$C$119,2,1)</f>
        <v>Single or multiple cups</v>
      </c>
      <c r="E2341" t="str">
        <f>VLOOKUP(A2341,Panels!$A$1:$E$2104,5,0)</f>
        <v>Shield Croft Farm, Hexham</v>
      </c>
    </row>
    <row r="2342">
      <c r="A2342" s="3">
        <v>718.0</v>
      </c>
      <c r="B2342" s="3">
        <v>1.0</v>
      </c>
      <c r="C2342" s="3">
        <v>1.0</v>
      </c>
      <c r="D2342" t="str">
        <f>VLOOKUP(B2342,ERA_MOTIF_TYPES.csv!$A$1:$C$119,2,1)</f>
        <v>Cups Single</v>
      </c>
      <c r="E2342" t="str">
        <f>VLOOKUP(A2342,Panels!$A$1:$E$2104,5,0)</f>
        <v>Shield Croft Farm, Hexham</v>
      </c>
    </row>
    <row r="2343">
      <c r="A2343" s="3">
        <v>719.0</v>
      </c>
      <c r="B2343" s="3">
        <v>18.0</v>
      </c>
      <c r="C2343" s="3">
        <v>1.0</v>
      </c>
      <c r="D2343" t="str">
        <f>VLOOKUP(B2343,ERA_MOTIF_TYPES.csv!$A$1:$C$119,2,1)</f>
        <v>Multi Arc + cup</v>
      </c>
      <c r="E2343" t="str">
        <f>VLOOKUP(A2343,Panels!$A$1:$E$2104,5,0)</f>
        <v>Dod Law Cist (Procter)</v>
      </c>
    </row>
    <row r="2344">
      <c r="A2344" s="3">
        <v>719.0</v>
      </c>
      <c r="B2344" s="3">
        <v>35.0</v>
      </c>
      <c r="C2344" s="3">
        <v>1.0</v>
      </c>
      <c r="D2344" t="str">
        <f>VLOOKUP(B2344,ERA_MOTIF_TYPES.csv!$A$1:$C$119,2,1)</f>
        <v>Cup Groove and multi penannular</v>
      </c>
      <c r="E2344" t="str">
        <f>VLOOKUP(A2344,Panels!$A$1:$E$2104,5,0)</f>
        <v>Dod Law Cist (Procter)</v>
      </c>
    </row>
    <row r="2345">
      <c r="A2345" s="3">
        <v>720.0</v>
      </c>
      <c r="B2345" s="3">
        <v>35.0</v>
      </c>
      <c r="C2345" s="3">
        <v>1.0</v>
      </c>
      <c r="D2345" t="str">
        <f>VLOOKUP(B2345,ERA_MOTIF_TYPES.csv!$A$1:$C$119,2,1)</f>
        <v>Cup Groove and multi penannular</v>
      </c>
      <c r="E2345" t="str">
        <f>VLOOKUP(A2345,Panels!$A$1:$E$2104,5,0)</f>
        <v>Ingoe Wall</v>
      </c>
    </row>
    <row r="2346">
      <c r="A2346" s="3">
        <v>720.0</v>
      </c>
      <c r="B2346" s="3">
        <v>52.0</v>
      </c>
      <c r="C2346" s="3">
        <v>1.0</v>
      </c>
      <c r="D2346" t="str">
        <f>VLOOKUP(B2346,ERA_MOTIF_TYPES.csv!$A$1:$C$119,2,1)</f>
        <v>Single or multiple cups</v>
      </c>
      <c r="E2346" t="str">
        <f>VLOOKUP(A2346,Panels!$A$1:$E$2104,5,0)</f>
        <v>Ingoe Wall</v>
      </c>
    </row>
    <row r="2347">
      <c r="A2347" s="3">
        <v>720.0</v>
      </c>
      <c r="B2347" s="3">
        <v>66.0</v>
      </c>
      <c r="C2347" s="3">
        <v>1.0</v>
      </c>
      <c r="D2347" t="str">
        <f>VLOOKUP(B2347,ERA_MOTIF_TYPES.csv!$A$1:$C$119,2,1)</f>
        <v>Cup and groove with multiple penannulars</v>
      </c>
      <c r="E2347" t="str">
        <f>VLOOKUP(A2347,Panels!$A$1:$E$2104,5,0)</f>
        <v>Ingoe Wall</v>
      </c>
    </row>
    <row r="2348">
      <c r="A2348" s="3">
        <v>720.0</v>
      </c>
      <c r="B2348" s="3">
        <v>87.0</v>
      </c>
      <c r="C2348" s="3">
        <v>3.0</v>
      </c>
      <c r="D2348" t="str">
        <f>VLOOKUP(B2348,ERA_MOTIF_TYPES.csv!$A$1:$C$119,2,1)</f>
        <v>Linear and angular groove</v>
      </c>
      <c r="E2348" t="str">
        <f>VLOOKUP(A2348,Panels!$A$1:$E$2104,5,0)</f>
        <v>Ingoe Wall</v>
      </c>
    </row>
    <row r="2349">
      <c r="A2349" s="3">
        <v>721.0</v>
      </c>
      <c r="B2349" s="3">
        <v>52.0</v>
      </c>
      <c r="C2349" s="3">
        <v>2.0</v>
      </c>
      <c r="D2349" t="str">
        <f>VLOOKUP(B2349,ERA_MOTIF_TYPES.csv!$A$1:$C$119,2,1)</f>
        <v>Single or multiple cups</v>
      </c>
      <c r="E2349" t="str">
        <f>VLOOKUP(A2349,Panels!$A$1:$E$2104,5,0)</f>
        <v>Watch Law Farm</v>
      </c>
    </row>
    <row r="2350">
      <c r="A2350" s="3">
        <v>721.0</v>
      </c>
      <c r="B2350" s="3">
        <v>66.0</v>
      </c>
      <c r="C2350" s="3">
        <v>1.0</v>
      </c>
      <c r="D2350" t="str">
        <f>VLOOKUP(B2350,ERA_MOTIF_TYPES.csv!$A$1:$C$119,2,1)</f>
        <v>Cup and groove with multiple penannulars</v>
      </c>
      <c r="E2350" t="str">
        <f>VLOOKUP(A2350,Panels!$A$1:$E$2104,5,0)</f>
        <v>Watch Law Farm</v>
      </c>
    </row>
    <row r="2351">
      <c r="A2351" s="3">
        <v>721.0</v>
      </c>
      <c r="B2351" s="3">
        <v>69.0</v>
      </c>
      <c r="C2351" s="3">
        <v>1.0</v>
      </c>
      <c r="D2351" t="str">
        <f>VLOOKUP(B2351,ERA_MOTIF_TYPES.csv!$A$1:$C$119,2,1)</f>
        <v>Ring</v>
      </c>
      <c r="E2351" t="str">
        <f>VLOOKUP(A2351,Panels!$A$1:$E$2104,5,0)</f>
        <v>Watch Law Farm</v>
      </c>
    </row>
    <row r="2352">
      <c r="A2352" s="3">
        <v>722.0</v>
      </c>
      <c r="B2352" s="3">
        <v>52.0</v>
      </c>
      <c r="C2352" s="3">
        <v>1.0</v>
      </c>
      <c r="D2352" t="str">
        <f>VLOOKUP(B2352,ERA_MOTIF_TYPES.csv!$A$1:$C$119,2,1)</f>
        <v>Single or multiple cups</v>
      </c>
      <c r="E2352" t="str">
        <f>VLOOKUP(A2352,Panels!$A$1:$E$2104,5,0)</f>
        <v>Dod Law Excavation Site Object</v>
      </c>
    </row>
    <row r="2353">
      <c r="A2353" s="3">
        <v>722.0</v>
      </c>
      <c r="B2353" s="3">
        <v>100.0</v>
      </c>
      <c r="C2353" s="3">
        <v>1.0</v>
      </c>
      <c r="D2353" t="str">
        <f>VLOOKUP(B2353,ERA_MOTIF_TYPES.csv!$A$1:$C$119,2,1)</f>
        <v>Pick marks</v>
      </c>
      <c r="E2353" t="str">
        <f>VLOOKUP(A2353,Panels!$A$1:$E$2104,5,0)</f>
        <v>Dod Law Excavation Site Object</v>
      </c>
    </row>
    <row r="2354">
      <c r="A2354" s="3">
        <v>723.0</v>
      </c>
      <c r="B2354" s="3">
        <v>52.0</v>
      </c>
      <c r="C2354" s="3">
        <v>2.0</v>
      </c>
      <c r="D2354" t="str">
        <f>VLOOKUP(B2354,ERA_MOTIF_TYPES.csv!$A$1:$C$119,2,1)</f>
        <v>Single or multiple cups</v>
      </c>
      <c r="E2354" t="str">
        <f>VLOOKUP(A2354,Panels!$A$1:$E$2104,5,0)</f>
        <v>Dod Law Excavation Site Object</v>
      </c>
    </row>
    <row r="2355">
      <c r="A2355" s="3">
        <v>724.0</v>
      </c>
      <c r="B2355" s="3">
        <v>66.0</v>
      </c>
      <c r="C2355" s="3">
        <v>1.0</v>
      </c>
      <c r="D2355" t="str">
        <f>VLOOKUP(B2355,ERA_MOTIF_TYPES.csv!$A$1:$C$119,2,1)</f>
        <v>Cup and groove with multiple penannulars</v>
      </c>
      <c r="E2355" t="str">
        <f>VLOOKUP(A2355,Panels!$A$1:$E$2104,5,0)</f>
        <v>Gled Law</v>
      </c>
    </row>
    <row r="2356">
      <c r="A2356" s="3">
        <v>724.0</v>
      </c>
      <c r="B2356" s="3">
        <v>87.0</v>
      </c>
      <c r="C2356" s="3">
        <v>1.0</v>
      </c>
      <c r="D2356" t="str">
        <f>VLOOKUP(B2356,ERA_MOTIF_TYPES.csv!$A$1:$C$119,2,1)</f>
        <v>Linear and angular groove</v>
      </c>
      <c r="E2356" t="str">
        <f>VLOOKUP(A2356,Panels!$A$1:$E$2104,5,0)</f>
        <v>Gled Law</v>
      </c>
    </row>
    <row r="2357">
      <c r="A2357" s="3">
        <v>725.0</v>
      </c>
      <c r="B2357" s="3">
        <v>15.0</v>
      </c>
      <c r="C2357" s="3">
        <v>1.0</v>
      </c>
      <c r="D2357" t="str">
        <f>VLOOKUP(B2357,ERA_MOTIF_TYPES.csv!$A$1:$C$119,2,1)</f>
        <v>Multi Penanular + cup</v>
      </c>
      <c r="E2357" t="str">
        <f>VLOOKUP(A2357,Panels!$A$1:$E$2104,5,0)</f>
        <v>Weetwood Moor</v>
      </c>
    </row>
    <row r="2358">
      <c r="A2358" s="3">
        <v>725.0</v>
      </c>
      <c r="B2358" s="3">
        <v>52.0</v>
      </c>
      <c r="C2358" s="3">
        <v>1.0</v>
      </c>
      <c r="D2358" t="str">
        <f>VLOOKUP(B2358,ERA_MOTIF_TYPES.csv!$A$1:$C$119,2,1)</f>
        <v>Single or multiple cups</v>
      </c>
      <c r="E2358" t="str">
        <f>VLOOKUP(A2358,Panels!$A$1:$E$2104,5,0)</f>
        <v>Weetwood Moor</v>
      </c>
    </row>
    <row r="2359">
      <c r="A2359" s="3">
        <v>725.0</v>
      </c>
      <c r="B2359" s="3">
        <v>57.0</v>
      </c>
      <c r="C2359" s="3">
        <v>1.0</v>
      </c>
      <c r="D2359" t="str">
        <f>VLOOKUP(B2359,ERA_MOTIF_TYPES.csv!$A$1:$C$119,2,1)</f>
        <v>Cup and ring</v>
      </c>
      <c r="E2359" t="str">
        <f>VLOOKUP(A2359,Panels!$A$1:$E$2104,5,0)</f>
        <v>Weetwood Moor</v>
      </c>
    </row>
    <row r="2360">
      <c r="A2360" s="3">
        <v>725.0</v>
      </c>
      <c r="B2360" s="3">
        <v>66.0</v>
      </c>
      <c r="C2360" s="3">
        <v>1.0</v>
      </c>
      <c r="D2360" t="str">
        <f>VLOOKUP(B2360,ERA_MOTIF_TYPES.csv!$A$1:$C$119,2,1)</f>
        <v>Cup and groove with multiple penannulars</v>
      </c>
      <c r="E2360" t="str">
        <f>VLOOKUP(A2360,Panels!$A$1:$E$2104,5,0)</f>
        <v>Weetwood Moor</v>
      </c>
    </row>
    <row r="2361">
      <c r="A2361" s="3">
        <v>725.0</v>
      </c>
      <c r="B2361" s="3">
        <v>110.0</v>
      </c>
      <c r="C2361" s="3">
        <v>1.0</v>
      </c>
      <c r="D2361" t="str">
        <f>VLOOKUP(B2361,ERA_MOTIF_TYPES.csv!$A$1:$C$119,2,1)</f>
        <v>Curved groove</v>
      </c>
      <c r="E2361" t="str">
        <f>VLOOKUP(A2361,Panels!$A$1:$E$2104,5,0)</f>
        <v>Weetwood Moor</v>
      </c>
    </row>
    <row r="2362">
      <c r="A2362" s="3">
        <v>726.0</v>
      </c>
      <c r="B2362" s="3">
        <v>1.0</v>
      </c>
      <c r="C2362" s="3">
        <v>1.0</v>
      </c>
      <c r="D2362" t="str">
        <f>VLOOKUP(B2362,ERA_MOTIF_TYPES.csv!$A$1:$C$119,2,1)</f>
        <v>Cups Single</v>
      </c>
      <c r="E2362" t="str">
        <f>VLOOKUP(A2362,Panels!$A$1:$E$2104,5,0)</f>
        <v>Turf Knowe</v>
      </c>
    </row>
    <row r="2363">
      <c r="A2363" s="3">
        <v>726.0</v>
      </c>
      <c r="B2363" s="3">
        <v>52.0</v>
      </c>
      <c r="C2363" s="3">
        <v>1.0</v>
      </c>
      <c r="D2363" t="str">
        <f>VLOOKUP(B2363,ERA_MOTIF_TYPES.csv!$A$1:$C$119,2,1)</f>
        <v>Single or multiple cups</v>
      </c>
      <c r="E2363" t="str">
        <f>VLOOKUP(A2363,Panels!$A$1:$E$2104,5,0)</f>
        <v>Turf Knowe</v>
      </c>
    </row>
    <row r="2364">
      <c r="A2364" s="3">
        <v>726.0</v>
      </c>
      <c r="B2364" s="3">
        <v>100.0</v>
      </c>
      <c r="C2364" s="3">
        <v>1.0</v>
      </c>
      <c r="D2364" t="str">
        <f>VLOOKUP(B2364,ERA_MOTIF_TYPES.csv!$A$1:$C$119,2,1)</f>
        <v>Pick marks</v>
      </c>
      <c r="E2364" t="str">
        <f>VLOOKUP(A2364,Panels!$A$1:$E$2104,5,0)</f>
        <v>Turf Knowe</v>
      </c>
    </row>
    <row r="2365">
      <c r="A2365" s="3">
        <v>727.0</v>
      </c>
      <c r="B2365" s="3">
        <v>1.0</v>
      </c>
      <c r="C2365" s="3">
        <v>2.0</v>
      </c>
      <c r="D2365" t="str">
        <f>VLOOKUP(B2365,ERA_MOTIF_TYPES.csv!$A$1:$C$119,2,1)</f>
        <v>Cups Single</v>
      </c>
      <c r="E2365" t="str">
        <f>VLOOKUP(A2365,Panels!$A$1:$E$2104,5,0)</f>
        <v>Turf Knowe</v>
      </c>
    </row>
    <row r="2366">
      <c r="A2366" s="3">
        <v>727.0</v>
      </c>
      <c r="B2366" s="3">
        <v>52.0</v>
      </c>
      <c r="C2366" s="3">
        <v>2.0</v>
      </c>
      <c r="D2366" t="str">
        <f>VLOOKUP(B2366,ERA_MOTIF_TYPES.csv!$A$1:$C$119,2,1)</f>
        <v>Single or multiple cups</v>
      </c>
      <c r="E2366" t="str">
        <f>VLOOKUP(A2366,Panels!$A$1:$E$2104,5,0)</f>
        <v>Turf Knowe</v>
      </c>
    </row>
    <row r="2367">
      <c r="A2367" s="3">
        <v>728.0</v>
      </c>
      <c r="B2367" s="3">
        <v>64.0</v>
      </c>
      <c r="C2367" s="3">
        <v>1.0</v>
      </c>
      <c r="D2367" t="str">
        <f>VLOOKUP(B2367,ERA_MOTIF_TYPES.csv!$A$1:$C$119,2,1)</f>
        <v>Cup with groove cutting through multiple rings</v>
      </c>
      <c r="E2367" t="str">
        <f>VLOOKUP(A2367,Panels!$A$1:$E$2104,5,0)</f>
        <v>West Horton</v>
      </c>
    </row>
    <row r="2368">
      <c r="A2368" s="3">
        <v>729.0</v>
      </c>
      <c r="B2368" s="3">
        <v>52.0</v>
      </c>
      <c r="C2368" s="3">
        <v>1.0</v>
      </c>
      <c r="D2368" t="str">
        <f>VLOOKUP(B2368,ERA_MOTIF_TYPES.csv!$A$1:$C$119,2,1)</f>
        <v>Single or multiple cups</v>
      </c>
      <c r="E2368" t="str">
        <f>VLOOKUP(A2368,Panels!$A$1:$E$2104,5,0)</f>
        <v>West Horton</v>
      </c>
    </row>
    <row r="2369">
      <c r="A2369" s="3">
        <v>730.0</v>
      </c>
      <c r="B2369" s="3">
        <v>1.0</v>
      </c>
      <c r="C2369" s="3">
        <v>1.0</v>
      </c>
      <c r="D2369" t="str">
        <f>VLOOKUP(B2369,ERA_MOTIF_TYPES.csv!$A$1:$C$119,2,1)</f>
        <v>Cups Single</v>
      </c>
      <c r="E2369" t="str">
        <f>VLOOKUP(A2369,Panels!$A$1:$E$2104,5,0)</f>
        <v>Amerside Law</v>
      </c>
    </row>
    <row r="2370">
      <c r="A2370" s="3">
        <v>730.0</v>
      </c>
      <c r="B2370" s="3">
        <v>49.0</v>
      </c>
      <c r="C2370" s="3">
        <v>1.0</v>
      </c>
      <c r="D2370" t="str">
        <f>VLOOKUP(B2370,ERA_MOTIF_TYPES.csv!$A$1:$C$119,2,1)</f>
        <v>Multi Square Groove and cups</v>
      </c>
      <c r="E2370" t="str">
        <f>VLOOKUP(A2370,Panels!$A$1:$E$2104,5,0)</f>
        <v>Amerside Law</v>
      </c>
    </row>
    <row r="2371">
      <c r="A2371" s="3">
        <v>730.0</v>
      </c>
      <c r="B2371" s="3">
        <v>52.0</v>
      </c>
      <c r="C2371" s="3">
        <v>1.0</v>
      </c>
      <c r="D2371" t="str">
        <f>VLOOKUP(B2371,ERA_MOTIF_TYPES.csv!$A$1:$C$119,2,1)</f>
        <v>Single or multiple cups</v>
      </c>
      <c r="E2371" t="str">
        <f>VLOOKUP(A2371,Panels!$A$1:$E$2104,5,0)</f>
        <v>Amerside Law</v>
      </c>
    </row>
    <row r="2372">
      <c r="A2372" s="3">
        <v>730.0</v>
      </c>
      <c r="B2372" s="3">
        <v>86.0</v>
      </c>
      <c r="C2372" s="3">
        <v>1.0</v>
      </c>
      <c r="D2372" t="str">
        <f>VLOOKUP(B2372,ERA_MOTIF_TYPES.csv!$A$1:$C$119,2,1)</f>
        <v>Multiple rectangular grooves enclosing cups</v>
      </c>
      <c r="E2372" t="str">
        <f>VLOOKUP(A2372,Panels!$A$1:$E$2104,5,0)</f>
        <v>Amerside Law</v>
      </c>
    </row>
    <row r="2373">
      <c r="A2373" s="3">
        <v>730.0</v>
      </c>
      <c r="B2373" s="3">
        <v>113.0</v>
      </c>
      <c r="C2373" s="3">
        <v>1.0</v>
      </c>
      <c r="D2373" t="str">
        <f>VLOOKUP(B2373,ERA_MOTIF_TYPES.csv!$A$1:$C$119,2,1)</f>
        <v>Ring with an inner cup with two radiates that meet the ring</v>
      </c>
      <c r="E2373" t="str">
        <f>VLOOKUP(A2373,Panels!$A$1:$E$2104,5,0)</f>
        <v>Amerside Law</v>
      </c>
    </row>
    <row r="2374">
      <c r="A2374" s="3">
        <v>731.0</v>
      </c>
      <c r="B2374" s="3">
        <v>52.0</v>
      </c>
      <c r="C2374" s="3">
        <v>28.0</v>
      </c>
      <c r="D2374" t="str">
        <f>VLOOKUP(B2374,ERA_MOTIF_TYPES.csv!$A$1:$C$119,2,1)</f>
        <v>Single or multiple cups</v>
      </c>
      <c r="E2374" t="str">
        <f>VLOOKUP(A2374,Panels!$A$1:$E$2104,5,0)</f>
        <v>Beadnell Caravan Park</v>
      </c>
    </row>
    <row r="2375">
      <c r="A2375" s="3">
        <v>733.0</v>
      </c>
      <c r="B2375" s="3">
        <v>1.0</v>
      </c>
      <c r="C2375" s="3">
        <v>1.0</v>
      </c>
      <c r="D2375" t="str">
        <f>VLOOKUP(B2375,ERA_MOTIF_TYPES.csv!$A$1:$C$119,2,1)</f>
        <v>Cups Single</v>
      </c>
      <c r="E2375" t="str">
        <f>VLOOKUP(A2375,Panels!$A$1:$E$2104,5,0)</f>
        <v>Turf Knowe</v>
      </c>
    </row>
    <row r="2376">
      <c r="A2376" s="3">
        <v>733.0</v>
      </c>
      <c r="B2376" s="3">
        <v>52.0</v>
      </c>
      <c r="C2376" s="3">
        <v>1.0</v>
      </c>
      <c r="D2376" t="str">
        <f>VLOOKUP(B2376,ERA_MOTIF_TYPES.csv!$A$1:$C$119,2,1)</f>
        <v>Single or multiple cups</v>
      </c>
      <c r="E2376" t="str">
        <f>VLOOKUP(A2376,Panels!$A$1:$E$2104,5,0)</f>
        <v>Turf Knowe</v>
      </c>
    </row>
    <row r="2377">
      <c r="A2377" s="3">
        <v>735.0</v>
      </c>
      <c r="B2377" s="3">
        <v>52.0</v>
      </c>
      <c r="C2377" s="3">
        <v>3.0</v>
      </c>
      <c r="D2377" t="str">
        <f>VLOOKUP(B2377,ERA_MOTIF_TYPES.csv!$A$1:$C$119,2,1)</f>
        <v>Single or multiple cups</v>
      </c>
      <c r="E2377" t="str">
        <f>VLOOKUP(A2377,Panels!$A$1:$E$2104,5,0)</f>
        <v>Carry House Camp, Birtley</v>
      </c>
    </row>
    <row r="2378">
      <c r="A2378" s="3">
        <v>736.0</v>
      </c>
      <c r="B2378" s="3">
        <v>52.0</v>
      </c>
      <c r="C2378" s="3">
        <v>8.0</v>
      </c>
      <c r="D2378" t="str">
        <f>VLOOKUP(B2378,ERA_MOTIF_TYPES.csv!$A$1:$C$119,2,1)</f>
        <v>Single or multiple cups</v>
      </c>
      <c r="E2378" t="str">
        <f>VLOOKUP(A2378,Panels!$A$1:$E$2104,5,0)</f>
        <v>Gunner Peak Camp, Barrasford</v>
      </c>
    </row>
    <row r="2379">
      <c r="A2379" s="3">
        <v>740.0</v>
      </c>
      <c r="B2379" s="3">
        <v>1.0</v>
      </c>
      <c r="C2379" s="3">
        <v>1.0</v>
      </c>
      <c r="D2379" t="str">
        <f>VLOOKUP(B2379,ERA_MOTIF_TYPES.csv!$A$1:$C$119,2,1)</f>
        <v>Cups Single</v>
      </c>
      <c r="E2379" t="str">
        <f>VLOOKUP(A2379,Panels!$A$1:$E$2104,5,0)</f>
        <v>Homers Lane, Warden</v>
      </c>
    </row>
    <row r="2380">
      <c r="A2380" s="3">
        <v>740.0</v>
      </c>
      <c r="B2380" s="3">
        <v>52.0</v>
      </c>
      <c r="C2380" s="3">
        <v>2.0</v>
      </c>
      <c r="D2380" t="str">
        <f>VLOOKUP(B2380,ERA_MOTIF_TYPES.csv!$A$1:$C$119,2,1)</f>
        <v>Single or multiple cups</v>
      </c>
      <c r="E2380" t="str">
        <f>VLOOKUP(A2380,Panels!$A$1:$E$2104,5,0)</f>
        <v>Homers Lane, Warden</v>
      </c>
    </row>
    <row r="2381">
      <c r="A2381" s="3">
        <v>741.0</v>
      </c>
      <c r="B2381" s="3">
        <v>8.0</v>
      </c>
      <c r="C2381" s="3">
        <v>1.0</v>
      </c>
      <c r="D2381" t="str">
        <f>VLOOKUP(B2381,ERA_MOTIF_TYPES.csv!$A$1:$C$119,2,1)</f>
        <v>Multi Ring</v>
      </c>
      <c r="E2381" t="str">
        <f>VLOOKUP(A2381,Panels!$A$1:$E$2104,5,0)</f>
        <v>Houxty Cottage</v>
      </c>
    </row>
    <row r="2382">
      <c r="A2382" s="3">
        <v>741.0</v>
      </c>
      <c r="B2382" s="3">
        <v>70.0</v>
      </c>
      <c r="C2382" s="3">
        <v>1.0</v>
      </c>
      <c r="D2382" t="str">
        <f>VLOOKUP(B2382,ERA_MOTIF_TYPES.csv!$A$1:$C$119,2,1)</f>
        <v>Concentric rings</v>
      </c>
      <c r="E2382" t="str">
        <f>VLOOKUP(A2382,Panels!$A$1:$E$2104,5,0)</f>
        <v>Houxty Cottage</v>
      </c>
    </row>
    <row r="2383">
      <c r="A2383" s="3">
        <v>742.0</v>
      </c>
      <c r="B2383" s="3">
        <v>1.0</v>
      </c>
      <c r="C2383" s="3">
        <v>2.0</v>
      </c>
      <c r="D2383" t="str">
        <f>VLOOKUP(B2383,ERA_MOTIF_TYPES.csv!$A$1:$C$119,2,1)</f>
        <v>Cups Single</v>
      </c>
      <c r="E2383" t="str">
        <f>VLOOKUP(A2383,Panels!$A$1:$E$2104,5,0)</f>
        <v>Hartleyburn Common</v>
      </c>
    </row>
    <row r="2384">
      <c r="A2384" s="3">
        <v>742.0</v>
      </c>
      <c r="B2384" s="3">
        <v>2.0</v>
      </c>
      <c r="C2384" s="3">
        <v>1.0</v>
      </c>
      <c r="D2384" t="str">
        <f>VLOOKUP(B2384,ERA_MOTIF_TYPES.csv!$A$1:$C$119,2,1)</f>
        <v>Random Cluster</v>
      </c>
      <c r="E2384" t="str">
        <f>VLOOKUP(A2384,Panels!$A$1:$E$2104,5,0)</f>
        <v>Hartleyburn Common</v>
      </c>
    </row>
    <row r="2385">
      <c r="A2385" s="3">
        <v>742.0</v>
      </c>
      <c r="B2385" s="3">
        <v>52.0</v>
      </c>
      <c r="C2385" s="3">
        <v>29.0</v>
      </c>
      <c r="D2385" t="str">
        <f>VLOOKUP(B2385,ERA_MOTIF_TYPES.csv!$A$1:$C$119,2,1)</f>
        <v>Single or multiple cups</v>
      </c>
      <c r="E2385" t="str">
        <f>VLOOKUP(A2385,Panels!$A$1:$E$2104,5,0)</f>
        <v>Hartleyburn Common</v>
      </c>
    </row>
    <row r="2386">
      <c r="A2386" s="3">
        <v>743.0</v>
      </c>
      <c r="B2386" s="3">
        <v>1.0</v>
      </c>
      <c r="C2386" s="3">
        <v>4.0</v>
      </c>
      <c r="D2386" t="str">
        <f>VLOOKUP(B2386,ERA_MOTIF_TYPES.csv!$A$1:$C$119,2,1)</f>
        <v>Cups Single</v>
      </c>
      <c r="E2386" t="str">
        <f>VLOOKUP(A2386,Panels!$A$1:$E$2104,5,0)</f>
        <v>Hartleyburn Common</v>
      </c>
    </row>
    <row r="2387">
      <c r="A2387" s="3">
        <v>743.0</v>
      </c>
      <c r="B2387" s="3">
        <v>52.0</v>
      </c>
      <c r="C2387" s="3">
        <v>1.0</v>
      </c>
      <c r="D2387" t="str">
        <f>VLOOKUP(B2387,ERA_MOTIF_TYPES.csv!$A$1:$C$119,2,1)</f>
        <v>Single or multiple cups</v>
      </c>
      <c r="E2387" t="str">
        <f>VLOOKUP(A2387,Panels!$A$1:$E$2104,5,0)</f>
        <v>Hartleyburn Common</v>
      </c>
    </row>
    <row r="2388">
      <c r="A2388" s="3">
        <v>744.0</v>
      </c>
      <c r="B2388" s="3">
        <v>1.0</v>
      </c>
      <c r="C2388" s="3">
        <v>2.0</v>
      </c>
      <c r="D2388" t="str">
        <f>VLOOKUP(B2388,ERA_MOTIF_TYPES.csv!$A$1:$C$119,2,1)</f>
        <v>Cups Single</v>
      </c>
      <c r="E2388" t="str">
        <f>VLOOKUP(A2388,Panels!$A$1:$E$2104,5,0)</f>
        <v>Hartleyburn Common</v>
      </c>
    </row>
    <row r="2389">
      <c r="A2389" s="3">
        <v>744.0</v>
      </c>
      <c r="B2389" s="3">
        <v>52.0</v>
      </c>
      <c r="C2389" s="3">
        <v>2.0</v>
      </c>
      <c r="D2389" t="str">
        <f>VLOOKUP(B2389,ERA_MOTIF_TYPES.csv!$A$1:$C$119,2,1)</f>
        <v>Single or multiple cups</v>
      </c>
      <c r="E2389" t="str">
        <f>VLOOKUP(A2389,Panels!$A$1:$E$2104,5,0)</f>
        <v>Hartleyburn Common</v>
      </c>
    </row>
    <row r="2390">
      <c r="A2390" s="3">
        <v>745.0</v>
      </c>
      <c r="B2390" s="3">
        <v>1.0</v>
      </c>
      <c r="C2390" s="3">
        <v>1.0</v>
      </c>
      <c r="D2390" t="str">
        <f>VLOOKUP(B2390,ERA_MOTIF_TYPES.csv!$A$1:$C$119,2,1)</f>
        <v>Cups Single</v>
      </c>
      <c r="E2390" t="str">
        <f>VLOOKUP(A2390,Panels!$A$1:$E$2104,5,0)</f>
        <v>Hartleyburn Common</v>
      </c>
    </row>
    <row r="2391">
      <c r="A2391" s="3">
        <v>745.0</v>
      </c>
      <c r="B2391" s="3">
        <v>52.0</v>
      </c>
      <c r="C2391" s="3">
        <v>1.0</v>
      </c>
      <c r="D2391" t="str">
        <f>VLOOKUP(B2391,ERA_MOTIF_TYPES.csv!$A$1:$C$119,2,1)</f>
        <v>Single or multiple cups</v>
      </c>
      <c r="E2391" t="str">
        <f>VLOOKUP(A2391,Panels!$A$1:$E$2104,5,0)</f>
        <v>Hartleyburn Common</v>
      </c>
    </row>
    <row r="2392">
      <c r="A2392" s="3">
        <v>746.0</v>
      </c>
      <c r="B2392" s="3">
        <v>1.0</v>
      </c>
      <c r="C2392" s="3">
        <v>2.0</v>
      </c>
      <c r="D2392" t="str">
        <f>VLOOKUP(B2392,ERA_MOTIF_TYPES.csv!$A$1:$C$119,2,1)</f>
        <v>Cups Single</v>
      </c>
      <c r="E2392" t="str">
        <f>VLOOKUP(A2392,Panels!$A$1:$E$2104,5,0)</f>
        <v>Hartleyburn Common</v>
      </c>
    </row>
    <row r="2393">
      <c r="A2393" s="3">
        <v>746.0</v>
      </c>
      <c r="B2393" s="3">
        <v>52.0</v>
      </c>
      <c r="C2393" s="3">
        <v>1.0</v>
      </c>
      <c r="D2393" t="str">
        <f>VLOOKUP(B2393,ERA_MOTIF_TYPES.csv!$A$1:$C$119,2,1)</f>
        <v>Single or multiple cups</v>
      </c>
      <c r="E2393" t="str">
        <f>VLOOKUP(A2393,Panels!$A$1:$E$2104,5,0)</f>
        <v>Hartleyburn Common</v>
      </c>
    </row>
    <row r="2394">
      <c r="A2394" s="3">
        <v>746.0</v>
      </c>
      <c r="B2394" s="3">
        <v>57.0</v>
      </c>
      <c r="C2394" s="3">
        <v>1.0</v>
      </c>
      <c r="D2394" t="str">
        <f>VLOOKUP(B2394,ERA_MOTIF_TYPES.csv!$A$1:$C$119,2,1)</f>
        <v>Cup and ring</v>
      </c>
      <c r="E2394" t="str">
        <f>VLOOKUP(A2394,Panels!$A$1:$E$2104,5,0)</f>
        <v>Hartleyburn Common</v>
      </c>
    </row>
    <row r="2395">
      <c r="A2395" s="3">
        <v>747.0</v>
      </c>
      <c r="B2395" s="3">
        <v>52.0</v>
      </c>
      <c r="C2395" s="3">
        <v>20.0</v>
      </c>
      <c r="D2395" t="str">
        <f>VLOOKUP(B2395,ERA_MOTIF_TYPES.csv!$A$1:$C$119,2,1)</f>
        <v>Single or multiple cups</v>
      </c>
      <c r="E2395" t="str">
        <f>VLOOKUP(A2395,Panels!$A$1:$E$2104,5,0)</f>
        <v>Hartleyburn Common</v>
      </c>
    </row>
    <row r="2396">
      <c r="A2396" s="3">
        <v>748.0</v>
      </c>
      <c r="B2396" s="3">
        <v>1.0</v>
      </c>
      <c r="C2396" s="3">
        <v>40.0</v>
      </c>
      <c r="D2396" t="str">
        <f>VLOOKUP(B2396,ERA_MOTIF_TYPES.csv!$A$1:$C$119,2,1)</f>
        <v>Cups Single</v>
      </c>
      <c r="E2396" t="str">
        <f>VLOOKUP(A2396,Panels!$A$1:$E$2104,5,0)</f>
        <v>Hartleyburn Common</v>
      </c>
    </row>
    <row r="2397">
      <c r="A2397" s="3">
        <v>748.0</v>
      </c>
      <c r="B2397" s="3">
        <v>13.0</v>
      </c>
      <c r="C2397" s="3">
        <v>2.0</v>
      </c>
      <c r="D2397" t="str">
        <f>VLOOKUP(B2397,ERA_MOTIF_TYPES.csv!$A$1:$C$119,2,1)</f>
        <v>Single Ring + cup</v>
      </c>
      <c r="E2397" t="str">
        <f>VLOOKUP(A2397,Panels!$A$1:$E$2104,5,0)</f>
        <v>Hartleyburn Common</v>
      </c>
    </row>
    <row r="2398">
      <c r="A2398" s="3">
        <v>748.0</v>
      </c>
      <c r="B2398" s="3">
        <v>16.0</v>
      </c>
      <c r="C2398" s="3">
        <v>1.0</v>
      </c>
      <c r="D2398" t="str">
        <f>VLOOKUP(B2398,ERA_MOTIF_TYPES.csv!$A$1:$C$119,2,1)</f>
        <v>Single Arc + cup</v>
      </c>
      <c r="E2398" t="str">
        <f>VLOOKUP(A2398,Panels!$A$1:$E$2104,5,0)</f>
        <v>Hartleyburn Common</v>
      </c>
    </row>
    <row r="2399">
      <c r="A2399" s="3">
        <v>748.0</v>
      </c>
      <c r="B2399" s="3">
        <v>25.0</v>
      </c>
      <c r="C2399" s="3">
        <v>3.0</v>
      </c>
      <c r="D2399" t="str">
        <f>VLOOKUP(B2399,ERA_MOTIF_TYPES.csv!$A$1:$C$119,2,1)</f>
        <v>Linear</v>
      </c>
      <c r="E2399" t="str">
        <f>VLOOKUP(A2399,Panels!$A$1:$E$2104,5,0)</f>
        <v>Hartleyburn Common</v>
      </c>
    </row>
    <row r="2400">
      <c r="A2400" s="3">
        <v>748.0</v>
      </c>
      <c r="B2400" s="3">
        <v>31.0</v>
      </c>
      <c r="C2400" s="3">
        <v>2.0</v>
      </c>
      <c r="D2400" t="str">
        <f>VLOOKUP(B2400,ERA_MOTIF_TYPES.csv!$A$1:$C$119,2,1)</f>
        <v>Cup and Groove</v>
      </c>
      <c r="E2400" t="str">
        <f>VLOOKUP(A2400,Panels!$A$1:$E$2104,5,0)</f>
        <v>Hartleyburn Common</v>
      </c>
    </row>
    <row r="2401">
      <c r="A2401" s="3">
        <v>748.0</v>
      </c>
      <c r="B2401" s="3">
        <v>34.0</v>
      </c>
      <c r="C2401" s="3">
        <v>1.0</v>
      </c>
      <c r="D2401" t="str">
        <f>VLOOKUP(B2401,ERA_MOTIF_TYPES.csv!$A$1:$C$119,2,1)</f>
        <v>Cup Groove and penannular</v>
      </c>
      <c r="E2401" t="str">
        <f>VLOOKUP(A2401,Panels!$A$1:$E$2104,5,0)</f>
        <v>Hartleyburn Common</v>
      </c>
    </row>
    <row r="2402">
      <c r="A2402" s="3">
        <v>748.0</v>
      </c>
      <c r="B2402" s="3">
        <v>52.0</v>
      </c>
      <c r="C2402" s="3">
        <v>43.0</v>
      </c>
      <c r="D2402" t="str">
        <f>VLOOKUP(B2402,ERA_MOTIF_TYPES.csv!$A$1:$C$119,2,1)</f>
        <v>Single or multiple cups</v>
      </c>
      <c r="E2402" t="str">
        <f>VLOOKUP(A2402,Panels!$A$1:$E$2104,5,0)</f>
        <v>Hartleyburn Common</v>
      </c>
    </row>
    <row r="2403">
      <c r="A2403" s="3">
        <v>748.0</v>
      </c>
      <c r="B2403" s="3">
        <v>55.0</v>
      </c>
      <c r="C2403" s="3">
        <v>2.0</v>
      </c>
      <c r="D2403" t="str">
        <f>VLOOKUP(B2403,ERA_MOTIF_TYPES.csv!$A$1:$C$119,2,1)</f>
        <v>Cups in a straight or curved line</v>
      </c>
      <c r="E2403" t="str">
        <f>VLOOKUP(A2403,Panels!$A$1:$E$2104,5,0)</f>
        <v>Hartleyburn Common</v>
      </c>
    </row>
    <row r="2404">
      <c r="A2404" s="3">
        <v>748.0</v>
      </c>
      <c r="B2404" s="3">
        <v>61.0</v>
      </c>
      <c r="C2404" s="3">
        <v>1.0</v>
      </c>
      <c r="D2404" t="str">
        <f>VLOOKUP(B2404,ERA_MOTIF_TYPES.csv!$A$1:$C$119,2,1)</f>
        <v>Cup and arc (or semi-ovoid)</v>
      </c>
      <c r="E2404" t="str">
        <f>VLOOKUP(A2404,Panels!$A$1:$E$2104,5,0)</f>
        <v>Hartleyburn Common</v>
      </c>
    </row>
    <row r="2405">
      <c r="A2405" s="3">
        <v>748.0</v>
      </c>
      <c r="B2405" s="3">
        <v>67.0</v>
      </c>
      <c r="C2405" s="3">
        <v>1.0</v>
      </c>
      <c r="D2405" t="str">
        <f>VLOOKUP(B2405,ERA_MOTIF_TYPES.csv!$A$1:$C$119,2,1)</f>
        <v>Cup and groove with arc</v>
      </c>
      <c r="E2405" t="str">
        <f>VLOOKUP(A2405,Panels!$A$1:$E$2104,5,0)</f>
        <v>Hartleyburn Common</v>
      </c>
    </row>
    <row r="2406">
      <c r="A2406" s="3">
        <v>748.0</v>
      </c>
      <c r="B2406" s="3">
        <v>87.0</v>
      </c>
      <c r="C2406" s="3">
        <v>2.0</v>
      </c>
      <c r="D2406" t="str">
        <f>VLOOKUP(B2406,ERA_MOTIF_TYPES.csv!$A$1:$C$119,2,1)</f>
        <v>Linear and angular groove</v>
      </c>
      <c r="E2406" t="str">
        <f>VLOOKUP(A2406,Panels!$A$1:$E$2104,5,0)</f>
        <v>Hartleyburn Common</v>
      </c>
    </row>
    <row r="2407">
      <c r="A2407" s="3">
        <v>748.0</v>
      </c>
      <c r="B2407" s="3">
        <v>103.0</v>
      </c>
      <c r="C2407" s="3">
        <v>6.0</v>
      </c>
      <c r="D2407" t="str">
        <f>VLOOKUP(B2407,ERA_MOTIF_TYPES.csv!$A$1:$C$119,2,1)</f>
        <v>Cup and groove</v>
      </c>
      <c r="E2407" t="str">
        <f>VLOOKUP(A2407,Panels!$A$1:$E$2104,5,0)</f>
        <v>Hartleyburn Common</v>
      </c>
    </row>
    <row r="2408">
      <c r="A2408" s="3">
        <v>748.0</v>
      </c>
      <c r="B2408" s="3">
        <v>105.0</v>
      </c>
      <c r="C2408" s="3">
        <v>2.0</v>
      </c>
      <c r="D2408" t="str">
        <f>VLOOKUP(B2408,ERA_MOTIF_TYPES.csv!$A$1:$C$119,2,1)</f>
        <v>Two cups linked by a groove</v>
      </c>
      <c r="E2408" t="str">
        <f>VLOOKUP(A2408,Panels!$A$1:$E$2104,5,0)</f>
        <v>Hartleyburn Common</v>
      </c>
    </row>
    <row r="2409">
      <c r="A2409" s="3">
        <v>748.0</v>
      </c>
      <c r="B2409" s="3">
        <v>107.0</v>
      </c>
      <c r="C2409" s="3">
        <v>1.0</v>
      </c>
      <c r="D2409" t="str">
        <f>VLOOKUP(B2409,ERA_MOTIF_TYPES.csv!$A$1:$C$119,2,1)</f>
        <v>Cup and ring with exterior groove</v>
      </c>
      <c r="E2409" t="str">
        <f>VLOOKUP(A2409,Panels!$A$1:$E$2104,5,0)</f>
        <v>Hartleyburn Common</v>
      </c>
    </row>
    <row r="2410">
      <c r="A2410" s="3">
        <v>748.0</v>
      </c>
      <c r="B2410" s="3">
        <v>110.0</v>
      </c>
      <c r="C2410" s="3">
        <v>4.0</v>
      </c>
      <c r="D2410" t="str">
        <f>VLOOKUP(B2410,ERA_MOTIF_TYPES.csv!$A$1:$C$119,2,1)</f>
        <v>Curved groove</v>
      </c>
      <c r="E2410" t="str">
        <f>VLOOKUP(A2410,Panels!$A$1:$E$2104,5,0)</f>
        <v>Hartleyburn Common</v>
      </c>
    </row>
    <row r="2411">
      <c r="A2411" s="3">
        <v>749.0</v>
      </c>
      <c r="B2411" s="3">
        <v>1.0</v>
      </c>
      <c r="C2411" s="3">
        <v>15.0</v>
      </c>
      <c r="D2411" t="str">
        <f>VLOOKUP(B2411,ERA_MOTIF_TYPES.csv!$A$1:$C$119,2,1)</f>
        <v>Cups Single</v>
      </c>
      <c r="E2411" t="str">
        <f>VLOOKUP(A2411,Panels!$A$1:$E$2104,5,0)</f>
        <v>Hartleyburn Common</v>
      </c>
    </row>
    <row r="2412">
      <c r="A2412" s="3">
        <v>749.0</v>
      </c>
      <c r="B2412" s="3">
        <v>13.0</v>
      </c>
      <c r="C2412" s="3">
        <v>10.0</v>
      </c>
      <c r="D2412" t="str">
        <f>VLOOKUP(B2412,ERA_MOTIF_TYPES.csv!$A$1:$C$119,2,1)</f>
        <v>Single Ring + cup</v>
      </c>
      <c r="E2412" t="str">
        <f>VLOOKUP(A2412,Panels!$A$1:$E$2104,5,0)</f>
        <v>Hartleyburn Common</v>
      </c>
    </row>
    <row r="2413">
      <c r="A2413" s="3">
        <v>749.0</v>
      </c>
      <c r="B2413" s="3">
        <v>16.0</v>
      </c>
      <c r="C2413" s="3">
        <v>3.0</v>
      </c>
      <c r="D2413" t="str">
        <f>VLOOKUP(B2413,ERA_MOTIF_TYPES.csv!$A$1:$C$119,2,1)</f>
        <v>Single Arc + cup</v>
      </c>
      <c r="E2413" t="str">
        <f>VLOOKUP(A2413,Panels!$A$1:$E$2104,5,0)</f>
        <v>Hartleyburn Common</v>
      </c>
    </row>
    <row r="2414">
      <c r="A2414" s="3">
        <v>749.0</v>
      </c>
      <c r="B2414" s="3">
        <v>25.0</v>
      </c>
      <c r="C2414" s="3">
        <v>1.0</v>
      </c>
      <c r="D2414" t="str">
        <f>VLOOKUP(B2414,ERA_MOTIF_TYPES.csv!$A$1:$C$119,2,1)</f>
        <v>Linear</v>
      </c>
      <c r="E2414" t="str">
        <f>VLOOKUP(A2414,Panels!$A$1:$E$2104,5,0)</f>
        <v>Hartleyburn Common</v>
      </c>
    </row>
    <row r="2415">
      <c r="A2415" s="3">
        <v>750.0</v>
      </c>
      <c r="B2415" s="3">
        <v>1.0</v>
      </c>
      <c r="C2415" s="3">
        <v>3.0</v>
      </c>
      <c r="D2415" t="str">
        <f>VLOOKUP(B2415,ERA_MOTIF_TYPES.csv!$A$1:$C$119,2,1)</f>
        <v>Cups Single</v>
      </c>
      <c r="E2415" t="str">
        <f>VLOOKUP(A2415,Panels!$A$1:$E$2104,5,0)</f>
        <v>Prudhoe Castle</v>
      </c>
    </row>
    <row r="2416">
      <c r="A2416" s="3">
        <v>750.0</v>
      </c>
      <c r="B2416" s="3">
        <v>33.0</v>
      </c>
      <c r="C2416" s="3">
        <v>2.0</v>
      </c>
      <c r="D2416" t="str">
        <f>VLOOKUP(B2416,ERA_MOTIF_TYPES.csv!$A$1:$C$119,2,1)</f>
        <v>Cup Groove and multi ring</v>
      </c>
      <c r="E2416" t="str">
        <f>VLOOKUP(A2416,Panels!$A$1:$E$2104,5,0)</f>
        <v>Prudhoe Castle</v>
      </c>
    </row>
    <row r="2417">
      <c r="A2417" s="3">
        <v>750.0</v>
      </c>
      <c r="B2417" s="3">
        <v>52.0</v>
      </c>
      <c r="C2417" s="3">
        <v>1.0</v>
      </c>
      <c r="D2417" t="str">
        <f>VLOOKUP(B2417,ERA_MOTIF_TYPES.csv!$A$1:$C$119,2,1)</f>
        <v>Single or multiple cups</v>
      </c>
      <c r="E2417" t="str">
        <f>VLOOKUP(A2417,Panels!$A$1:$E$2104,5,0)</f>
        <v>Prudhoe Castle</v>
      </c>
    </row>
    <row r="2418">
      <c r="A2418" s="3">
        <v>750.0</v>
      </c>
      <c r="B2418" s="3">
        <v>64.0</v>
      </c>
      <c r="C2418" s="3">
        <v>1.0</v>
      </c>
      <c r="D2418" t="str">
        <f>VLOOKUP(B2418,ERA_MOTIF_TYPES.csv!$A$1:$C$119,2,1)</f>
        <v>Cup with groove cutting through multiple rings</v>
      </c>
      <c r="E2418" t="str">
        <f>VLOOKUP(A2418,Panels!$A$1:$E$2104,5,0)</f>
        <v>Prudhoe Castle</v>
      </c>
    </row>
    <row r="2419">
      <c r="A2419" s="3">
        <v>750.0</v>
      </c>
      <c r="B2419" s="3">
        <v>66.0</v>
      </c>
      <c r="C2419" s="3">
        <v>1.0</v>
      </c>
      <c r="D2419" t="str">
        <f>VLOOKUP(B2419,ERA_MOTIF_TYPES.csv!$A$1:$C$119,2,1)</f>
        <v>Cup and groove with multiple penannulars</v>
      </c>
      <c r="E2419" t="str">
        <f>VLOOKUP(A2419,Panels!$A$1:$E$2104,5,0)</f>
        <v>Prudhoe Castle</v>
      </c>
    </row>
    <row r="2420">
      <c r="A2420" s="3">
        <v>750.0</v>
      </c>
      <c r="B2420" s="3">
        <v>100.0</v>
      </c>
      <c r="C2420" s="3">
        <v>1.0</v>
      </c>
      <c r="D2420" t="str">
        <f>VLOOKUP(B2420,ERA_MOTIF_TYPES.csv!$A$1:$C$119,2,1)</f>
        <v>Pick marks</v>
      </c>
      <c r="E2420" t="str">
        <f>VLOOKUP(A2420,Panels!$A$1:$E$2104,5,0)</f>
        <v>Prudhoe Castle</v>
      </c>
    </row>
    <row r="2421">
      <c r="A2421" s="3">
        <v>750.0</v>
      </c>
      <c r="B2421" s="3">
        <v>105.0</v>
      </c>
      <c r="C2421" s="3">
        <v>1.0</v>
      </c>
      <c r="D2421" t="str">
        <f>VLOOKUP(B2421,ERA_MOTIF_TYPES.csv!$A$1:$C$119,2,1)</f>
        <v>Two cups linked by a groove</v>
      </c>
      <c r="E2421" t="str">
        <f>VLOOKUP(A2421,Panels!$A$1:$E$2104,5,0)</f>
        <v>Prudhoe Castle</v>
      </c>
    </row>
    <row r="2422">
      <c r="A2422" s="3">
        <v>751.0</v>
      </c>
      <c r="B2422" s="3">
        <v>1.0</v>
      </c>
      <c r="C2422" s="3">
        <v>15.0</v>
      </c>
      <c r="D2422" t="str">
        <f>VLOOKUP(B2422,ERA_MOTIF_TYPES.csv!$A$1:$C$119,2,1)</f>
        <v>Cups Single</v>
      </c>
      <c r="E2422" t="str">
        <f>VLOOKUP(A2422,Panels!$A$1:$E$2104,5,0)</f>
        <v>High Shaw Farm</v>
      </c>
    </row>
    <row r="2423">
      <c r="A2423" s="3">
        <v>751.0</v>
      </c>
      <c r="B2423" s="3">
        <v>25.0</v>
      </c>
      <c r="C2423" s="3">
        <v>2.0</v>
      </c>
      <c r="D2423" t="str">
        <f>VLOOKUP(B2423,ERA_MOTIF_TYPES.csv!$A$1:$C$119,2,1)</f>
        <v>Linear</v>
      </c>
      <c r="E2423" t="str">
        <f>VLOOKUP(A2423,Panels!$A$1:$E$2104,5,0)</f>
        <v>High Shaw Farm</v>
      </c>
    </row>
    <row r="2424">
      <c r="A2424" s="3">
        <v>751.0</v>
      </c>
      <c r="B2424" s="3">
        <v>52.0</v>
      </c>
      <c r="C2424" s="3">
        <v>17.0</v>
      </c>
      <c r="D2424" t="str">
        <f>VLOOKUP(B2424,ERA_MOTIF_TYPES.csv!$A$1:$C$119,2,1)</f>
        <v>Single or multiple cups</v>
      </c>
      <c r="E2424" t="str">
        <f>VLOOKUP(A2424,Panels!$A$1:$E$2104,5,0)</f>
        <v>High Shaw Farm</v>
      </c>
    </row>
    <row r="2425">
      <c r="A2425" s="3">
        <v>751.0</v>
      </c>
      <c r="B2425" s="3">
        <v>110.0</v>
      </c>
      <c r="C2425" s="3">
        <v>1.0</v>
      </c>
      <c r="D2425" t="str">
        <f>VLOOKUP(B2425,ERA_MOTIF_TYPES.csv!$A$1:$C$119,2,1)</f>
        <v>Curved groove</v>
      </c>
      <c r="E2425" t="str">
        <f>VLOOKUP(A2425,Panels!$A$1:$E$2104,5,0)</f>
        <v>High Shaw Farm</v>
      </c>
    </row>
    <row r="2426">
      <c r="A2426" s="3">
        <v>752.0</v>
      </c>
      <c r="B2426" s="3">
        <v>52.0</v>
      </c>
      <c r="C2426" s="3">
        <v>12.0</v>
      </c>
      <c r="D2426" t="str">
        <f>VLOOKUP(B2426,ERA_MOTIF_TYPES.csv!$A$1:$C$119,2,1)</f>
        <v>Single or multiple cups</v>
      </c>
      <c r="E2426" t="str">
        <f>VLOOKUP(A2426,Panels!$A$1:$E$2104,5,0)</f>
        <v>Chesters Roman Site</v>
      </c>
    </row>
    <row r="2427">
      <c r="A2427" s="3">
        <v>752.0</v>
      </c>
      <c r="B2427" s="3">
        <v>87.0</v>
      </c>
      <c r="C2427" s="3">
        <v>3.0</v>
      </c>
      <c r="D2427" t="str">
        <f>VLOOKUP(B2427,ERA_MOTIF_TYPES.csv!$A$1:$C$119,2,1)</f>
        <v>Linear and angular groove</v>
      </c>
      <c r="E2427" t="str">
        <f>VLOOKUP(A2427,Panels!$A$1:$E$2104,5,0)</f>
        <v>Chesters Roman Site</v>
      </c>
    </row>
    <row r="2428">
      <c r="A2428" s="3">
        <v>753.0</v>
      </c>
      <c r="B2428" s="3">
        <v>52.0</v>
      </c>
      <c r="C2428" s="3">
        <v>2.0</v>
      </c>
      <c r="D2428" t="str">
        <f>VLOOKUP(B2428,ERA_MOTIF_TYPES.csv!$A$1:$C$119,2,1)</f>
        <v>Single or multiple cups</v>
      </c>
      <c r="E2428" t="str">
        <f>VLOOKUP(A2428,Panels!$A$1:$E$2104,5,0)</f>
        <v>Holy Island</v>
      </c>
    </row>
    <row r="2429">
      <c r="A2429" s="3">
        <v>754.0</v>
      </c>
      <c r="B2429" s="3">
        <v>1.0</v>
      </c>
      <c r="C2429" s="3">
        <v>35.0</v>
      </c>
      <c r="D2429" t="str">
        <f>VLOOKUP(B2429,ERA_MOTIF_TYPES.csv!$A$1:$C$119,2,1)</f>
        <v>Cups Single</v>
      </c>
      <c r="E2429" t="str">
        <f>VLOOKUP(A2429,Panels!$A$1:$E$2104,5,0)</f>
        <v>Holy Island</v>
      </c>
    </row>
    <row r="2430">
      <c r="A2430" s="3">
        <v>754.0</v>
      </c>
      <c r="B2430" s="3">
        <v>52.0</v>
      </c>
      <c r="C2430" s="3">
        <v>37.0</v>
      </c>
      <c r="D2430" t="str">
        <f>VLOOKUP(B2430,ERA_MOTIF_TYPES.csv!$A$1:$C$119,2,1)</f>
        <v>Single or multiple cups</v>
      </c>
      <c r="E2430" t="str">
        <f>VLOOKUP(A2430,Panels!$A$1:$E$2104,5,0)</f>
        <v>Holy Island</v>
      </c>
    </row>
    <row r="2431">
      <c r="A2431" s="3">
        <v>756.0</v>
      </c>
      <c r="B2431" s="3">
        <v>1.0</v>
      </c>
      <c r="C2431" s="3">
        <v>2.0</v>
      </c>
      <c r="D2431" t="str">
        <f>VLOOKUP(B2431,ERA_MOTIF_TYPES.csv!$A$1:$C$119,2,1)</f>
        <v>Cups Single</v>
      </c>
      <c r="E2431" t="str">
        <f>VLOOKUP(A2431,Panels!$A$1:$E$2104,5,0)</f>
        <v>Fowberry Excavation Site Kerbstone</v>
      </c>
    </row>
    <row r="2432">
      <c r="A2432" s="3">
        <v>759.0</v>
      </c>
      <c r="B2432" s="3">
        <v>33.0</v>
      </c>
      <c r="C2432" s="3">
        <v>1.0</v>
      </c>
      <c r="D2432" t="str">
        <f>VLOOKUP(B2432,ERA_MOTIF_TYPES.csv!$A$1:$C$119,2,1)</f>
        <v>Cup Groove and multi ring</v>
      </c>
      <c r="E2432" t="str">
        <f>VLOOKUP(A2432,Panels!$A$1:$E$2104,5,0)</f>
        <v>West Horton 6 Portable</v>
      </c>
    </row>
    <row r="2433">
      <c r="A2433" s="3">
        <v>759.0</v>
      </c>
      <c r="B2433" s="3">
        <v>58.0</v>
      </c>
      <c r="C2433" s="3">
        <v>1.0</v>
      </c>
      <c r="D2433" t="str">
        <f>VLOOKUP(B2433,ERA_MOTIF_TYPES.csv!$A$1:$C$119,2,1)</f>
        <v>Cup and multiple rings</v>
      </c>
      <c r="E2433" t="str">
        <f>VLOOKUP(A2433,Panels!$A$1:$E$2104,5,0)</f>
        <v>West Horton 6 Portable</v>
      </c>
    </row>
    <row r="2434">
      <c r="A2434" s="3">
        <v>760.0</v>
      </c>
      <c r="B2434" s="3">
        <v>52.0</v>
      </c>
      <c r="C2434" s="3">
        <v>1.0</v>
      </c>
      <c r="D2434" t="str">
        <f>VLOOKUP(B2434,ERA_MOTIF_TYPES.csv!$A$1:$C$119,2,1)</f>
        <v>Single or multiple cups</v>
      </c>
      <c r="E2434" t="str">
        <f>VLOOKUP(A2434,Panels!$A$1:$E$2104,5,0)</f>
        <v>Weetwood Cairn</v>
      </c>
    </row>
    <row r="2435">
      <c r="A2435" s="3">
        <v>761.0</v>
      </c>
      <c r="B2435" s="3">
        <v>52.0</v>
      </c>
      <c r="C2435" s="3">
        <v>1.0</v>
      </c>
      <c r="D2435" t="str">
        <f>VLOOKUP(B2435,ERA_MOTIF_TYPES.csv!$A$1:$C$119,2,1)</f>
        <v>Single or multiple cups</v>
      </c>
      <c r="E2435" t="str">
        <f>VLOOKUP(A2435,Panels!$A$1:$E$2104,5,0)</f>
        <v>Weetwood Cairn</v>
      </c>
    </row>
    <row r="2436">
      <c r="A2436" s="3">
        <v>762.0</v>
      </c>
      <c r="B2436" s="3">
        <v>59.0</v>
      </c>
      <c r="C2436" s="3">
        <v>1.0</v>
      </c>
      <c r="D2436" t="str">
        <f>VLOOKUP(B2436,ERA_MOTIF_TYPES.csv!$A$1:$C$119,2,1)</f>
        <v>Cup and penannular</v>
      </c>
      <c r="E2436" t="str">
        <f>VLOOKUP(A2436,Panels!$A$1:$E$2104,5,0)</f>
        <v>Weetwood Cairn</v>
      </c>
    </row>
    <row r="2437">
      <c r="A2437" s="3">
        <v>763.0</v>
      </c>
      <c r="B2437" s="3">
        <v>52.0</v>
      </c>
      <c r="C2437" s="3">
        <v>3.0</v>
      </c>
      <c r="D2437" t="str">
        <f>VLOOKUP(B2437,ERA_MOTIF_TYPES.csv!$A$1:$C$119,2,1)</f>
        <v>Single or multiple cups</v>
      </c>
      <c r="E2437" t="str">
        <f>VLOOKUP(A2437,Panels!$A$1:$E$2104,5,0)</f>
        <v>Weetwood Cairn</v>
      </c>
    </row>
    <row r="2438">
      <c r="A2438" s="3">
        <v>764.0</v>
      </c>
      <c r="B2438" s="3">
        <v>103.0</v>
      </c>
      <c r="C2438" s="3">
        <v>1.0</v>
      </c>
      <c r="D2438" t="str">
        <f>VLOOKUP(B2438,ERA_MOTIF_TYPES.csv!$A$1:$C$119,2,1)</f>
        <v>Cup and groove</v>
      </c>
      <c r="E2438" t="str">
        <f>VLOOKUP(A2438,Panels!$A$1:$E$2104,5,0)</f>
        <v>Weetwood Cairn</v>
      </c>
    </row>
    <row r="2439">
      <c r="A2439" s="3">
        <v>765.0</v>
      </c>
      <c r="B2439" s="3">
        <v>103.0</v>
      </c>
      <c r="C2439" s="3">
        <v>1.0</v>
      </c>
      <c r="D2439" t="str">
        <f>VLOOKUP(B2439,ERA_MOTIF_TYPES.csv!$A$1:$C$119,2,1)</f>
        <v>Cup and groove</v>
      </c>
      <c r="E2439" t="str">
        <f>VLOOKUP(A2439,Panels!$A$1:$E$2104,5,0)</f>
        <v>Weetwood Cairn</v>
      </c>
    </row>
    <row r="2440">
      <c r="A2440" s="3">
        <v>766.0</v>
      </c>
      <c r="B2440" s="3">
        <v>1.0</v>
      </c>
      <c r="C2440" s="3">
        <v>1.0</v>
      </c>
      <c r="D2440" t="str">
        <f>VLOOKUP(B2440,ERA_MOTIF_TYPES.csv!$A$1:$C$119,2,1)</f>
        <v>Cups Single</v>
      </c>
      <c r="E2440" t="str">
        <f>VLOOKUP(A2440,Panels!$A$1:$E$2104,5,0)</f>
        <v>Weetwood Cairn Kerbstone</v>
      </c>
    </row>
    <row r="2441">
      <c r="A2441" s="3">
        <v>766.0</v>
      </c>
      <c r="B2441" s="3">
        <v>52.0</v>
      </c>
      <c r="C2441" s="3">
        <v>2.0</v>
      </c>
      <c r="D2441" t="str">
        <f>VLOOKUP(B2441,ERA_MOTIF_TYPES.csv!$A$1:$C$119,2,1)</f>
        <v>Single or multiple cups</v>
      </c>
      <c r="E2441" t="str">
        <f>VLOOKUP(A2441,Panels!$A$1:$E$2104,5,0)</f>
        <v>Weetwood Cairn Kerbstone</v>
      </c>
    </row>
    <row r="2442">
      <c r="A2442" s="3">
        <v>766.0</v>
      </c>
      <c r="B2442" s="3">
        <v>61.0</v>
      </c>
      <c r="C2442" s="3">
        <v>1.0</v>
      </c>
      <c r="D2442" t="str">
        <f>VLOOKUP(B2442,ERA_MOTIF_TYPES.csv!$A$1:$C$119,2,1)</f>
        <v>Cup and arc (or semi-ovoid)</v>
      </c>
      <c r="E2442" t="str">
        <f>VLOOKUP(A2442,Panels!$A$1:$E$2104,5,0)</f>
        <v>Weetwood Cairn Kerbstone</v>
      </c>
    </row>
    <row r="2443">
      <c r="A2443" s="3">
        <v>766.0</v>
      </c>
      <c r="B2443" s="3">
        <v>64.0</v>
      </c>
      <c r="C2443" s="3">
        <v>1.0</v>
      </c>
      <c r="D2443" t="str">
        <f>VLOOKUP(B2443,ERA_MOTIF_TYPES.csv!$A$1:$C$119,2,1)</f>
        <v>Cup with groove cutting through multiple rings</v>
      </c>
      <c r="E2443" t="str">
        <f>VLOOKUP(A2443,Panels!$A$1:$E$2104,5,0)</f>
        <v>Weetwood Cairn Kerbstone</v>
      </c>
    </row>
    <row r="2444">
      <c r="A2444" s="3">
        <v>766.0</v>
      </c>
      <c r="B2444" s="3">
        <v>87.0</v>
      </c>
      <c r="C2444" s="3">
        <v>2.0</v>
      </c>
      <c r="D2444" t="str">
        <f>VLOOKUP(B2444,ERA_MOTIF_TYPES.csv!$A$1:$C$119,2,1)</f>
        <v>Linear and angular groove</v>
      </c>
      <c r="E2444" t="str">
        <f>VLOOKUP(A2444,Panels!$A$1:$E$2104,5,0)</f>
        <v>Weetwood Cairn Kerbstone</v>
      </c>
    </row>
    <row r="2445">
      <c r="A2445" s="3">
        <v>766.0</v>
      </c>
      <c r="B2445" s="3">
        <v>103.0</v>
      </c>
      <c r="C2445" s="3">
        <v>3.0</v>
      </c>
      <c r="D2445" t="str">
        <f>VLOOKUP(B2445,ERA_MOTIF_TYPES.csv!$A$1:$C$119,2,1)</f>
        <v>Cup and groove</v>
      </c>
      <c r="E2445" t="str">
        <f>VLOOKUP(A2445,Panels!$A$1:$E$2104,5,0)</f>
        <v>Weetwood Cairn Kerbstone</v>
      </c>
    </row>
    <row r="2446">
      <c r="A2446" s="3">
        <v>767.0</v>
      </c>
      <c r="B2446" s="3">
        <v>52.0</v>
      </c>
      <c r="C2446" s="3">
        <v>3.0</v>
      </c>
      <c r="D2446" t="str">
        <f>VLOOKUP(B2446,ERA_MOTIF_TYPES.csv!$A$1:$C$119,2,1)</f>
        <v>Single or multiple cups</v>
      </c>
      <c r="E2446" t="str">
        <f>VLOOKUP(A2446,Panels!$A$1:$E$2104,5,0)</f>
        <v>The Ringses</v>
      </c>
    </row>
    <row r="2447">
      <c r="A2447" s="3">
        <v>768.0</v>
      </c>
      <c r="B2447" s="3">
        <v>52.0</v>
      </c>
      <c r="C2447" s="3">
        <v>1.0</v>
      </c>
      <c r="D2447" t="str">
        <f>VLOOKUP(B2447,ERA_MOTIF_TYPES.csv!$A$1:$C$119,2,1)</f>
        <v>Single or multiple cups</v>
      </c>
      <c r="E2447" t="str">
        <f>VLOOKUP(A2447,Panels!$A$1:$E$2104,5,0)</f>
        <v>Throckley Bank Portable</v>
      </c>
    </row>
    <row r="2448">
      <c r="A2448" s="3">
        <v>769.0</v>
      </c>
      <c r="B2448" s="3">
        <v>1.0</v>
      </c>
      <c r="C2448" s="3">
        <v>3.0</v>
      </c>
      <c r="D2448" t="str">
        <f>VLOOKUP(B2448,ERA_MOTIF_TYPES.csv!$A$1:$C$119,2,1)</f>
        <v>Cups Single</v>
      </c>
      <c r="E2448" t="str">
        <f>VLOOKUP(A2448,Panels!$A$1:$E$2104,5,0)</f>
        <v>Chesters Roman Site</v>
      </c>
    </row>
    <row r="2449">
      <c r="A2449" s="3">
        <v>769.0</v>
      </c>
      <c r="B2449" s="3">
        <v>52.0</v>
      </c>
      <c r="C2449" s="3">
        <v>3.0</v>
      </c>
      <c r="D2449" t="str">
        <f>VLOOKUP(B2449,ERA_MOTIF_TYPES.csv!$A$1:$C$119,2,1)</f>
        <v>Single or multiple cups</v>
      </c>
      <c r="E2449" t="str">
        <f>VLOOKUP(A2449,Panels!$A$1:$E$2104,5,0)</f>
        <v>Chesters Roman Site</v>
      </c>
    </row>
    <row r="2450">
      <c r="A2450" s="3">
        <v>770.0</v>
      </c>
      <c r="B2450" s="3">
        <v>52.0</v>
      </c>
      <c r="C2450" s="3">
        <v>1.0</v>
      </c>
      <c r="D2450" t="str">
        <f>VLOOKUP(B2450,ERA_MOTIF_TYPES.csv!$A$1:$C$119,2,1)</f>
        <v>Single or multiple cups</v>
      </c>
      <c r="E2450" t="str">
        <f>VLOOKUP(A2450,Panels!$A$1:$E$2104,5,0)</f>
        <v>Buttony</v>
      </c>
    </row>
    <row r="2451">
      <c r="A2451" s="3">
        <v>770.0</v>
      </c>
      <c r="B2451" s="3">
        <v>64.0</v>
      </c>
      <c r="C2451" s="3">
        <v>1.0</v>
      </c>
      <c r="D2451" t="str">
        <f>VLOOKUP(B2451,ERA_MOTIF_TYPES.csv!$A$1:$C$119,2,1)</f>
        <v>Cup with groove cutting through multiple rings</v>
      </c>
      <c r="E2451" t="str">
        <f>VLOOKUP(A2451,Panels!$A$1:$E$2104,5,0)</f>
        <v>Buttony</v>
      </c>
    </row>
    <row r="2452">
      <c r="A2452" s="3">
        <v>770.0</v>
      </c>
      <c r="B2452" s="3">
        <v>87.0</v>
      </c>
      <c r="C2452" s="3">
        <v>1.0</v>
      </c>
      <c r="D2452" t="str">
        <f>VLOOKUP(B2452,ERA_MOTIF_TYPES.csv!$A$1:$C$119,2,1)</f>
        <v>Linear and angular groove</v>
      </c>
      <c r="E2452" t="str">
        <f>VLOOKUP(A2452,Panels!$A$1:$E$2104,5,0)</f>
        <v>Buttony</v>
      </c>
    </row>
    <row r="2453">
      <c r="A2453" s="3">
        <v>771.0</v>
      </c>
      <c r="B2453" s="3">
        <v>13.0</v>
      </c>
      <c r="C2453" s="3">
        <v>2.0</v>
      </c>
      <c r="D2453" t="str">
        <f>VLOOKUP(B2453,ERA_MOTIF_TYPES.csv!$A$1:$C$119,2,1)</f>
        <v>Single Ring + cup</v>
      </c>
      <c r="E2453" t="str">
        <f>VLOOKUP(A2453,Panels!$A$1:$E$2104,5,0)</f>
        <v>Amerside Law</v>
      </c>
    </row>
    <row r="2454">
      <c r="A2454" s="3">
        <v>772.0</v>
      </c>
      <c r="B2454" s="3">
        <v>1.0</v>
      </c>
      <c r="C2454" s="3">
        <v>3.0</v>
      </c>
      <c r="D2454" t="str">
        <f>VLOOKUP(B2454,ERA_MOTIF_TYPES.csv!$A$1:$C$119,2,1)</f>
        <v>Cups Single</v>
      </c>
      <c r="E2454" t="str">
        <f>VLOOKUP(A2454,Panels!$A$1:$E$2104,5,0)</f>
        <v>Highburn House</v>
      </c>
    </row>
    <row r="2455">
      <c r="A2455" s="3">
        <v>772.0</v>
      </c>
      <c r="B2455" s="3">
        <v>13.0</v>
      </c>
      <c r="C2455" s="3">
        <v>1.0</v>
      </c>
      <c r="D2455" t="str">
        <f>VLOOKUP(B2455,ERA_MOTIF_TYPES.csv!$A$1:$C$119,2,1)</f>
        <v>Single Ring + cup</v>
      </c>
      <c r="E2455" t="str">
        <f>VLOOKUP(A2455,Panels!$A$1:$E$2104,5,0)</f>
        <v>Highburn House</v>
      </c>
    </row>
    <row r="2456">
      <c r="A2456" s="3">
        <v>773.0</v>
      </c>
      <c r="B2456" s="3">
        <v>1.0</v>
      </c>
      <c r="C2456" s="3">
        <v>1.0</v>
      </c>
      <c r="D2456" t="str">
        <f>VLOOKUP(B2456,ERA_MOTIF_TYPES.csv!$A$1:$C$119,2,1)</f>
        <v>Cups Single</v>
      </c>
      <c r="E2456" t="str">
        <f>VLOOKUP(A2456,Panels!$A$1:$E$2104,5,0)</f>
        <v>Alnwick Castle Museum-Unprovenanced Rock</v>
      </c>
    </row>
    <row r="2457">
      <c r="A2457" s="3">
        <v>774.0</v>
      </c>
      <c r="B2457" s="3">
        <v>1.0</v>
      </c>
      <c r="C2457" s="3">
        <v>1.0</v>
      </c>
      <c r="D2457" t="str">
        <f>VLOOKUP(B2457,ERA_MOTIF_TYPES.csv!$A$1:$C$119,2,1)</f>
        <v>Cups Single</v>
      </c>
      <c r="E2457" t="str">
        <f>VLOOKUP(A2457,Panels!$A$1:$E$2104,5,0)</f>
        <v>Alnwick Castle Museum-Unprovenanced Rock</v>
      </c>
    </row>
    <row r="2458">
      <c r="A2458" s="3">
        <v>775.0</v>
      </c>
      <c r="B2458" s="3">
        <v>1.0</v>
      </c>
      <c r="C2458" s="3">
        <v>2.0</v>
      </c>
      <c r="D2458" t="str">
        <f>VLOOKUP(B2458,ERA_MOTIF_TYPES.csv!$A$1:$C$119,2,1)</f>
        <v>Cups Single</v>
      </c>
      <c r="E2458" t="str">
        <f>VLOOKUP(A2458,Panels!$A$1:$E$2104,5,0)</f>
        <v>Alnwick Castle Museum-Unprovenanced Rock</v>
      </c>
    </row>
    <row r="2459">
      <c r="A2459" s="3">
        <v>776.0</v>
      </c>
      <c r="B2459" s="3">
        <v>1.0</v>
      </c>
      <c r="C2459" s="3">
        <v>5.0</v>
      </c>
      <c r="D2459" t="str">
        <f>VLOOKUP(B2459,ERA_MOTIF_TYPES.csv!$A$1:$C$119,2,1)</f>
        <v>Cups Single</v>
      </c>
      <c r="E2459" t="str">
        <f>VLOOKUP(A2459,Panels!$A$1:$E$2104,5,0)</f>
        <v>Standing Stone Newtown Mill</v>
      </c>
    </row>
    <row r="2460">
      <c r="A2460" s="3">
        <v>776.0</v>
      </c>
      <c r="B2460" s="3">
        <v>50.0</v>
      </c>
      <c r="C2460" s="3">
        <v>1.0</v>
      </c>
      <c r="D2460" t="str">
        <f>VLOOKUP(B2460,ERA_MOTIF_TYPES.csv!$A$1:$C$119,2,1)</f>
        <v>Channels</v>
      </c>
      <c r="E2460" t="str">
        <f>VLOOKUP(A2460,Panels!$A$1:$E$2104,5,0)</f>
        <v>Standing Stone Newtown Mill</v>
      </c>
    </row>
    <row r="2461">
      <c r="A2461" s="3">
        <v>778.0</v>
      </c>
      <c r="B2461" s="3">
        <v>1.0</v>
      </c>
      <c r="C2461" s="3">
        <v>9.0</v>
      </c>
      <c r="D2461" t="str">
        <f>VLOOKUP(B2461,ERA_MOTIF_TYPES.csv!$A$1:$C$119,2,1)</f>
        <v>Cups Single</v>
      </c>
      <c r="E2461" t="str">
        <f>VLOOKUP(A2461,Panels!$A$1:$E$2104,5,0)</f>
        <v>Reaveley Hill</v>
      </c>
    </row>
    <row r="2462">
      <c r="A2462" s="3">
        <v>779.0</v>
      </c>
      <c r="B2462" s="3">
        <v>1.0</v>
      </c>
      <c r="C2462" s="3">
        <v>1.0</v>
      </c>
      <c r="D2462" t="str">
        <f>VLOOKUP(B2462,ERA_MOTIF_TYPES.csv!$A$1:$C$119,2,1)</f>
        <v>Cups Single</v>
      </c>
      <c r="E2462" t="str">
        <f>VLOOKUP(A2462,Panels!$A$1:$E$2104,5,0)</f>
        <v>Hexham Abbey, Monastic Workshop</v>
      </c>
    </row>
    <row r="2463">
      <c r="A2463" s="3">
        <v>780.0</v>
      </c>
      <c r="B2463" s="3">
        <v>1.0</v>
      </c>
      <c r="C2463" s="3">
        <v>2.0</v>
      </c>
      <c r="D2463" t="str">
        <f>VLOOKUP(B2463,ERA_MOTIF_TYPES.csv!$A$1:$C$119,2,1)</f>
        <v>Cups Single</v>
      </c>
      <c r="E2463" t="str">
        <f>VLOOKUP(A2463,Panels!$A$1:$E$2104,5,0)</f>
        <v>Bulman's Rigg</v>
      </c>
    </row>
    <row r="2464">
      <c r="A2464" s="3">
        <v>781.0</v>
      </c>
      <c r="B2464" s="3">
        <v>1.0</v>
      </c>
      <c r="C2464" s="3">
        <v>1.0</v>
      </c>
      <c r="D2464" t="str">
        <f>VLOOKUP(B2464,ERA_MOTIF_TYPES.csv!$A$1:$C$119,2,1)</f>
        <v>Cups Single</v>
      </c>
      <c r="E2464" t="str">
        <f>VLOOKUP(A2464,Panels!$A$1:$E$2104,5,0)</f>
        <v>Burntridge Moor</v>
      </c>
    </row>
    <row r="2465">
      <c r="A2465" s="3">
        <v>782.0</v>
      </c>
      <c r="B2465" s="3">
        <v>1.0</v>
      </c>
      <c r="C2465" s="3">
        <v>2.0</v>
      </c>
      <c r="D2465" t="str">
        <f>VLOOKUP(B2465,ERA_MOTIF_TYPES.csv!$A$1:$C$119,2,1)</f>
        <v>Cups Single</v>
      </c>
      <c r="E2465" t="str">
        <f>VLOOKUP(A2465,Panels!$A$1:$E$2104,5,0)</f>
        <v>Stobs Cross</v>
      </c>
    </row>
    <row r="2466">
      <c r="A2466" s="3">
        <v>783.0</v>
      </c>
      <c r="B2466" s="3">
        <v>13.0</v>
      </c>
      <c r="C2466" s="3">
        <v>1.0</v>
      </c>
      <c r="D2466" t="str">
        <f>VLOOKUP(B2466,ERA_MOTIF_TYPES.csv!$A$1:$C$119,2,1)</f>
        <v>Single Ring + cup</v>
      </c>
      <c r="E2466" t="str">
        <f>VLOOKUP(A2466,Panels!$A$1:$E$2104,5,0)</f>
        <v>Weetwood Moor</v>
      </c>
    </row>
    <row r="2467">
      <c r="A2467" s="3">
        <v>783.0</v>
      </c>
      <c r="B2467" s="3">
        <v>35.0</v>
      </c>
      <c r="C2467" s="3">
        <v>1.0</v>
      </c>
      <c r="D2467" t="str">
        <f>VLOOKUP(B2467,ERA_MOTIF_TYPES.csv!$A$1:$C$119,2,1)</f>
        <v>Cup Groove and multi penannular</v>
      </c>
      <c r="E2467" t="str">
        <f>VLOOKUP(A2467,Panels!$A$1:$E$2104,5,0)</f>
        <v>Weetwood Moor</v>
      </c>
    </row>
    <row r="2468">
      <c r="A2468" s="3">
        <v>783.0</v>
      </c>
      <c r="B2468" s="3">
        <v>52.0</v>
      </c>
      <c r="C2468" s="3">
        <v>1.0</v>
      </c>
      <c r="D2468" t="str">
        <f>VLOOKUP(B2468,ERA_MOTIF_TYPES.csv!$A$1:$C$119,2,1)</f>
        <v>Single or multiple cups</v>
      </c>
      <c r="E2468" t="str">
        <f>VLOOKUP(A2468,Panels!$A$1:$E$2104,5,0)</f>
        <v>Weetwood Moor</v>
      </c>
    </row>
    <row r="2469">
      <c r="A2469" s="3">
        <v>783.0</v>
      </c>
      <c r="B2469" s="3">
        <v>57.0</v>
      </c>
      <c r="C2469" s="3">
        <v>1.0</v>
      </c>
      <c r="D2469" t="str">
        <f>VLOOKUP(B2469,ERA_MOTIF_TYPES.csv!$A$1:$C$119,2,1)</f>
        <v>Cup and ring</v>
      </c>
      <c r="E2469" t="str">
        <f>VLOOKUP(A2469,Panels!$A$1:$E$2104,5,0)</f>
        <v>Weetwood Moor</v>
      </c>
    </row>
    <row r="2470">
      <c r="A2470" s="3">
        <v>783.0</v>
      </c>
      <c r="B2470" s="3">
        <v>66.0</v>
      </c>
      <c r="C2470" s="3">
        <v>1.0</v>
      </c>
      <c r="D2470" t="str">
        <f>VLOOKUP(B2470,ERA_MOTIF_TYPES.csv!$A$1:$C$119,2,1)</f>
        <v>Cup and groove with multiple penannulars</v>
      </c>
      <c r="E2470" t="str">
        <f>VLOOKUP(A2470,Panels!$A$1:$E$2104,5,0)</f>
        <v>Weetwood Moor</v>
      </c>
    </row>
    <row r="2471">
      <c r="A2471" s="3">
        <v>783.0</v>
      </c>
      <c r="B2471" s="3">
        <v>110.0</v>
      </c>
      <c r="C2471" s="3">
        <v>1.0</v>
      </c>
      <c r="D2471" t="str">
        <f>VLOOKUP(B2471,ERA_MOTIF_TYPES.csv!$A$1:$C$119,2,1)</f>
        <v>Curved groove</v>
      </c>
      <c r="E2471" t="str">
        <f>VLOOKUP(A2471,Panels!$A$1:$E$2104,5,0)</f>
        <v>Weetwood Moor</v>
      </c>
    </row>
    <row r="2472">
      <c r="A2472" s="3">
        <v>784.0</v>
      </c>
      <c r="B2472" s="3">
        <v>52.0</v>
      </c>
      <c r="C2472" s="3">
        <v>1.0</v>
      </c>
      <c r="D2472" t="str">
        <f>VLOOKUP(B2472,ERA_MOTIF_TYPES.csv!$A$1:$C$119,2,1)</f>
        <v>Single or multiple cups</v>
      </c>
      <c r="E2472" t="str">
        <f>VLOOKUP(A2472,Panels!$A$1:$E$2104,5,0)</f>
        <v>Weetwood Moor</v>
      </c>
    </row>
    <row r="2473">
      <c r="A2473" s="3">
        <v>784.0</v>
      </c>
      <c r="B2473" s="3">
        <v>57.0</v>
      </c>
      <c r="C2473" s="3">
        <v>1.0</v>
      </c>
      <c r="D2473" t="str">
        <f>VLOOKUP(B2473,ERA_MOTIF_TYPES.csv!$A$1:$C$119,2,1)</f>
        <v>Cup and ring</v>
      </c>
      <c r="E2473" t="str">
        <f>VLOOKUP(A2473,Panels!$A$1:$E$2104,5,0)</f>
        <v>Weetwood Moor</v>
      </c>
    </row>
    <row r="2474">
      <c r="A2474" s="3">
        <v>784.0</v>
      </c>
      <c r="B2474" s="3">
        <v>66.0</v>
      </c>
      <c r="C2474" s="3">
        <v>1.0</v>
      </c>
      <c r="D2474" t="str">
        <f>VLOOKUP(B2474,ERA_MOTIF_TYPES.csv!$A$1:$C$119,2,1)</f>
        <v>Cup and groove with multiple penannulars</v>
      </c>
      <c r="E2474" t="str">
        <f>VLOOKUP(A2474,Panels!$A$1:$E$2104,5,0)</f>
        <v>Weetwood Moor</v>
      </c>
    </row>
    <row r="2475">
      <c r="A2475" s="3">
        <v>784.0</v>
      </c>
      <c r="B2475" s="3">
        <v>110.0</v>
      </c>
      <c r="C2475" s="3">
        <v>1.0</v>
      </c>
      <c r="D2475" t="str">
        <f>VLOOKUP(B2475,ERA_MOTIF_TYPES.csv!$A$1:$C$119,2,1)</f>
        <v>Curved groove</v>
      </c>
      <c r="E2475" t="str">
        <f>VLOOKUP(A2475,Panels!$A$1:$E$2104,5,0)</f>
        <v>Weetwood Moor</v>
      </c>
    </row>
    <row r="2476">
      <c r="A2476" s="3">
        <v>785.0</v>
      </c>
      <c r="B2476" s="3">
        <v>52.0</v>
      </c>
      <c r="C2476" s="3">
        <v>1.0</v>
      </c>
      <c r="D2476" t="str">
        <f>VLOOKUP(B2476,ERA_MOTIF_TYPES.csv!$A$1:$C$119,2,1)</f>
        <v>Single or multiple cups</v>
      </c>
      <c r="E2476" t="str">
        <f>VLOOKUP(A2476,Panels!$A$1:$E$2104,5,0)</f>
        <v>Weetwood Moor</v>
      </c>
    </row>
    <row r="2477">
      <c r="A2477" s="3">
        <v>785.0</v>
      </c>
      <c r="B2477" s="3">
        <v>57.0</v>
      </c>
      <c r="C2477" s="3">
        <v>1.0</v>
      </c>
      <c r="D2477" t="str">
        <f>VLOOKUP(B2477,ERA_MOTIF_TYPES.csv!$A$1:$C$119,2,1)</f>
        <v>Cup and ring</v>
      </c>
      <c r="E2477" t="str">
        <f>VLOOKUP(A2477,Panels!$A$1:$E$2104,5,0)</f>
        <v>Weetwood Moor</v>
      </c>
    </row>
    <row r="2478">
      <c r="A2478" s="3">
        <v>785.0</v>
      </c>
      <c r="B2478" s="3">
        <v>66.0</v>
      </c>
      <c r="C2478" s="3">
        <v>1.0</v>
      </c>
      <c r="D2478" t="str">
        <f>VLOOKUP(B2478,ERA_MOTIF_TYPES.csv!$A$1:$C$119,2,1)</f>
        <v>Cup and groove with multiple penannulars</v>
      </c>
      <c r="E2478" t="str">
        <f>VLOOKUP(A2478,Panels!$A$1:$E$2104,5,0)</f>
        <v>Weetwood Moor</v>
      </c>
    </row>
    <row r="2479">
      <c r="A2479" s="3">
        <v>785.0</v>
      </c>
      <c r="B2479" s="3">
        <v>110.0</v>
      </c>
      <c r="C2479" s="3">
        <v>1.0</v>
      </c>
      <c r="D2479" t="str">
        <f>VLOOKUP(B2479,ERA_MOTIF_TYPES.csv!$A$1:$C$119,2,1)</f>
        <v>Curved groove</v>
      </c>
      <c r="E2479" t="str">
        <f>VLOOKUP(A2479,Panels!$A$1:$E$2104,5,0)</f>
        <v>Weetwood Moor</v>
      </c>
    </row>
    <row r="2480">
      <c r="A2480" s="3">
        <v>787.0</v>
      </c>
      <c r="B2480" s="3">
        <v>52.0</v>
      </c>
      <c r="C2480" s="3">
        <v>19.0</v>
      </c>
      <c r="D2480" t="str">
        <f>VLOOKUP(B2480,ERA_MOTIF_TYPES.csv!$A$1:$C$119,2,1)</f>
        <v>Single or multiple cups</v>
      </c>
      <c r="E2480" t="str">
        <f>VLOOKUP(A2480,Panels!$A$1:$E$2104,5,0)</f>
        <v>Weetwood Moor North</v>
      </c>
    </row>
    <row r="2481">
      <c r="A2481" s="3">
        <v>787.0</v>
      </c>
      <c r="B2481" s="3">
        <v>65.0</v>
      </c>
      <c r="C2481" s="3">
        <v>1.0</v>
      </c>
      <c r="D2481" t="str">
        <f>VLOOKUP(B2481,ERA_MOTIF_TYPES.csv!$A$1:$C$119,2,1)</f>
        <v>Cup and groove with penannular</v>
      </c>
      <c r="E2481" t="str">
        <f>VLOOKUP(A2481,Panels!$A$1:$E$2104,5,0)</f>
        <v>Weetwood Moor North</v>
      </c>
    </row>
    <row r="2482">
      <c r="A2482" s="3">
        <v>787.0</v>
      </c>
      <c r="B2482" s="3">
        <v>103.0</v>
      </c>
      <c r="C2482" s="3">
        <v>3.0</v>
      </c>
      <c r="D2482" t="str">
        <f>VLOOKUP(B2482,ERA_MOTIF_TYPES.csv!$A$1:$C$119,2,1)</f>
        <v>Cup and groove</v>
      </c>
      <c r="E2482" t="str">
        <f>VLOOKUP(A2482,Panels!$A$1:$E$2104,5,0)</f>
        <v>Weetwood Moor North</v>
      </c>
    </row>
    <row r="2483">
      <c r="A2483" s="3">
        <v>787.0</v>
      </c>
      <c r="B2483" s="3">
        <v>105.0</v>
      </c>
      <c r="C2483" s="3">
        <v>1.0</v>
      </c>
      <c r="D2483" t="str">
        <f>VLOOKUP(B2483,ERA_MOTIF_TYPES.csv!$A$1:$C$119,2,1)</f>
        <v>Two cups linked by a groove</v>
      </c>
      <c r="E2483" t="str">
        <f>VLOOKUP(A2483,Panels!$A$1:$E$2104,5,0)</f>
        <v>Weetwood Moor North</v>
      </c>
    </row>
    <row r="2484">
      <c r="A2484" s="3">
        <v>787.0</v>
      </c>
      <c r="B2484" s="3">
        <v>110.0</v>
      </c>
      <c r="C2484" s="3">
        <v>1.0</v>
      </c>
      <c r="D2484" t="str">
        <f>VLOOKUP(B2484,ERA_MOTIF_TYPES.csv!$A$1:$C$119,2,1)</f>
        <v>Curved groove</v>
      </c>
      <c r="E2484" t="str">
        <f>VLOOKUP(A2484,Panels!$A$1:$E$2104,5,0)</f>
        <v>Weetwood Moor North</v>
      </c>
    </row>
    <row r="2485">
      <c r="A2485" s="3">
        <v>790.0</v>
      </c>
      <c r="B2485" s="3">
        <v>1.0</v>
      </c>
      <c r="C2485" s="3">
        <v>4.0</v>
      </c>
      <c r="D2485" t="str">
        <f>VLOOKUP(B2485,ERA_MOTIF_TYPES.csv!$A$1:$C$119,2,1)</f>
        <v>Cups Single</v>
      </c>
      <c r="E2485" t="str">
        <f>VLOOKUP(A2485,Panels!$A$1:$E$2104,5,0)</f>
        <v>Witton Hall Farm</v>
      </c>
    </row>
    <row r="2486">
      <c r="A2486" s="3">
        <v>790.0</v>
      </c>
      <c r="B2486" s="3">
        <v>46.0</v>
      </c>
      <c r="C2486" s="3">
        <v>4.0</v>
      </c>
      <c r="D2486" t="str">
        <f>VLOOKUP(B2486,ERA_MOTIF_TYPES.csv!$A$1:$C$119,2,1)</f>
        <v>Groove and cups</v>
      </c>
      <c r="E2486" t="str">
        <f>VLOOKUP(A2486,Panels!$A$1:$E$2104,5,0)</f>
        <v>Witton Hall Farm</v>
      </c>
    </row>
    <row r="2487">
      <c r="A2487" s="3">
        <v>791.0</v>
      </c>
      <c r="B2487" s="3">
        <v>1.0</v>
      </c>
      <c r="C2487" s="3">
        <v>1.0</v>
      </c>
      <c r="D2487" t="str">
        <f>VLOOKUP(B2487,ERA_MOTIF_TYPES.csv!$A$1:$C$119,2,1)</f>
        <v>Cups Single</v>
      </c>
      <c r="E2487" t="str">
        <f>VLOOKUP(A2487,Panels!$A$1:$E$2104,5,0)</f>
        <v>Witton Hall Farm</v>
      </c>
    </row>
    <row r="2488">
      <c r="A2488" s="3">
        <v>795.0</v>
      </c>
      <c r="B2488" s="3">
        <v>1.0</v>
      </c>
      <c r="C2488" s="3">
        <v>1.0</v>
      </c>
      <c r="D2488" t="str">
        <f>VLOOKUP(B2488,ERA_MOTIF_TYPES.csv!$A$1:$C$119,2,1)</f>
        <v>Cups Single</v>
      </c>
      <c r="E2488" t="str">
        <f>VLOOKUP(A2488,Panels!$A$1:$E$2104,5,0)</f>
        <v>Old Deanham</v>
      </c>
    </row>
    <row r="2489">
      <c r="A2489" s="3">
        <v>796.0</v>
      </c>
      <c r="B2489" s="3">
        <v>1.0</v>
      </c>
      <c r="C2489" s="3">
        <v>1.0</v>
      </c>
      <c r="D2489" t="str">
        <f>VLOOKUP(B2489,ERA_MOTIF_TYPES.csv!$A$1:$C$119,2,1)</f>
        <v>Cups Single</v>
      </c>
      <c r="E2489" t="str">
        <f>VLOOKUP(A2489,Panels!$A$1:$E$2104,5,0)</f>
        <v>Shield Croft Farm, Hexham</v>
      </c>
    </row>
    <row r="2490">
      <c r="A2490" s="3">
        <v>796.0</v>
      </c>
      <c r="B2490" s="3">
        <v>52.0</v>
      </c>
      <c r="C2490" s="3">
        <v>1.0</v>
      </c>
      <c r="D2490" t="str">
        <f>VLOOKUP(B2490,ERA_MOTIF_TYPES.csv!$A$1:$C$119,2,1)</f>
        <v>Single or multiple cups</v>
      </c>
      <c r="E2490" t="str">
        <f>VLOOKUP(A2490,Panels!$A$1:$E$2104,5,0)</f>
        <v>Shield Croft Farm, Hexham</v>
      </c>
    </row>
    <row r="2491">
      <c r="A2491" s="3">
        <v>797.0</v>
      </c>
      <c r="B2491" s="3">
        <v>1.0</v>
      </c>
      <c r="C2491" s="3">
        <v>2.0</v>
      </c>
      <c r="D2491" t="str">
        <f>VLOOKUP(B2491,ERA_MOTIF_TYPES.csv!$A$1:$C$119,2,1)</f>
        <v>Cups Single</v>
      </c>
      <c r="E2491" t="str">
        <f>VLOOKUP(A2491,Panels!$A$1:$E$2104,5,0)</f>
        <v>Weetwood Moor</v>
      </c>
    </row>
    <row r="2492">
      <c r="A2492" s="3">
        <v>798.0</v>
      </c>
      <c r="B2492" s="3">
        <v>1.0</v>
      </c>
      <c r="C2492" s="3">
        <v>1.0</v>
      </c>
      <c r="D2492" t="str">
        <f>VLOOKUP(B2492,ERA_MOTIF_TYPES.csv!$A$1:$C$119,2,1)</f>
        <v>Cups Single</v>
      </c>
      <c r="E2492" t="str">
        <f>VLOOKUP(A2492,Panels!$A$1:$E$2104,5,0)</f>
        <v>Weetwood Moor</v>
      </c>
    </row>
    <row r="2493">
      <c r="A2493" s="3">
        <v>800.0</v>
      </c>
      <c r="B2493" s="3">
        <v>1.0</v>
      </c>
      <c r="C2493" s="3">
        <v>6.0</v>
      </c>
      <c r="D2493" t="str">
        <f>VLOOKUP(B2493,ERA_MOTIF_TYPES.csv!$A$1:$C$119,2,1)</f>
        <v>Cups Single</v>
      </c>
      <c r="E2493" t="str">
        <f>VLOOKUP(A2493,Panels!$A$1:$E$2104,5,0)</f>
        <v>Black Hill Gate</v>
      </c>
    </row>
    <row r="2494">
      <c r="A2494" s="3">
        <v>801.0</v>
      </c>
      <c r="B2494" s="3">
        <v>1.0</v>
      </c>
      <c r="C2494" s="3">
        <v>10.0</v>
      </c>
      <c r="D2494" t="str">
        <f>VLOOKUP(B2494,ERA_MOTIF_TYPES.csv!$A$1:$C$119,2,1)</f>
        <v>Cups Single</v>
      </c>
      <c r="E2494" t="str">
        <f>VLOOKUP(A2494,Panels!$A$1:$E$2104,5,0)</f>
        <v>Barningham Moor</v>
      </c>
    </row>
    <row r="2495">
      <c r="A2495" s="3">
        <v>801.0</v>
      </c>
      <c r="B2495" s="3">
        <v>31.0</v>
      </c>
      <c r="C2495" s="3">
        <v>1.0</v>
      </c>
      <c r="D2495" t="str">
        <f>VLOOKUP(B2495,ERA_MOTIF_TYPES.csv!$A$1:$C$119,2,1)</f>
        <v>Cup and Groove</v>
      </c>
      <c r="E2495" t="str">
        <f>VLOOKUP(A2495,Panels!$A$1:$E$2104,5,0)</f>
        <v>Barningham Moor</v>
      </c>
    </row>
    <row r="2496">
      <c r="A2496" s="3">
        <v>802.0</v>
      </c>
      <c r="B2496" s="3">
        <v>31.0</v>
      </c>
      <c r="C2496" s="3">
        <v>1.0</v>
      </c>
      <c r="D2496" t="str">
        <f>VLOOKUP(B2496,ERA_MOTIF_TYPES.csv!$A$1:$C$119,2,1)</f>
        <v>Cup and Groove</v>
      </c>
      <c r="E2496" t="str">
        <f>VLOOKUP(A2496,Panels!$A$1:$E$2104,5,0)</f>
        <v>Barningham Moor</v>
      </c>
    </row>
    <row r="2497">
      <c r="A2497" s="3">
        <v>803.0</v>
      </c>
      <c r="B2497" s="3">
        <v>1.0</v>
      </c>
      <c r="C2497" s="3">
        <v>1.0</v>
      </c>
      <c r="D2497" t="str">
        <f>VLOOKUP(B2497,ERA_MOTIF_TYPES.csv!$A$1:$C$119,2,1)</f>
        <v>Cups Single</v>
      </c>
      <c r="E2497" t="str">
        <f>VLOOKUP(A2497,Panels!$A$1:$E$2104,5,0)</f>
        <v>Barningham Moor</v>
      </c>
    </row>
    <row r="2498">
      <c r="A2498" s="3">
        <v>804.0</v>
      </c>
      <c r="B2498" s="3">
        <v>1.0</v>
      </c>
      <c r="C2498" s="3">
        <v>5.0</v>
      </c>
      <c r="D2498" t="str">
        <f>VLOOKUP(B2498,ERA_MOTIF_TYPES.csv!$A$1:$C$119,2,1)</f>
        <v>Cups Single</v>
      </c>
      <c r="E2498" t="str">
        <f>VLOOKUP(A2498,Panels!$A$1:$E$2104,5,0)</f>
        <v>Barningham Moor</v>
      </c>
    </row>
    <row r="2499">
      <c r="A2499" s="3">
        <v>805.0</v>
      </c>
      <c r="B2499" s="3">
        <v>1.0</v>
      </c>
      <c r="C2499" s="3">
        <v>16.0</v>
      </c>
      <c r="D2499" t="str">
        <f>VLOOKUP(B2499,ERA_MOTIF_TYPES.csv!$A$1:$C$119,2,1)</f>
        <v>Cups Single</v>
      </c>
      <c r="E2499" t="str">
        <f>VLOOKUP(A2499,Panels!$A$1:$E$2104,5,0)</f>
        <v>Barningham Moor</v>
      </c>
    </row>
    <row r="2500">
      <c r="A2500" s="3">
        <v>805.0</v>
      </c>
      <c r="B2500" s="3">
        <v>13.0</v>
      </c>
      <c r="C2500" s="3">
        <v>1.0</v>
      </c>
      <c r="D2500" t="str">
        <f>VLOOKUP(B2500,ERA_MOTIF_TYPES.csv!$A$1:$C$119,2,1)</f>
        <v>Single Ring + cup</v>
      </c>
      <c r="E2500" t="str">
        <f>VLOOKUP(A2500,Panels!$A$1:$E$2104,5,0)</f>
        <v>Barningham Moor</v>
      </c>
    </row>
    <row r="2501">
      <c r="A2501" s="3">
        <v>806.0</v>
      </c>
      <c r="B2501" s="3">
        <v>1.0</v>
      </c>
      <c r="C2501" s="3">
        <v>10.0</v>
      </c>
      <c r="D2501" t="str">
        <f>VLOOKUP(B2501,ERA_MOTIF_TYPES.csv!$A$1:$C$119,2,1)</f>
        <v>Cups Single</v>
      </c>
      <c r="E2501" t="str">
        <f>VLOOKUP(A2501,Panels!$A$1:$E$2104,5,0)</f>
        <v>Barningham Moor</v>
      </c>
    </row>
    <row r="2502">
      <c r="A2502" s="3">
        <v>806.0</v>
      </c>
      <c r="B2502" s="3">
        <v>25.0</v>
      </c>
      <c r="C2502" s="3">
        <v>1.0</v>
      </c>
      <c r="D2502" t="str">
        <f>VLOOKUP(B2502,ERA_MOTIF_TYPES.csv!$A$1:$C$119,2,1)</f>
        <v>Linear</v>
      </c>
      <c r="E2502" t="str">
        <f>VLOOKUP(A2502,Panels!$A$1:$E$2104,5,0)</f>
        <v>Barningham Moor</v>
      </c>
    </row>
    <row r="2503">
      <c r="A2503" s="3">
        <v>807.0</v>
      </c>
      <c r="B2503" s="3">
        <v>1.0</v>
      </c>
      <c r="C2503" s="3">
        <v>4.0</v>
      </c>
      <c r="D2503" t="str">
        <f>VLOOKUP(B2503,ERA_MOTIF_TYPES.csv!$A$1:$C$119,2,1)</f>
        <v>Cups Single</v>
      </c>
      <c r="E2503" t="str">
        <f>VLOOKUP(A2503,Panels!$A$1:$E$2104,5,0)</f>
        <v>Barningham Moor</v>
      </c>
    </row>
    <row r="2504">
      <c r="A2504" s="3">
        <v>808.0</v>
      </c>
      <c r="B2504" s="3">
        <v>1.0</v>
      </c>
      <c r="C2504" s="3">
        <v>1.0</v>
      </c>
      <c r="D2504" t="str">
        <f>VLOOKUP(B2504,ERA_MOTIF_TYPES.csv!$A$1:$C$119,2,1)</f>
        <v>Cups Single</v>
      </c>
      <c r="E2504" t="str">
        <f>VLOOKUP(A2504,Panels!$A$1:$E$2104,5,0)</f>
        <v>Barningham Moor</v>
      </c>
    </row>
    <row r="2505">
      <c r="A2505" s="3">
        <v>808.0</v>
      </c>
      <c r="B2505" s="3">
        <v>31.0</v>
      </c>
      <c r="C2505" s="3">
        <v>3.0</v>
      </c>
      <c r="D2505" t="str">
        <f>VLOOKUP(B2505,ERA_MOTIF_TYPES.csv!$A$1:$C$119,2,1)</f>
        <v>Cup and Groove</v>
      </c>
      <c r="E2505" t="str">
        <f>VLOOKUP(A2505,Panels!$A$1:$E$2104,5,0)</f>
        <v>Barningham Moor</v>
      </c>
    </row>
    <row r="2506">
      <c r="A2506" s="3">
        <v>809.0</v>
      </c>
      <c r="B2506" s="3">
        <v>1.0</v>
      </c>
      <c r="C2506" s="3">
        <v>3.0</v>
      </c>
      <c r="D2506" t="str">
        <f>VLOOKUP(B2506,ERA_MOTIF_TYPES.csv!$A$1:$C$119,2,1)</f>
        <v>Cups Single</v>
      </c>
      <c r="E2506" t="str">
        <f>VLOOKUP(A2506,Panels!$A$1:$E$2104,5,0)</f>
        <v>Barningham Moor</v>
      </c>
    </row>
    <row r="2507">
      <c r="A2507" s="3">
        <v>810.0</v>
      </c>
      <c r="B2507" s="3">
        <v>1.0</v>
      </c>
      <c r="C2507" s="3">
        <v>4.0</v>
      </c>
      <c r="D2507" t="str">
        <f>VLOOKUP(B2507,ERA_MOTIF_TYPES.csv!$A$1:$C$119,2,1)</f>
        <v>Cups Single</v>
      </c>
      <c r="E2507" t="str">
        <f>VLOOKUP(A2507,Panels!$A$1:$E$2104,5,0)</f>
        <v>Barningham Moor</v>
      </c>
    </row>
    <row r="2508">
      <c r="A2508" s="3">
        <v>810.0</v>
      </c>
      <c r="B2508" s="3">
        <v>31.0</v>
      </c>
      <c r="C2508" s="3">
        <v>1.0</v>
      </c>
      <c r="D2508" t="str">
        <f>VLOOKUP(B2508,ERA_MOTIF_TYPES.csv!$A$1:$C$119,2,1)</f>
        <v>Cup and Groove</v>
      </c>
      <c r="E2508" t="str">
        <f>VLOOKUP(A2508,Panels!$A$1:$E$2104,5,0)</f>
        <v>Barningham Moor</v>
      </c>
    </row>
    <row r="2509">
      <c r="A2509" s="3">
        <v>811.0</v>
      </c>
      <c r="B2509" s="3">
        <v>1.0</v>
      </c>
      <c r="C2509" s="3">
        <v>5.0</v>
      </c>
      <c r="D2509" t="str">
        <f>VLOOKUP(B2509,ERA_MOTIF_TYPES.csv!$A$1:$C$119,2,1)</f>
        <v>Cups Single</v>
      </c>
      <c r="E2509" t="str">
        <f>VLOOKUP(A2509,Panels!$A$1:$E$2104,5,0)</f>
        <v>Barningham Moor</v>
      </c>
    </row>
    <row r="2510">
      <c r="A2510" s="3">
        <v>812.0</v>
      </c>
      <c r="B2510" s="3">
        <v>13.0</v>
      </c>
      <c r="C2510" s="3">
        <v>1.0</v>
      </c>
      <c r="D2510" t="str">
        <f>VLOOKUP(B2510,ERA_MOTIF_TYPES.csv!$A$1:$C$119,2,1)</f>
        <v>Single Ring + cup</v>
      </c>
      <c r="E2510" t="str">
        <f>VLOOKUP(A2510,Panels!$A$1:$E$2104,5,0)</f>
        <v>Barningham Moor</v>
      </c>
    </row>
    <row r="2511">
      <c r="A2511" s="3">
        <v>812.0</v>
      </c>
      <c r="B2511" s="3">
        <v>32.0</v>
      </c>
      <c r="C2511" s="3">
        <v>4.0</v>
      </c>
      <c r="D2511" t="str">
        <f>VLOOKUP(B2511,ERA_MOTIF_TYPES.csv!$A$1:$C$119,2,1)</f>
        <v>Cup Groove and single ring</v>
      </c>
      <c r="E2511" t="str">
        <f>VLOOKUP(A2511,Panels!$A$1:$E$2104,5,0)</f>
        <v>Barningham Moor</v>
      </c>
    </row>
    <row r="2512">
      <c r="A2512" s="3">
        <v>813.0</v>
      </c>
      <c r="B2512" s="3">
        <v>1.0</v>
      </c>
      <c r="C2512" s="3">
        <v>5.0</v>
      </c>
      <c r="D2512" t="str">
        <f>VLOOKUP(B2512,ERA_MOTIF_TYPES.csv!$A$1:$C$119,2,1)</f>
        <v>Cups Single</v>
      </c>
      <c r="E2512" t="str">
        <f>VLOOKUP(A2512,Panels!$A$1:$E$2104,5,0)</f>
        <v>Barningham Moor</v>
      </c>
    </row>
    <row r="2513">
      <c r="A2513" s="3">
        <v>813.0</v>
      </c>
      <c r="B2513" s="3">
        <v>14.0</v>
      </c>
      <c r="C2513" s="3">
        <v>1.0</v>
      </c>
      <c r="D2513" t="str">
        <f>VLOOKUP(B2513,ERA_MOTIF_TYPES.csv!$A$1:$C$119,2,1)</f>
        <v>Multi Ring + cup</v>
      </c>
      <c r="E2513" t="str">
        <f>VLOOKUP(A2513,Panels!$A$1:$E$2104,5,0)</f>
        <v>Barningham Moor</v>
      </c>
    </row>
    <row r="2514">
      <c r="A2514" s="3">
        <v>814.0</v>
      </c>
      <c r="B2514" s="3">
        <v>1.0</v>
      </c>
      <c r="C2514" s="3">
        <v>12.0</v>
      </c>
      <c r="D2514" t="str">
        <f>VLOOKUP(B2514,ERA_MOTIF_TYPES.csv!$A$1:$C$119,2,1)</f>
        <v>Cups Single</v>
      </c>
      <c r="E2514" t="str">
        <f>VLOOKUP(A2514,Panels!$A$1:$E$2104,5,0)</f>
        <v>Barningham Moor</v>
      </c>
    </row>
    <row r="2515">
      <c r="A2515" s="3">
        <v>814.0</v>
      </c>
      <c r="B2515" s="3">
        <v>31.0</v>
      </c>
      <c r="C2515" s="3">
        <v>1.0</v>
      </c>
      <c r="D2515" t="str">
        <f>VLOOKUP(B2515,ERA_MOTIF_TYPES.csv!$A$1:$C$119,2,1)</f>
        <v>Cup and Groove</v>
      </c>
      <c r="E2515" t="str">
        <f>VLOOKUP(A2515,Panels!$A$1:$E$2104,5,0)</f>
        <v>Barningham Moor</v>
      </c>
    </row>
    <row r="2516">
      <c r="A2516" s="3">
        <v>815.0</v>
      </c>
      <c r="B2516" s="3">
        <v>1.0</v>
      </c>
      <c r="C2516" s="3">
        <v>1.0</v>
      </c>
      <c r="D2516" t="str">
        <f>VLOOKUP(B2516,ERA_MOTIF_TYPES.csv!$A$1:$C$119,2,1)</f>
        <v>Cups Single</v>
      </c>
      <c r="E2516" t="str">
        <f>VLOOKUP(A2516,Panels!$A$1:$E$2104,5,0)</f>
        <v>Barningham Moor</v>
      </c>
    </row>
    <row r="2517">
      <c r="A2517" s="3">
        <v>816.0</v>
      </c>
      <c r="B2517" s="3">
        <v>1.0</v>
      </c>
      <c r="C2517" s="3">
        <v>1.0</v>
      </c>
      <c r="D2517" t="str">
        <f>VLOOKUP(B2517,ERA_MOTIF_TYPES.csv!$A$1:$C$119,2,1)</f>
        <v>Cups Single</v>
      </c>
      <c r="E2517" t="str">
        <f>VLOOKUP(A2517,Panels!$A$1:$E$2104,5,0)</f>
        <v>Barningham Moor</v>
      </c>
    </row>
    <row r="2518">
      <c r="A2518" s="3">
        <v>817.0</v>
      </c>
      <c r="B2518" s="3">
        <v>1.0</v>
      </c>
      <c r="C2518" s="3">
        <v>3.0</v>
      </c>
      <c r="D2518" t="str">
        <f>VLOOKUP(B2518,ERA_MOTIF_TYPES.csv!$A$1:$C$119,2,1)</f>
        <v>Cups Single</v>
      </c>
      <c r="E2518" t="str">
        <f>VLOOKUP(A2518,Panels!$A$1:$E$2104,5,0)</f>
        <v>Barningham Moor</v>
      </c>
    </row>
    <row r="2519">
      <c r="A2519" s="3">
        <v>817.0</v>
      </c>
      <c r="B2519" s="3">
        <v>31.0</v>
      </c>
      <c r="C2519" s="3">
        <v>1.0</v>
      </c>
      <c r="D2519" t="str">
        <f>VLOOKUP(B2519,ERA_MOTIF_TYPES.csv!$A$1:$C$119,2,1)</f>
        <v>Cup and Groove</v>
      </c>
      <c r="E2519" t="str">
        <f>VLOOKUP(A2519,Panels!$A$1:$E$2104,5,0)</f>
        <v>Barningham Moor</v>
      </c>
    </row>
    <row r="2520">
      <c r="A2520" s="3">
        <v>818.0</v>
      </c>
      <c r="B2520" s="3">
        <v>1.0</v>
      </c>
      <c r="C2520" s="3">
        <v>1.0</v>
      </c>
      <c r="D2520" t="str">
        <f>VLOOKUP(B2520,ERA_MOTIF_TYPES.csv!$A$1:$C$119,2,1)</f>
        <v>Cups Single</v>
      </c>
      <c r="E2520" t="str">
        <f>VLOOKUP(A2520,Panels!$A$1:$E$2104,5,0)</f>
        <v>Barningham Moor</v>
      </c>
    </row>
    <row r="2521">
      <c r="A2521" s="3">
        <v>819.0</v>
      </c>
      <c r="B2521" s="3">
        <v>1.0</v>
      </c>
      <c r="C2521" s="3">
        <v>8.0</v>
      </c>
      <c r="D2521" t="str">
        <f>VLOOKUP(B2521,ERA_MOTIF_TYPES.csv!$A$1:$C$119,2,1)</f>
        <v>Cups Single</v>
      </c>
      <c r="E2521" t="str">
        <f>VLOOKUP(A2521,Panels!$A$1:$E$2104,5,0)</f>
        <v>Barningham Moor</v>
      </c>
    </row>
    <row r="2522">
      <c r="A2522" s="3">
        <v>819.0</v>
      </c>
      <c r="B2522" s="3">
        <v>14.0</v>
      </c>
      <c r="C2522" s="3">
        <v>1.0</v>
      </c>
      <c r="D2522" t="str">
        <f>VLOOKUP(B2522,ERA_MOTIF_TYPES.csv!$A$1:$C$119,2,1)</f>
        <v>Multi Ring + cup</v>
      </c>
      <c r="E2522" t="str">
        <f>VLOOKUP(A2522,Panels!$A$1:$E$2104,5,0)</f>
        <v>Barningham Moor</v>
      </c>
    </row>
    <row r="2523">
      <c r="A2523" s="3">
        <v>819.0</v>
      </c>
      <c r="B2523" s="3">
        <v>31.0</v>
      </c>
      <c r="C2523" s="3">
        <v>4.0</v>
      </c>
      <c r="D2523" t="str">
        <f>VLOOKUP(B2523,ERA_MOTIF_TYPES.csv!$A$1:$C$119,2,1)</f>
        <v>Cup and Groove</v>
      </c>
      <c r="E2523" t="str">
        <f>VLOOKUP(A2523,Panels!$A$1:$E$2104,5,0)</f>
        <v>Barningham Moor</v>
      </c>
    </row>
    <row r="2524">
      <c r="A2524" s="3">
        <v>820.0</v>
      </c>
      <c r="B2524" s="3">
        <v>1.0</v>
      </c>
      <c r="C2524" s="3">
        <v>1.0</v>
      </c>
      <c r="D2524" t="str">
        <f>VLOOKUP(B2524,ERA_MOTIF_TYPES.csv!$A$1:$C$119,2,1)</f>
        <v>Cups Single</v>
      </c>
      <c r="E2524" t="str">
        <f>VLOOKUP(A2524,Panels!$A$1:$E$2104,5,0)</f>
        <v>Barningham Moor</v>
      </c>
    </row>
    <row r="2525">
      <c r="A2525" s="3">
        <v>821.0</v>
      </c>
      <c r="B2525" s="3">
        <v>2.0</v>
      </c>
      <c r="C2525" s="3">
        <v>2.0</v>
      </c>
      <c r="D2525" t="str">
        <f>VLOOKUP(B2525,ERA_MOTIF_TYPES.csv!$A$1:$C$119,2,1)</f>
        <v>Random Cluster</v>
      </c>
      <c r="E2525" t="str">
        <f>VLOOKUP(A2525,Panels!$A$1:$E$2104,5,0)</f>
        <v>Barningham Moor</v>
      </c>
    </row>
    <row r="2526">
      <c r="A2526" s="3">
        <v>822.0</v>
      </c>
      <c r="B2526" s="3">
        <v>1.0</v>
      </c>
      <c r="C2526" s="3">
        <v>2.0</v>
      </c>
      <c r="D2526" t="str">
        <f>VLOOKUP(B2526,ERA_MOTIF_TYPES.csv!$A$1:$C$119,2,1)</f>
        <v>Cups Single</v>
      </c>
      <c r="E2526" t="str">
        <f>VLOOKUP(A2526,Panels!$A$1:$E$2104,5,0)</f>
        <v>Barningham Moor</v>
      </c>
    </row>
    <row r="2527">
      <c r="A2527" s="3">
        <v>823.0</v>
      </c>
      <c r="B2527" s="3">
        <v>1.0</v>
      </c>
      <c r="C2527" s="3">
        <v>16.0</v>
      </c>
      <c r="D2527" t="str">
        <f>VLOOKUP(B2527,ERA_MOTIF_TYPES.csv!$A$1:$C$119,2,1)</f>
        <v>Cups Single</v>
      </c>
      <c r="E2527" t="str">
        <f>VLOOKUP(A2527,Panels!$A$1:$E$2104,5,0)</f>
        <v>Barningham Moor</v>
      </c>
    </row>
    <row r="2528">
      <c r="A2528" s="3">
        <v>823.0</v>
      </c>
      <c r="B2528" s="3">
        <v>31.0</v>
      </c>
      <c r="C2528" s="3">
        <v>3.0</v>
      </c>
      <c r="D2528" t="str">
        <f>VLOOKUP(B2528,ERA_MOTIF_TYPES.csv!$A$1:$C$119,2,1)</f>
        <v>Cup and Groove</v>
      </c>
      <c r="E2528" t="str">
        <f>VLOOKUP(A2528,Panels!$A$1:$E$2104,5,0)</f>
        <v>Barningham Moor</v>
      </c>
    </row>
    <row r="2529">
      <c r="A2529" s="3">
        <v>824.0</v>
      </c>
      <c r="B2529" s="3">
        <v>1.0</v>
      </c>
      <c r="C2529" s="3">
        <v>5.0</v>
      </c>
      <c r="D2529" t="str">
        <f>VLOOKUP(B2529,ERA_MOTIF_TYPES.csv!$A$1:$C$119,2,1)</f>
        <v>Cups Single</v>
      </c>
      <c r="E2529" t="str">
        <f>VLOOKUP(A2529,Panels!$A$1:$E$2104,5,0)</f>
        <v>Barningham Moor</v>
      </c>
    </row>
    <row r="2530">
      <c r="A2530" s="3">
        <v>825.0</v>
      </c>
      <c r="B2530" s="3">
        <v>1.0</v>
      </c>
      <c r="C2530" s="3">
        <v>1.0</v>
      </c>
      <c r="D2530" t="str">
        <f>VLOOKUP(B2530,ERA_MOTIF_TYPES.csv!$A$1:$C$119,2,1)</f>
        <v>Cups Single</v>
      </c>
      <c r="E2530" t="str">
        <f>VLOOKUP(A2530,Panels!$A$1:$E$2104,5,0)</f>
        <v>Barningham Moor</v>
      </c>
    </row>
    <row r="2531">
      <c r="A2531" s="3">
        <v>825.0</v>
      </c>
      <c r="B2531" s="3">
        <v>51.0</v>
      </c>
      <c r="C2531" s="3">
        <v>2.0</v>
      </c>
      <c r="D2531" t="str">
        <f>VLOOKUP(B2531,ERA_MOTIF_TYPES.csv!$A$1:$C$119,2,1)</f>
        <v>Bowls</v>
      </c>
      <c r="E2531" t="str">
        <f>VLOOKUP(A2531,Panels!$A$1:$E$2104,5,0)</f>
        <v>Barningham Moor</v>
      </c>
    </row>
    <row r="2532">
      <c r="A2532" s="3">
        <v>826.0</v>
      </c>
      <c r="B2532" s="3">
        <v>1.0</v>
      </c>
      <c r="C2532" s="3">
        <v>3.0</v>
      </c>
      <c r="D2532" t="str">
        <f>VLOOKUP(B2532,ERA_MOTIF_TYPES.csv!$A$1:$C$119,2,1)</f>
        <v>Cups Single</v>
      </c>
      <c r="E2532" t="str">
        <f>VLOOKUP(A2532,Panels!$A$1:$E$2104,5,0)</f>
        <v>Barningham Moor</v>
      </c>
    </row>
    <row r="2533">
      <c r="A2533" s="3">
        <v>827.0</v>
      </c>
      <c r="B2533" s="3">
        <v>25.0</v>
      </c>
      <c r="C2533" s="3">
        <v>1.0</v>
      </c>
      <c r="D2533" t="str">
        <f>VLOOKUP(B2533,ERA_MOTIF_TYPES.csv!$A$1:$C$119,2,1)</f>
        <v>Linear</v>
      </c>
      <c r="E2533" t="str">
        <f>VLOOKUP(A2533,Panels!$A$1:$E$2104,5,0)</f>
        <v>Barningham Moor</v>
      </c>
    </row>
    <row r="2534">
      <c r="A2534" s="3">
        <v>828.0</v>
      </c>
      <c r="B2534" s="3">
        <v>1.0</v>
      </c>
      <c r="C2534" s="3">
        <v>3.0</v>
      </c>
      <c r="D2534" t="str">
        <f>VLOOKUP(B2534,ERA_MOTIF_TYPES.csv!$A$1:$C$119,2,1)</f>
        <v>Cups Single</v>
      </c>
      <c r="E2534" t="str">
        <f>VLOOKUP(A2534,Panels!$A$1:$E$2104,5,0)</f>
        <v>Barningham Moor</v>
      </c>
    </row>
    <row r="2535">
      <c r="A2535" s="3">
        <v>829.0</v>
      </c>
      <c r="B2535" s="3">
        <v>1.0</v>
      </c>
      <c r="C2535" s="3">
        <v>3.0</v>
      </c>
      <c r="D2535" t="str">
        <f>VLOOKUP(B2535,ERA_MOTIF_TYPES.csv!$A$1:$C$119,2,1)</f>
        <v>Cups Single</v>
      </c>
      <c r="E2535" t="str">
        <f>VLOOKUP(A2535,Panels!$A$1:$E$2104,5,0)</f>
        <v>Barningham Moor</v>
      </c>
    </row>
    <row r="2536">
      <c r="A2536" s="3">
        <v>830.0</v>
      </c>
      <c r="B2536" s="3">
        <v>1.0</v>
      </c>
      <c r="C2536" s="3">
        <v>11.0</v>
      </c>
      <c r="D2536" t="str">
        <f>VLOOKUP(B2536,ERA_MOTIF_TYPES.csv!$A$1:$C$119,2,1)</f>
        <v>Cups Single</v>
      </c>
      <c r="E2536" t="str">
        <f>VLOOKUP(A2536,Panels!$A$1:$E$2104,5,0)</f>
        <v>Barningham Moor</v>
      </c>
    </row>
    <row r="2537">
      <c r="A2537" s="3">
        <v>831.0</v>
      </c>
      <c r="B2537" s="3">
        <v>13.0</v>
      </c>
      <c r="C2537" s="3">
        <v>1.0</v>
      </c>
      <c r="D2537" t="str">
        <f>VLOOKUP(B2537,ERA_MOTIF_TYPES.csv!$A$1:$C$119,2,1)</f>
        <v>Single Ring + cup</v>
      </c>
      <c r="E2537" t="str">
        <f>VLOOKUP(A2537,Panels!$A$1:$E$2104,5,0)</f>
        <v>Barningham Moor</v>
      </c>
    </row>
    <row r="2538">
      <c r="A2538" s="3">
        <v>832.0</v>
      </c>
      <c r="B2538" s="3">
        <v>1.0</v>
      </c>
      <c r="C2538" s="3">
        <v>19.0</v>
      </c>
      <c r="D2538" t="str">
        <f>VLOOKUP(B2538,ERA_MOTIF_TYPES.csv!$A$1:$C$119,2,1)</f>
        <v>Cups Single</v>
      </c>
      <c r="E2538" t="str">
        <f>VLOOKUP(A2538,Panels!$A$1:$E$2104,5,0)</f>
        <v>Barningham Moor</v>
      </c>
    </row>
    <row r="2539">
      <c r="A2539" s="3">
        <v>833.0</v>
      </c>
      <c r="B2539" s="3">
        <v>1.0</v>
      </c>
      <c r="C2539" s="3">
        <v>6.0</v>
      </c>
      <c r="D2539" t="str">
        <f>VLOOKUP(B2539,ERA_MOTIF_TYPES.csv!$A$1:$C$119,2,1)</f>
        <v>Cups Single</v>
      </c>
      <c r="E2539" t="str">
        <f>VLOOKUP(A2539,Panels!$A$1:$E$2104,5,0)</f>
        <v>Barningham Moor</v>
      </c>
    </row>
    <row r="2540">
      <c r="A2540" s="3">
        <v>834.0</v>
      </c>
      <c r="B2540" s="3">
        <v>1.0</v>
      </c>
      <c r="C2540" s="3">
        <v>5.0</v>
      </c>
      <c r="D2540" t="str">
        <f>VLOOKUP(B2540,ERA_MOTIF_TYPES.csv!$A$1:$C$119,2,1)</f>
        <v>Cups Single</v>
      </c>
      <c r="E2540" t="str">
        <f>VLOOKUP(A2540,Panels!$A$1:$E$2104,5,0)</f>
        <v>Barningham Moor</v>
      </c>
    </row>
    <row r="2541">
      <c r="A2541" s="3">
        <v>835.0</v>
      </c>
      <c r="B2541" s="3">
        <v>1.0</v>
      </c>
      <c r="C2541" s="3">
        <v>18.0</v>
      </c>
      <c r="D2541" t="str">
        <f>VLOOKUP(B2541,ERA_MOTIF_TYPES.csv!$A$1:$C$119,2,1)</f>
        <v>Cups Single</v>
      </c>
      <c r="E2541" t="str">
        <f>VLOOKUP(A2541,Panels!$A$1:$E$2104,5,0)</f>
        <v>Barningham Moor</v>
      </c>
    </row>
    <row r="2542">
      <c r="A2542" s="3">
        <v>835.0</v>
      </c>
      <c r="B2542" s="3">
        <v>25.0</v>
      </c>
      <c r="C2542" s="3">
        <v>1.0</v>
      </c>
      <c r="D2542" t="str">
        <f>VLOOKUP(B2542,ERA_MOTIF_TYPES.csv!$A$1:$C$119,2,1)</f>
        <v>Linear</v>
      </c>
      <c r="E2542" t="str">
        <f>VLOOKUP(A2542,Panels!$A$1:$E$2104,5,0)</f>
        <v>Barningham Moor</v>
      </c>
    </row>
    <row r="2543">
      <c r="A2543" s="3">
        <v>835.0</v>
      </c>
      <c r="B2543" s="3">
        <v>31.0</v>
      </c>
      <c r="C2543" s="3">
        <v>1.0</v>
      </c>
      <c r="D2543" t="str">
        <f>VLOOKUP(B2543,ERA_MOTIF_TYPES.csv!$A$1:$C$119,2,1)</f>
        <v>Cup and Groove</v>
      </c>
      <c r="E2543" t="str">
        <f>VLOOKUP(A2543,Panels!$A$1:$E$2104,5,0)</f>
        <v>Barningham Moor</v>
      </c>
    </row>
    <row r="2544">
      <c r="A2544" s="3">
        <v>836.0</v>
      </c>
      <c r="B2544" s="3">
        <v>1.0</v>
      </c>
      <c r="C2544" s="3">
        <v>10.0</v>
      </c>
      <c r="D2544" t="str">
        <f>VLOOKUP(B2544,ERA_MOTIF_TYPES.csv!$A$1:$C$119,2,1)</f>
        <v>Cups Single</v>
      </c>
      <c r="E2544" t="str">
        <f>VLOOKUP(A2544,Panels!$A$1:$E$2104,5,0)</f>
        <v>Barningham Moor</v>
      </c>
    </row>
    <row r="2545">
      <c r="A2545" s="3">
        <v>836.0</v>
      </c>
      <c r="B2545" s="3">
        <v>25.0</v>
      </c>
      <c r="C2545" s="3">
        <v>6.0</v>
      </c>
      <c r="D2545" t="str">
        <f>VLOOKUP(B2545,ERA_MOTIF_TYPES.csv!$A$1:$C$119,2,1)</f>
        <v>Linear</v>
      </c>
      <c r="E2545" t="str">
        <f>VLOOKUP(A2545,Panels!$A$1:$E$2104,5,0)</f>
        <v>Barningham Moor</v>
      </c>
    </row>
    <row r="2546">
      <c r="A2546" s="3">
        <v>836.0</v>
      </c>
      <c r="B2546" s="3">
        <v>31.0</v>
      </c>
      <c r="C2546" s="3">
        <v>1.0</v>
      </c>
      <c r="D2546" t="str">
        <f>VLOOKUP(B2546,ERA_MOTIF_TYPES.csv!$A$1:$C$119,2,1)</f>
        <v>Cup and Groove</v>
      </c>
      <c r="E2546" t="str">
        <f>VLOOKUP(A2546,Panels!$A$1:$E$2104,5,0)</f>
        <v>Barningham Moor</v>
      </c>
    </row>
    <row r="2547">
      <c r="A2547" s="3">
        <v>837.0</v>
      </c>
      <c r="B2547" s="3">
        <v>1.0</v>
      </c>
      <c r="C2547" s="3">
        <v>5.0</v>
      </c>
      <c r="D2547" t="str">
        <f>VLOOKUP(B2547,ERA_MOTIF_TYPES.csv!$A$1:$C$119,2,1)</f>
        <v>Cups Single</v>
      </c>
      <c r="E2547" t="str">
        <f>VLOOKUP(A2547,Panels!$A$1:$E$2104,5,0)</f>
        <v>Barningham Moor</v>
      </c>
    </row>
    <row r="2548">
      <c r="A2548" s="3">
        <v>837.0</v>
      </c>
      <c r="B2548" s="3">
        <v>31.0</v>
      </c>
      <c r="C2548" s="3">
        <v>1.0</v>
      </c>
      <c r="D2548" t="str">
        <f>VLOOKUP(B2548,ERA_MOTIF_TYPES.csv!$A$1:$C$119,2,1)</f>
        <v>Cup and Groove</v>
      </c>
      <c r="E2548" t="str">
        <f>VLOOKUP(A2548,Panels!$A$1:$E$2104,5,0)</f>
        <v>Barningham Moor</v>
      </c>
    </row>
    <row r="2549">
      <c r="A2549" s="3">
        <v>837.0</v>
      </c>
      <c r="B2549" s="3">
        <v>51.0</v>
      </c>
      <c r="C2549" s="3">
        <v>1.0</v>
      </c>
      <c r="D2549" t="str">
        <f>VLOOKUP(B2549,ERA_MOTIF_TYPES.csv!$A$1:$C$119,2,1)</f>
        <v>Bowls</v>
      </c>
      <c r="E2549" t="str">
        <f>VLOOKUP(A2549,Panels!$A$1:$E$2104,5,0)</f>
        <v>Barningham Moor</v>
      </c>
    </row>
    <row r="2550">
      <c r="A2550" s="3">
        <v>838.0</v>
      </c>
      <c r="B2550" s="3">
        <v>1.0</v>
      </c>
      <c r="C2550" s="3">
        <v>4.0</v>
      </c>
      <c r="D2550" t="str">
        <f>VLOOKUP(B2550,ERA_MOTIF_TYPES.csv!$A$1:$C$119,2,1)</f>
        <v>Cups Single</v>
      </c>
      <c r="E2550" t="str">
        <f>VLOOKUP(A2550,Panels!$A$1:$E$2104,5,0)</f>
        <v>Barningham Moor</v>
      </c>
    </row>
    <row r="2551">
      <c r="A2551" s="3">
        <v>840.0</v>
      </c>
      <c r="B2551" s="3">
        <v>1.0</v>
      </c>
      <c r="C2551" s="3">
        <v>14.0</v>
      </c>
      <c r="D2551" t="str">
        <f>VLOOKUP(B2551,ERA_MOTIF_TYPES.csv!$A$1:$C$119,2,1)</f>
        <v>Cups Single</v>
      </c>
      <c r="E2551" t="str">
        <f>VLOOKUP(A2551,Panels!$A$1:$E$2104,5,0)</f>
        <v>Barningham Moor</v>
      </c>
    </row>
    <row r="2552">
      <c r="A2552" s="3">
        <v>841.0</v>
      </c>
      <c r="B2552" s="3">
        <v>1.0</v>
      </c>
      <c r="C2552" s="3">
        <v>9.0</v>
      </c>
      <c r="D2552" t="str">
        <f>VLOOKUP(B2552,ERA_MOTIF_TYPES.csv!$A$1:$C$119,2,1)</f>
        <v>Cups Single</v>
      </c>
      <c r="E2552" t="str">
        <f>VLOOKUP(A2552,Panels!$A$1:$E$2104,5,0)</f>
        <v>Barningham Moor</v>
      </c>
    </row>
    <row r="2553">
      <c r="A2553" s="3">
        <v>842.0</v>
      </c>
      <c r="B2553" s="3">
        <v>1.0</v>
      </c>
      <c r="C2553" s="3">
        <v>10.0</v>
      </c>
      <c r="D2553" t="str">
        <f>VLOOKUP(B2553,ERA_MOTIF_TYPES.csv!$A$1:$C$119,2,1)</f>
        <v>Cups Single</v>
      </c>
      <c r="E2553" t="str">
        <f>VLOOKUP(A2553,Panels!$A$1:$E$2104,5,0)</f>
        <v>Barningham Moor</v>
      </c>
    </row>
    <row r="2554">
      <c r="A2554" s="3">
        <v>843.0</v>
      </c>
      <c r="B2554" s="3">
        <v>1.0</v>
      </c>
      <c r="C2554" s="3">
        <v>5.0</v>
      </c>
      <c r="D2554" t="str">
        <f>VLOOKUP(B2554,ERA_MOTIF_TYPES.csv!$A$1:$C$119,2,1)</f>
        <v>Cups Single</v>
      </c>
      <c r="E2554" t="str">
        <f>VLOOKUP(A2554,Panels!$A$1:$E$2104,5,0)</f>
        <v>Barningham Moor</v>
      </c>
    </row>
    <row r="2555">
      <c r="A2555" s="3">
        <v>844.0</v>
      </c>
      <c r="B2555" s="3">
        <v>1.0</v>
      </c>
      <c r="C2555" s="3">
        <v>4.0</v>
      </c>
      <c r="D2555" t="str">
        <f>VLOOKUP(B2555,ERA_MOTIF_TYPES.csv!$A$1:$C$119,2,1)</f>
        <v>Cups Single</v>
      </c>
      <c r="E2555" t="str">
        <f>VLOOKUP(A2555,Panels!$A$1:$E$2104,5,0)</f>
        <v>Barningham Moor</v>
      </c>
    </row>
    <row r="2556">
      <c r="A2556" s="3">
        <v>844.0</v>
      </c>
      <c r="B2556" s="3">
        <v>25.0</v>
      </c>
      <c r="C2556" s="3">
        <v>1.0</v>
      </c>
      <c r="D2556" t="str">
        <f>VLOOKUP(B2556,ERA_MOTIF_TYPES.csv!$A$1:$C$119,2,1)</f>
        <v>Linear</v>
      </c>
      <c r="E2556" t="str">
        <f>VLOOKUP(A2556,Panels!$A$1:$E$2104,5,0)</f>
        <v>Barningham Moor</v>
      </c>
    </row>
    <row r="2557">
      <c r="A2557" s="3">
        <v>845.0</v>
      </c>
      <c r="B2557" s="3">
        <v>1.0</v>
      </c>
      <c r="C2557" s="3">
        <v>2.0</v>
      </c>
      <c r="D2557" t="str">
        <f>VLOOKUP(B2557,ERA_MOTIF_TYPES.csv!$A$1:$C$119,2,1)</f>
        <v>Cups Single</v>
      </c>
      <c r="E2557" t="str">
        <f>VLOOKUP(A2557,Panels!$A$1:$E$2104,5,0)</f>
        <v>Barningham Moor</v>
      </c>
    </row>
    <row r="2558">
      <c r="A2558" s="3">
        <v>846.0</v>
      </c>
      <c r="B2558" s="3">
        <v>1.0</v>
      </c>
      <c r="C2558" s="3">
        <v>6.0</v>
      </c>
      <c r="D2558" t="str">
        <f>VLOOKUP(B2558,ERA_MOTIF_TYPES.csv!$A$1:$C$119,2,1)</f>
        <v>Cups Single</v>
      </c>
      <c r="E2558" t="str">
        <f>VLOOKUP(A2558,Panels!$A$1:$E$2104,5,0)</f>
        <v>Barningham Moor</v>
      </c>
    </row>
    <row r="2559">
      <c r="A2559" s="3">
        <v>847.0</v>
      </c>
      <c r="B2559" s="3">
        <v>1.0</v>
      </c>
      <c r="C2559" s="3">
        <v>7.0</v>
      </c>
      <c r="D2559" t="str">
        <f>VLOOKUP(B2559,ERA_MOTIF_TYPES.csv!$A$1:$C$119,2,1)</f>
        <v>Cups Single</v>
      </c>
      <c r="E2559" t="str">
        <f>VLOOKUP(A2559,Panels!$A$1:$E$2104,5,0)</f>
        <v>Barningham Moor</v>
      </c>
    </row>
    <row r="2560">
      <c r="A2560" s="3">
        <v>848.0</v>
      </c>
      <c r="B2560" s="3">
        <v>1.0</v>
      </c>
      <c r="C2560" s="3">
        <v>4.0</v>
      </c>
      <c r="D2560" t="str">
        <f>VLOOKUP(B2560,ERA_MOTIF_TYPES.csv!$A$1:$C$119,2,1)</f>
        <v>Cups Single</v>
      </c>
      <c r="E2560" t="str">
        <f>VLOOKUP(A2560,Panels!$A$1:$E$2104,5,0)</f>
        <v>Barningham Moor</v>
      </c>
    </row>
    <row r="2561">
      <c r="A2561" s="3">
        <v>849.0</v>
      </c>
      <c r="B2561" s="3">
        <v>1.0</v>
      </c>
      <c r="C2561" s="3">
        <v>30.0</v>
      </c>
      <c r="D2561" t="str">
        <f>VLOOKUP(B2561,ERA_MOTIF_TYPES.csv!$A$1:$C$119,2,1)</f>
        <v>Cups Single</v>
      </c>
      <c r="E2561" t="str">
        <f>VLOOKUP(A2561,Panels!$A$1:$E$2104,5,0)</f>
        <v>Barningham Moor</v>
      </c>
    </row>
    <row r="2562">
      <c r="A2562" s="3">
        <v>850.0</v>
      </c>
      <c r="B2562" s="3">
        <v>1.0</v>
      </c>
      <c r="C2562" s="3">
        <v>2.0</v>
      </c>
      <c r="D2562" t="str">
        <f>VLOOKUP(B2562,ERA_MOTIF_TYPES.csv!$A$1:$C$119,2,1)</f>
        <v>Cups Single</v>
      </c>
      <c r="E2562" t="str">
        <f>VLOOKUP(A2562,Panels!$A$1:$E$2104,5,0)</f>
        <v>Barningham Moor</v>
      </c>
    </row>
    <row r="2563">
      <c r="A2563" s="3">
        <v>850.0</v>
      </c>
      <c r="B2563" s="3">
        <v>25.0</v>
      </c>
      <c r="C2563" s="3">
        <v>1.0</v>
      </c>
      <c r="D2563" t="str">
        <f>VLOOKUP(B2563,ERA_MOTIF_TYPES.csv!$A$1:$C$119,2,1)</f>
        <v>Linear</v>
      </c>
      <c r="E2563" t="str">
        <f>VLOOKUP(A2563,Panels!$A$1:$E$2104,5,0)</f>
        <v>Barningham Moor</v>
      </c>
    </row>
    <row r="2564">
      <c r="A2564" s="3">
        <v>851.0</v>
      </c>
      <c r="B2564" s="3">
        <v>1.0</v>
      </c>
      <c r="C2564" s="3">
        <v>6.0</v>
      </c>
      <c r="D2564" t="str">
        <f>VLOOKUP(B2564,ERA_MOTIF_TYPES.csv!$A$1:$C$119,2,1)</f>
        <v>Cups Single</v>
      </c>
      <c r="E2564" t="str">
        <f>VLOOKUP(A2564,Panels!$A$1:$E$2104,5,0)</f>
        <v>Barningham Moor</v>
      </c>
    </row>
    <row r="2565">
      <c r="A2565" s="3">
        <v>851.0</v>
      </c>
      <c r="B2565" s="3">
        <v>13.0</v>
      </c>
      <c r="C2565" s="3">
        <v>2.0</v>
      </c>
      <c r="D2565" t="str">
        <f>VLOOKUP(B2565,ERA_MOTIF_TYPES.csv!$A$1:$C$119,2,1)</f>
        <v>Single Ring + cup</v>
      </c>
      <c r="E2565" t="str">
        <f>VLOOKUP(A2565,Panels!$A$1:$E$2104,5,0)</f>
        <v>Barningham Moor</v>
      </c>
    </row>
    <row r="2566">
      <c r="A2566" s="3">
        <v>851.0</v>
      </c>
      <c r="B2566" s="3">
        <v>32.0</v>
      </c>
      <c r="C2566" s="3">
        <v>2.0</v>
      </c>
      <c r="D2566" t="str">
        <f>VLOOKUP(B2566,ERA_MOTIF_TYPES.csv!$A$1:$C$119,2,1)</f>
        <v>Cup Groove and single ring</v>
      </c>
      <c r="E2566" t="str">
        <f>VLOOKUP(A2566,Panels!$A$1:$E$2104,5,0)</f>
        <v>Barningham Moor</v>
      </c>
    </row>
    <row r="2567">
      <c r="A2567" s="3">
        <v>851.0</v>
      </c>
      <c r="B2567" s="3">
        <v>33.0</v>
      </c>
      <c r="C2567" s="3">
        <v>1.0</v>
      </c>
      <c r="D2567" t="str">
        <f>VLOOKUP(B2567,ERA_MOTIF_TYPES.csv!$A$1:$C$119,2,1)</f>
        <v>Cup Groove and multi ring</v>
      </c>
      <c r="E2567" t="str">
        <f>VLOOKUP(A2567,Panels!$A$1:$E$2104,5,0)</f>
        <v>Barningham Moor</v>
      </c>
    </row>
    <row r="2568">
      <c r="A2568" s="3">
        <v>851.0</v>
      </c>
      <c r="B2568" s="3">
        <v>36.0</v>
      </c>
      <c r="C2568" s="3">
        <v>1.0</v>
      </c>
      <c r="D2568" t="str">
        <f>VLOOKUP(B2568,ERA_MOTIF_TYPES.csv!$A$1:$C$119,2,1)</f>
        <v>Cup Groove and arc</v>
      </c>
      <c r="E2568" t="str">
        <f>VLOOKUP(A2568,Panels!$A$1:$E$2104,5,0)</f>
        <v>Barningham Moor</v>
      </c>
    </row>
    <row r="2569">
      <c r="A2569" s="3">
        <v>852.0</v>
      </c>
      <c r="B2569" s="3">
        <v>1.0</v>
      </c>
      <c r="C2569" s="3">
        <v>1.0</v>
      </c>
      <c r="D2569" t="str">
        <f>VLOOKUP(B2569,ERA_MOTIF_TYPES.csv!$A$1:$C$119,2,1)</f>
        <v>Cups Single</v>
      </c>
      <c r="E2569" t="str">
        <f>VLOOKUP(A2569,Panels!$A$1:$E$2104,5,0)</f>
        <v>Barningham Moor</v>
      </c>
    </row>
    <row r="2570">
      <c r="A2570" s="3">
        <v>853.0</v>
      </c>
      <c r="B2570" s="3">
        <v>1.0</v>
      </c>
      <c r="C2570" s="3">
        <v>4.0</v>
      </c>
      <c r="D2570" t="str">
        <f>VLOOKUP(B2570,ERA_MOTIF_TYPES.csv!$A$1:$C$119,2,1)</f>
        <v>Cups Single</v>
      </c>
      <c r="E2570" t="str">
        <f>VLOOKUP(A2570,Panels!$A$1:$E$2104,5,0)</f>
        <v>Barningham Moor</v>
      </c>
    </row>
    <row r="2571">
      <c r="A2571" s="3">
        <v>853.0</v>
      </c>
      <c r="B2571" s="3">
        <v>25.0</v>
      </c>
      <c r="C2571" s="3">
        <v>1.0</v>
      </c>
      <c r="D2571" t="str">
        <f>VLOOKUP(B2571,ERA_MOTIF_TYPES.csv!$A$1:$C$119,2,1)</f>
        <v>Linear</v>
      </c>
      <c r="E2571" t="str">
        <f>VLOOKUP(A2571,Panels!$A$1:$E$2104,5,0)</f>
        <v>Barningham Moor</v>
      </c>
    </row>
    <row r="2572">
      <c r="A2572" s="3">
        <v>854.0</v>
      </c>
      <c r="B2572" s="3">
        <v>2.0</v>
      </c>
      <c r="C2572" s="3">
        <v>1.0</v>
      </c>
      <c r="D2572" t="str">
        <f>VLOOKUP(B2572,ERA_MOTIF_TYPES.csv!$A$1:$C$119,2,1)</f>
        <v>Random Cluster</v>
      </c>
      <c r="E2572" t="str">
        <f>VLOOKUP(A2572,Panels!$A$1:$E$2104,5,0)</f>
        <v>Barningham Moor</v>
      </c>
    </row>
    <row r="2573">
      <c r="A2573" s="3">
        <v>855.0</v>
      </c>
      <c r="B2573" s="3">
        <v>1.0</v>
      </c>
      <c r="C2573" s="3">
        <v>5.0</v>
      </c>
      <c r="D2573" t="str">
        <f>VLOOKUP(B2573,ERA_MOTIF_TYPES.csv!$A$1:$C$119,2,1)</f>
        <v>Cups Single</v>
      </c>
      <c r="E2573" t="str">
        <f>VLOOKUP(A2573,Panels!$A$1:$E$2104,5,0)</f>
        <v>Barningham Moor</v>
      </c>
    </row>
    <row r="2574">
      <c r="A2574" s="3">
        <v>856.0</v>
      </c>
      <c r="B2574" s="3">
        <v>1.0</v>
      </c>
      <c r="C2574" s="3">
        <v>1.0</v>
      </c>
      <c r="D2574" t="str">
        <f>VLOOKUP(B2574,ERA_MOTIF_TYPES.csv!$A$1:$C$119,2,1)</f>
        <v>Cups Single</v>
      </c>
      <c r="E2574" t="str">
        <f>VLOOKUP(A2574,Panels!$A$1:$E$2104,5,0)</f>
        <v>Barningham Moor</v>
      </c>
    </row>
    <row r="2575">
      <c r="A2575" s="3">
        <v>856.0</v>
      </c>
      <c r="B2575" s="3">
        <v>13.0</v>
      </c>
      <c r="C2575" s="3">
        <v>3.0</v>
      </c>
      <c r="D2575" t="str">
        <f>VLOOKUP(B2575,ERA_MOTIF_TYPES.csv!$A$1:$C$119,2,1)</f>
        <v>Single Ring + cup</v>
      </c>
      <c r="E2575" t="str">
        <f>VLOOKUP(A2575,Panels!$A$1:$E$2104,5,0)</f>
        <v>Barningham Moor</v>
      </c>
    </row>
    <row r="2576">
      <c r="A2576" s="3">
        <v>856.0</v>
      </c>
      <c r="B2576" s="3">
        <v>14.0</v>
      </c>
      <c r="C2576" s="3">
        <v>1.0</v>
      </c>
      <c r="D2576" t="str">
        <f>VLOOKUP(B2576,ERA_MOTIF_TYPES.csv!$A$1:$C$119,2,1)</f>
        <v>Multi Ring + cup</v>
      </c>
      <c r="E2576" t="str">
        <f>VLOOKUP(A2576,Panels!$A$1:$E$2104,5,0)</f>
        <v>Barningham Moor</v>
      </c>
    </row>
    <row r="2577">
      <c r="A2577" s="3">
        <v>856.0</v>
      </c>
      <c r="B2577" s="3">
        <v>25.0</v>
      </c>
      <c r="C2577" s="3">
        <v>1.0</v>
      </c>
      <c r="D2577" t="str">
        <f>VLOOKUP(B2577,ERA_MOTIF_TYPES.csv!$A$1:$C$119,2,1)</f>
        <v>Linear</v>
      </c>
      <c r="E2577" t="str">
        <f>VLOOKUP(A2577,Panels!$A$1:$E$2104,5,0)</f>
        <v>Barningham Moor</v>
      </c>
    </row>
    <row r="2578">
      <c r="A2578" s="3">
        <v>856.0</v>
      </c>
      <c r="B2578" s="3">
        <v>51.0</v>
      </c>
      <c r="C2578" s="3">
        <v>1.0</v>
      </c>
      <c r="D2578" t="str">
        <f>VLOOKUP(B2578,ERA_MOTIF_TYPES.csv!$A$1:$C$119,2,1)</f>
        <v>Bowls</v>
      </c>
      <c r="E2578" t="str">
        <f>VLOOKUP(A2578,Panels!$A$1:$E$2104,5,0)</f>
        <v>Barningham Moor</v>
      </c>
    </row>
    <row r="2579">
      <c r="A2579" s="3">
        <v>857.0</v>
      </c>
      <c r="B2579" s="3">
        <v>14.0</v>
      </c>
      <c r="C2579" s="3">
        <v>1.0</v>
      </c>
      <c r="D2579" t="str">
        <f>VLOOKUP(B2579,ERA_MOTIF_TYPES.csv!$A$1:$C$119,2,1)</f>
        <v>Multi Ring + cup</v>
      </c>
      <c r="E2579" t="str">
        <f>VLOOKUP(A2579,Panels!$A$1:$E$2104,5,0)</f>
        <v>Barningham Moor</v>
      </c>
    </row>
    <row r="2580">
      <c r="A2580" s="3">
        <v>858.0</v>
      </c>
      <c r="B2580" s="3">
        <v>3.0</v>
      </c>
      <c r="C2580" s="3">
        <v>1.0</v>
      </c>
      <c r="D2580" t="str">
        <f>VLOOKUP(B2580,ERA_MOTIF_TYPES.csv!$A$1:$C$119,2,1)</f>
        <v>Parallel Domino</v>
      </c>
      <c r="E2580" t="str">
        <f>VLOOKUP(A2580,Panels!$A$1:$E$2104,5,0)</f>
        <v>Barningham Moor</v>
      </c>
    </row>
    <row r="2581">
      <c r="A2581" s="3">
        <v>859.0</v>
      </c>
      <c r="B2581" s="3">
        <v>2.0</v>
      </c>
      <c r="C2581" s="3">
        <v>1.0</v>
      </c>
      <c r="D2581" t="str">
        <f>VLOOKUP(B2581,ERA_MOTIF_TYPES.csv!$A$1:$C$119,2,1)</f>
        <v>Random Cluster</v>
      </c>
      <c r="E2581" t="str">
        <f>VLOOKUP(A2581,Panels!$A$1:$E$2104,5,0)</f>
        <v>Barningham Moor</v>
      </c>
    </row>
    <row r="2582">
      <c r="A2582" s="3">
        <v>859.0</v>
      </c>
      <c r="B2582" s="3">
        <v>16.0</v>
      </c>
      <c r="C2582" s="3">
        <v>1.0</v>
      </c>
      <c r="D2582" t="str">
        <f>VLOOKUP(B2582,ERA_MOTIF_TYPES.csv!$A$1:$C$119,2,1)</f>
        <v>Single Arc + cup</v>
      </c>
      <c r="E2582" t="str">
        <f>VLOOKUP(A2582,Panels!$A$1:$E$2104,5,0)</f>
        <v>Barningham Moor</v>
      </c>
    </row>
    <row r="2583">
      <c r="A2583" s="3">
        <v>859.0</v>
      </c>
      <c r="B2583" s="3">
        <v>25.0</v>
      </c>
      <c r="C2583" s="3">
        <v>1.0</v>
      </c>
      <c r="D2583" t="str">
        <f>VLOOKUP(B2583,ERA_MOTIF_TYPES.csv!$A$1:$C$119,2,1)</f>
        <v>Linear</v>
      </c>
      <c r="E2583" t="str">
        <f>VLOOKUP(A2583,Panels!$A$1:$E$2104,5,0)</f>
        <v>Barningham Moor</v>
      </c>
    </row>
    <row r="2584">
      <c r="A2584" s="3">
        <v>863.0</v>
      </c>
      <c r="B2584" s="3">
        <v>2.0</v>
      </c>
      <c r="C2584" s="3">
        <v>1.0</v>
      </c>
      <c r="D2584" t="str">
        <f>VLOOKUP(B2584,ERA_MOTIF_TYPES.csv!$A$1:$C$119,2,1)</f>
        <v>Random Cluster</v>
      </c>
      <c r="E2584" t="str">
        <f>VLOOKUP(A2584,Panels!$A$1:$E$2104,5,0)</f>
        <v>Barningham Moor</v>
      </c>
    </row>
    <row r="2585">
      <c r="A2585" s="3">
        <v>864.0</v>
      </c>
      <c r="B2585" s="3">
        <v>1.0</v>
      </c>
      <c r="C2585" s="3">
        <v>14.0</v>
      </c>
      <c r="D2585" t="str">
        <f>VLOOKUP(B2585,ERA_MOTIF_TYPES.csv!$A$1:$C$119,2,1)</f>
        <v>Cups Single</v>
      </c>
      <c r="E2585" t="str">
        <f>VLOOKUP(A2585,Panels!$A$1:$E$2104,5,0)</f>
        <v>Barningham Moor</v>
      </c>
    </row>
    <row r="2586">
      <c r="A2586" s="3">
        <v>865.0</v>
      </c>
      <c r="B2586" s="3">
        <v>2.0</v>
      </c>
      <c r="C2586" s="3">
        <v>1.0</v>
      </c>
      <c r="D2586" t="str">
        <f>VLOOKUP(B2586,ERA_MOTIF_TYPES.csv!$A$1:$C$119,2,1)</f>
        <v>Random Cluster</v>
      </c>
      <c r="E2586" t="str">
        <f>VLOOKUP(A2586,Panels!$A$1:$E$2104,5,0)</f>
        <v>Barningham Moor</v>
      </c>
    </row>
    <row r="2587">
      <c r="A2587" s="3">
        <v>866.0</v>
      </c>
      <c r="B2587" s="3">
        <v>1.0</v>
      </c>
      <c r="C2587" s="3">
        <v>5.0</v>
      </c>
      <c r="D2587" t="str">
        <f>VLOOKUP(B2587,ERA_MOTIF_TYPES.csv!$A$1:$C$119,2,1)</f>
        <v>Cups Single</v>
      </c>
      <c r="E2587" t="str">
        <f>VLOOKUP(A2587,Panels!$A$1:$E$2104,5,0)</f>
        <v>Barningham Moor</v>
      </c>
    </row>
    <row r="2588">
      <c r="A2588" s="3">
        <v>866.0</v>
      </c>
      <c r="B2588" s="3">
        <v>2.0</v>
      </c>
      <c r="C2588" s="3">
        <v>1.0</v>
      </c>
      <c r="D2588" t="str">
        <f>VLOOKUP(B2588,ERA_MOTIF_TYPES.csv!$A$1:$C$119,2,1)</f>
        <v>Random Cluster</v>
      </c>
      <c r="E2588" t="str">
        <f>VLOOKUP(A2588,Panels!$A$1:$E$2104,5,0)</f>
        <v>Barningham Moor</v>
      </c>
    </row>
    <row r="2589">
      <c r="A2589" s="3">
        <v>866.0</v>
      </c>
      <c r="B2589" s="3">
        <v>51.0</v>
      </c>
      <c r="C2589" s="3">
        <v>1.0</v>
      </c>
      <c r="D2589" t="str">
        <f>VLOOKUP(B2589,ERA_MOTIF_TYPES.csv!$A$1:$C$119,2,1)</f>
        <v>Bowls</v>
      </c>
      <c r="E2589" t="str">
        <f>VLOOKUP(A2589,Panels!$A$1:$E$2104,5,0)</f>
        <v>Barningham Moor</v>
      </c>
    </row>
    <row r="2590">
      <c r="A2590" s="3">
        <v>867.0</v>
      </c>
      <c r="B2590" s="3">
        <v>1.0</v>
      </c>
      <c r="C2590" s="3">
        <v>2.0</v>
      </c>
      <c r="D2590" t="str">
        <f>VLOOKUP(B2590,ERA_MOTIF_TYPES.csv!$A$1:$C$119,2,1)</f>
        <v>Cups Single</v>
      </c>
      <c r="E2590" t="str">
        <f>VLOOKUP(A2590,Panels!$A$1:$E$2104,5,0)</f>
        <v>Barningham Moor</v>
      </c>
    </row>
    <row r="2591">
      <c r="A2591" s="3">
        <v>868.0</v>
      </c>
      <c r="B2591" s="3">
        <v>1.0</v>
      </c>
      <c r="C2591" s="3">
        <v>2.0</v>
      </c>
      <c r="D2591" t="str">
        <f>VLOOKUP(B2591,ERA_MOTIF_TYPES.csv!$A$1:$C$119,2,1)</f>
        <v>Cups Single</v>
      </c>
      <c r="E2591" t="str">
        <f>VLOOKUP(A2591,Panels!$A$1:$E$2104,5,0)</f>
        <v>Barningham Moor</v>
      </c>
    </row>
    <row r="2592">
      <c r="A2592" s="3">
        <v>869.0</v>
      </c>
      <c r="B2592" s="3">
        <v>1.0</v>
      </c>
      <c r="C2592" s="3">
        <v>3.0</v>
      </c>
      <c r="D2592" t="str">
        <f>VLOOKUP(B2592,ERA_MOTIF_TYPES.csv!$A$1:$C$119,2,1)</f>
        <v>Cups Single</v>
      </c>
      <c r="E2592" t="str">
        <f>VLOOKUP(A2592,Panels!$A$1:$E$2104,5,0)</f>
        <v>Barningham Moor</v>
      </c>
    </row>
    <row r="2593">
      <c r="A2593" s="3">
        <v>870.0</v>
      </c>
      <c r="B2593" s="3">
        <v>1.0</v>
      </c>
      <c r="C2593" s="3">
        <v>3.0</v>
      </c>
      <c r="D2593" t="str">
        <f>VLOOKUP(B2593,ERA_MOTIF_TYPES.csv!$A$1:$C$119,2,1)</f>
        <v>Cups Single</v>
      </c>
      <c r="E2593" t="str">
        <f>VLOOKUP(A2593,Panels!$A$1:$E$2104,5,0)</f>
        <v>Barningham Moor</v>
      </c>
    </row>
    <row r="2594">
      <c r="A2594" s="3">
        <v>871.0</v>
      </c>
      <c r="B2594" s="3">
        <v>1.0</v>
      </c>
      <c r="C2594" s="3">
        <v>7.0</v>
      </c>
      <c r="D2594" t="str">
        <f>VLOOKUP(B2594,ERA_MOTIF_TYPES.csv!$A$1:$C$119,2,1)</f>
        <v>Cups Single</v>
      </c>
      <c r="E2594" t="str">
        <f>VLOOKUP(A2594,Panels!$A$1:$E$2104,5,0)</f>
        <v>Barningham Moor</v>
      </c>
    </row>
    <row r="2595">
      <c r="A2595" s="3">
        <v>872.0</v>
      </c>
      <c r="B2595" s="3">
        <v>1.0</v>
      </c>
      <c r="C2595" s="3">
        <v>4.0</v>
      </c>
      <c r="D2595" t="str">
        <f>VLOOKUP(B2595,ERA_MOTIF_TYPES.csv!$A$1:$C$119,2,1)</f>
        <v>Cups Single</v>
      </c>
      <c r="E2595" t="str">
        <f>VLOOKUP(A2595,Panels!$A$1:$E$2104,5,0)</f>
        <v>Barningham Moor</v>
      </c>
    </row>
    <row r="2596">
      <c r="A2596" s="3">
        <v>872.0</v>
      </c>
      <c r="B2596" s="3">
        <v>6.0</v>
      </c>
      <c r="C2596" s="3">
        <v>1.0</v>
      </c>
      <c r="D2596" t="str">
        <f>VLOOKUP(B2596,ERA_MOTIF_TYPES.csv!$A$1:$C$119,2,1)</f>
        <v>curved or straight line</v>
      </c>
      <c r="E2596" t="str">
        <f>VLOOKUP(A2596,Panels!$A$1:$E$2104,5,0)</f>
        <v>Barningham Moor</v>
      </c>
    </row>
    <row r="2597">
      <c r="A2597" s="3">
        <v>873.0</v>
      </c>
      <c r="B2597" s="3">
        <v>2.0</v>
      </c>
      <c r="C2597" s="3">
        <v>1.0</v>
      </c>
      <c r="D2597" t="str">
        <f>VLOOKUP(B2597,ERA_MOTIF_TYPES.csv!$A$1:$C$119,2,1)</f>
        <v>Random Cluster</v>
      </c>
      <c r="E2597" t="str">
        <f>VLOOKUP(A2597,Panels!$A$1:$E$2104,5,0)</f>
        <v>Barningham Moor</v>
      </c>
    </row>
    <row r="2598">
      <c r="A2598" s="3">
        <v>873.0</v>
      </c>
      <c r="B2598" s="3">
        <v>25.0</v>
      </c>
      <c r="C2598" s="3">
        <v>1.0</v>
      </c>
      <c r="D2598" t="str">
        <f>VLOOKUP(B2598,ERA_MOTIF_TYPES.csv!$A$1:$C$119,2,1)</f>
        <v>Linear</v>
      </c>
      <c r="E2598" t="str">
        <f>VLOOKUP(A2598,Panels!$A$1:$E$2104,5,0)</f>
        <v>Barningham Moor</v>
      </c>
    </row>
    <row r="2599">
      <c r="A2599" s="3">
        <v>874.0</v>
      </c>
      <c r="B2599" s="3">
        <v>1.0</v>
      </c>
      <c r="C2599" s="3">
        <v>14.0</v>
      </c>
      <c r="D2599" t="str">
        <f>VLOOKUP(B2599,ERA_MOTIF_TYPES.csv!$A$1:$C$119,2,1)</f>
        <v>Cups Single</v>
      </c>
      <c r="E2599" t="str">
        <f>VLOOKUP(A2599,Panels!$A$1:$E$2104,5,0)</f>
        <v>Barningham Moor</v>
      </c>
    </row>
    <row r="2600">
      <c r="A2600" s="3">
        <v>874.0</v>
      </c>
      <c r="B2600" s="3">
        <v>51.0</v>
      </c>
      <c r="C2600" s="3">
        <v>1.0</v>
      </c>
      <c r="D2600" t="str">
        <f>VLOOKUP(B2600,ERA_MOTIF_TYPES.csv!$A$1:$C$119,2,1)</f>
        <v>Bowls</v>
      </c>
      <c r="E2600" t="str">
        <f>VLOOKUP(A2600,Panels!$A$1:$E$2104,5,0)</f>
        <v>Barningham Moor</v>
      </c>
    </row>
    <row r="2601">
      <c r="A2601" s="3">
        <v>875.0</v>
      </c>
      <c r="B2601" s="3">
        <v>1.0</v>
      </c>
      <c r="C2601" s="3">
        <v>3.0</v>
      </c>
      <c r="D2601" t="str">
        <f>VLOOKUP(B2601,ERA_MOTIF_TYPES.csv!$A$1:$C$119,2,1)</f>
        <v>Cups Single</v>
      </c>
      <c r="E2601" t="str">
        <f>VLOOKUP(A2601,Panels!$A$1:$E$2104,5,0)</f>
        <v>Barningham Moor</v>
      </c>
    </row>
    <row r="2602">
      <c r="A2602" s="3">
        <v>876.0</v>
      </c>
      <c r="B2602" s="3">
        <v>1.0</v>
      </c>
      <c r="C2602" s="3">
        <v>1.0</v>
      </c>
      <c r="D2602" t="str">
        <f>VLOOKUP(B2602,ERA_MOTIF_TYPES.csv!$A$1:$C$119,2,1)</f>
        <v>Cups Single</v>
      </c>
      <c r="E2602" t="str">
        <f>VLOOKUP(A2602,Panels!$A$1:$E$2104,5,0)</f>
        <v>Barningham Moor</v>
      </c>
    </row>
    <row r="2603">
      <c r="A2603" s="3">
        <v>876.0</v>
      </c>
      <c r="B2603" s="3">
        <v>51.0</v>
      </c>
      <c r="C2603" s="3">
        <v>1.0</v>
      </c>
      <c r="D2603" t="str">
        <f>VLOOKUP(B2603,ERA_MOTIF_TYPES.csv!$A$1:$C$119,2,1)</f>
        <v>Bowls</v>
      </c>
      <c r="E2603" t="str">
        <f>VLOOKUP(A2603,Panels!$A$1:$E$2104,5,0)</f>
        <v>Barningham Moor</v>
      </c>
    </row>
    <row r="2604">
      <c r="A2604" s="3">
        <v>877.0</v>
      </c>
      <c r="B2604" s="3">
        <v>1.0</v>
      </c>
      <c r="C2604" s="3">
        <v>2.0</v>
      </c>
      <c r="D2604" t="str">
        <f>VLOOKUP(B2604,ERA_MOTIF_TYPES.csv!$A$1:$C$119,2,1)</f>
        <v>Cups Single</v>
      </c>
      <c r="E2604" t="str">
        <f>VLOOKUP(A2604,Panels!$A$1:$E$2104,5,0)</f>
        <v>Barningham Moor</v>
      </c>
    </row>
    <row r="2605">
      <c r="A2605" s="3">
        <v>878.0</v>
      </c>
      <c r="B2605" s="3">
        <v>1.0</v>
      </c>
      <c r="C2605" s="3">
        <v>4.0</v>
      </c>
      <c r="D2605" t="str">
        <f>VLOOKUP(B2605,ERA_MOTIF_TYPES.csv!$A$1:$C$119,2,1)</f>
        <v>Cups Single</v>
      </c>
      <c r="E2605" t="str">
        <f>VLOOKUP(A2605,Panels!$A$1:$E$2104,5,0)</f>
        <v>Barningham Moor</v>
      </c>
    </row>
    <row r="2606">
      <c r="A2606" s="3">
        <v>879.0</v>
      </c>
      <c r="B2606" s="3">
        <v>1.0</v>
      </c>
      <c r="C2606" s="3">
        <v>3.0</v>
      </c>
      <c r="D2606" t="str">
        <f>VLOOKUP(B2606,ERA_MOTIF_TYPES.csv!$A$1:$C$119,2,1)</f>
        <v>Cups Single</v>
      </c>
      <c r="E2606" t="str">
        <f>VLOOKUP(A2606,Panels!$A$1:$E$2104,5,0)</f>
        <v>Barningham Moor</v>
      </c>
    </row>
    <row r="2607">
      <c r="A2607" s="3">
        <v>880.0</v>
      </c>
      <c r="B2607" s="3">
        <v>1.0</v>
      </c>
      <c r="C2607" s="3">
        <v>7.0</v>
      </c>
      <c r="D2607" t="str">
        <f>VLOOKUP(B2607,ERA_MOTIF_TYPES.csv!$A$1:$C$119,2,1)</f>
        <v>Cups Single</v>
      </c>
      <c r="E2607" t="str">
        <f>VLOOKUP(A2607,Panels!$A$1:$E$2104,5,0)</f>
        <v>Barningham Moor</v>
      </c>
    </row>
    <row r="2608">
      <c r="A2608" s="3">
        <v>880.0</v>
      </c>
      <c r="B2608" s="3">
        <v>6.0</v>
      </c>
      <c r="C2608" s="3">
        <v>1.0</v>
      </c>
      <c r="D2608" t="str">
        <f>VLOOKUP(B2608,ERA_MOTIF_TYPES.csv!$A$1:$C$119,2,1)</f>
        <v>curved or straight line</v>
      </c>
      <c r="E2608" t="str">
        <f>VLOOKUP(A2608,Panels!$A$1:$E$2104,5,0)</f>
        <v>Barningham Moor</v>
      </c>
    </row>
    <row r="2609">
      <c r="A2609" s="3">
        <v>881.0</v>
      </c>
      <c r="B2609" s="3">
        <v>1.0</v>
      </c>
      <c r="C2609" s="3">
        <v>12.0</v>
      </c>
      <c r="D2609" t="str">
        <f>VLOOKUP(B2609,ERA_MOTIF_TYPES.csv!$A$1:$C$119,2,1)</f>
        <v>Cups Single</v>
      </c>
      <c r="E2609" t="str">
        <f>VLOOKUP(A2609,Panels!$A$1:$E$2104,5,0)</f>
        <v>Barningham Moor</v>
      </c>
    </row>
    <row r="2610">
      <c r="A2610" s="3">
        <v>882.0</v>
      </c>
      <c r="B2610" s="3">
        <v>1.0</v>
      </c>
      <c r="C2610" s="3">
        <v>2.0</v>
      </c>
      <c r="D2610" t="str">
        <f>VLOOKUP(B2610,ERA_MOTIF_TYPES.csv!$A$1:$C$119,2,1)</f>
        <v>Cups Single</v>
      </c>
      <c r="E2610" t="str">
        <f>VLOOKUP(A2610,Panels!$A$1:$E$2104,5,0)</f>
        <v>Barningham Moor</v>
      </c>
    </row>
    <row r="2611">
      <c r="A2611" s="3">
        <v>883.0</v>
      </c>
      <c r="B2611" s="3">
        <v>1.0</v>
      </c>
      <c r="C2611" s="3">
        <v>1.0</v>
      </c>
      <c r="D2611" t="str">
        <f>VLOOKUP(B2611,ERA_MOTIF_TYPES.csv!$A$1:$C$119,2,1)</f>
        <v>Cups Single</v>
      </c>
      <c r="E2611" t="str">
        <f>VLOOKUP(A2611,Panels!$A$1:$E$2104,5,0)</f>
        <v>Barningham Moor</v>
      </c>
    </row>
    <row r="2612">
      <c r="A2612" s="3">
        <v>884.0</v>
      </c>
      <c r="B2612" s="3">
        <v>51.0</v>
      </c>
      <c r="C2612" s="3">
        <v>1.0</v>
      </c>
      <c r="D2612" t="str">
        <f>VLOOKUP(B2612,ERA_MOTIF_TYPES.csv!$A$1:$C$119,2,1)</f>
        <v>Bowls</v>
      </c>
      <c r="E2612" t="str">
        <f>VLOOKUP(A2612,Panels!$A$1:$E$2104,5,0)</f>
        <v>Barningham Moor</v>
      </c>
    </row>
    <row r="2613">
      <c r="A2613" s="3">
        <v>885.0</v>
      </c>
      <c r="B2613" s="3">
        <v>1.0</v>
      </c>
      <c r="C2613" s="3">
        <v>1.0</v>
      </c>
      <c r="D2613" t="str">
        <f>VLOOKUP(B2613,ERA_MOTIF_TYPES.csv!$A$1:$C$119,2,1)</f>
        <v>Cups Single</v>
      </c>
      <c r="E2613" t="str">
        <f>VLOOKUP(A2613,Panels!$A$1:$E$2104,5,0)</f>
        <v>Barningham Moor</v>
      </c>
    </row>
    <row r="2614">
      <c r="A2614" s="3">
        <v>886.0</v>
      </c>
      <c r="B2614" s="3">
        <v>1.0</v>
      </c>
      <c r="C2614" s="3">
        <v>1.0</v>
      </c>
      <c r="D2614" t="str">
        <f>VLOOKUP(B2614,ERA_MOTIF_TYPES.csv!$A$1:$C$119,2,1)</f>
        <v>Cups Single</v>
      </c>
      <c r="E2614" t="str">
        <f>VLOOKUP(A2614,Panels!$A$1:$E$2104,5,0)</f>
        <v>Barningham Moor</v>
      </c>
    </row>
    <row r="2615">
      <c r="A2615" s="3">
        <v>889.0</v>
      </c>
      <c r="B2615" s="3">
        <v>16.0</v>
      </c>
      <c r="C2615" s="3">
        <v>1.0</v>
      </c>
      <c r="D2615" t="str">
        <f>VLOOKUP(B2615,ERA_MOTIF_TYPES.csv!$A$1:$C$119,2,1)</f>
        <v>Single Arc + cup</v>
      </c>
      <c r="E2615" t="str">
        <f>VLOOKUP(A2615,Panels!$A$1:$E$2104,5,0)</f>
        <v>Barningham Moor</v>
      </c>
    </row>
    <row r="2616">
      <c r="A2616" s="3">
        <v>890.0</v>
      </c>
      <c r="B2616" s="3">
        <v>1.0</v>
      </c>
      <c r="C2616" s="3">
        <v>6.0</v>
      </c>
      <c r="D2616" t="str">
        <f>VLOOKUP(B2616,ERA_MOTIF_TYPES.csv!$A$1:$C$119,2,1)</f>
        <v>Cups Single</v>
      </c>
      <c r="E2616" t="str">
        <f>VLOOKUP(A2616,Panels!$A$1:$E$2104,5,0)</f>
        <v>Barningham Moor</v>
      </c>
    </row>
    <row r="2617">
      <c r="A2617" s="3">
        <v>891.0</v>
      </c>
      <c r="B2617" s="3">
        <v>1.0</v>
      </c>
      <c r="C2617" s="3">
        <v>10.0</v>
      </c>
      <c r="D2617" t="str">
        <f>VLOOKUP(B2617,ERA_MOTIF_TYPES.csv!$A$1:$C$119,2,1)</f>
        <v>Cups Single</v>
      </c>
      <c r="E2617" t="str">
        <f>VLOOKUP(A2617,Panels!$A$1:$E$2104,5,0)</f>
        <v>Barningham Moor</v>
      </c>
    </row>
    <row r="2618">
      <c r="A2618" s="3">
        <v>892.0</v>
      </c>
      <c r="B2618" s="3">
        <v>2.0</v>
      </c>
      <c r="C2618" s="3">
        <v>1.0</v>
      </c>
      <c r="D2618" t="str">
        <f>VLOOKUP(B2618,ERA_MOTIF_TYPES.csv!$A$1:$C$119,2,1)</f>
        <v>Random Cluster</v>
      </c>
      <c r="E2618" t="str">
        <f>VLOOKUP(A2618,Panels!$A$1:$E$2104,5,0)</f>
        <v>Barningham Moor</v>
      </c>
    </row>
    <row r="2619">
      <c r="A2619" s="3">
        <v>892.0</v>
      </c>
      <c r="B2619" s="3">
        <v>5.0</v>
      </c>
      <c r="C2619" s="3">
        <v>2.0</v>
      </c>
      <c r="D2619" t="str">
        <f>VLOOKUP(B2619,ERA_MOTIF_TYPES.csv!$A$1:$C$119,2,1)</f>
        <v>Rosette</v>
      </c>
      <c r="E2619" t="str">
        <f>VLOOKUP(A2619,Panels!$A$1:$E$2104,5,0)</f>
        <v>Barningham Moor</v>
      </c>
    </row>
    <row r="2620">
      <c r="A2620" s="3">
        <v>894.0</v>
      </c>
      <c r="B2620" s="3">
        <v>1.0</v>
      </c>
      <c r="C2620" s="3">
        <v>1.0</v>
      </c>
      <c r="D2620" t="str">
        <f>VLOOKUP(B2620,ERA_MOTIF_TYPES.csv!$A$1:$C$119,2,1)</f>
        <v>Cups Single</v>
      </c>
      <c r="E2620" t="str">
        <f>VLOOKUP(A2620,Panels!$A$1:$E$2104,5,0)</f>
        <v>Barningham Moor</v>
      </c>
    </row>
    <row r="2621">
      <c r="A2621" s="3">
        <v>895.0</v>
      </c>
      <c r="B2621" s="3">
        <v>1.0</v>
      </c>
      <c r="C2621" s="3">
        <v>13.0</v>
      </c>
      <c r="D2621" t="str">
        <f>VLOOKUP(B2621,ERA_MOTIF_TYPES.csv!$A$1:$C$119,2,1)</f>
        <v>Cups Single</v>
      </c>
      <c r="E2621" t="str">
        <f>VLOOKUP(A2621,Panels!$A$1:$E$2104,5,0)</f>
        <v>Barningham Moor</v>
      </c>
    </row>
    <row r="2622">
      <c r="A2622" s="3">
        <v>896.0</v>
      </c>
      <c r="B2622" s="3">
        <v>1.0</v>
      </c>
      <c r="C2622" s="3">
        <v>6.0</v>
      </c>
      <c r="D2622" t="str">
        <f>VLOOKUP(B2622,ERA_MOTIF_TYPES.csv!$A$1:$C$119,2,1)</f>
        <v>Cups Single</v>
      </c>
      <c r="E2622" t="str">
        <f>VLOOKUP(A2622,Panels!$A$1:$E$2104,5,0)</f>
        <v>Barningham Moor</v>
      </c>
    </row>
    <row r="2623">
      <c r="A2623" s="3">
        <v>896.0</v>
      </c>
      <c r="B2623" s="3">
        <v>25.0</v>
      </c>
      <c r="C2623" s="3">
        <v>1.0</v>
      </c>
      <c r="D2623" t="str">
        <f>VLOOKUP(B2623,ERA_MOTIF_TYPES.csv!$A$1:$C$119,2,1)</f>
        <v>Linear</v>
      </c>
      <c r="E2623" t="str">
        <f>VLOOKUP(A2623,Panels!$A$1:$E$2104,5,0)</f>
        <v>Barningham Moor</v>
      </c>
    </row>
    <row r="2624">
      <c r="A2624" s="3">
        <v>897.0</v>
      </c>
      <c r="B2624" s="3">
        <v>2.0</v>
      </c>
      <c r="C2624" s="3">
        <v>1.0</v>
      </c>
      <c r="D2624" t="str">
        <f>VLOOKUP(B2624,ERA_MOTIF_TYPES.csv!$A$1:$C$119,2,1)</f>
        <v>Random Cluster</v>
      </c>
      <c r="E2624" t="str">
        <f>VLOOKUP(A2624,Panels!$A$1:$E$2104,5,0)</f>
        <v>Barningham Moor</v>
      </c>
    </row>
    <row r="2625">
      <c r="A2625" s="3">
        <v>899.0</v>
      </c>
      <c r="B2625" s="3">
        <v>1.0</v>
      </c>
      <c r="C2625" s="3">
        <v>9.0</v>
      </c>
      <c r="D2625" t="str">
        <f>VLOOKUP(B2625,ERA_MOTIF_TYPES.csv!$A$1:$C$119,2,1)</f>
        <v>Cups Single</v>
      </c>
      <c r="E2625" t="str">
        <f>VLOOKUP(A2625,Panels!$A$1:$E$2104,5,0)</f>
        <v>Barningham Moor</v>
      </c>
    </row>
    <row r="2626">
      <c r="A2626" s="3">
        <v>899.0</v>
      </c>
      <c r="B2626" s="3">
        <v>31.0</v>
      </c>
      <c r="C2626" s="3">
        <v>4.0</v>
      </c>
      <c r="D2626" t="str">
        <f>VLOOKUP(B2626,ERA_MOTIF_TYPES.csv!$A$1:$C$119,2,1)</f>
        <v>Cup and Groove</v>
      </c>
      <c r="E2626" t="str">
        <f>VLOOKUP(A2626,Panels!$A$1:$E$2104,5,0)</f>
        <v>Barningham Moor</v>
      </c>
    </row>
    <row r="2627">
      <c r="A2627" s="3">
        <v>900.0</v>
      </c>
      <c r="B2627" s="3">
        <v>1.0</v>
      </c>
      <c r="C2627" s="3">
        <v>2.0</v>
      </c>
      <c r="D2627" t="str">
        <f>VLOOKUP(B2627,ERA_MOTIF_TYPES.csv!$A$1:$C$119,2,1)</f>
        <v>Cups Single</v>
      </c>
      <c r="E2627" t="str">
        <f>VLOOKUP(A2627,Panels!$A$1:$E$2104,5,0)</f>
        <v>Barningham Moor</v>
      </c>
    </row>
    <row r="2628">
      <c r="A2628" s="3">
        <v>900.0</v>
      </c>
      <c r="B2628" s="3">
        <v>5.0</v>
      </c>
      <c r="C2628" s="3">
        <v>1.0</v>
      </c>
      <c r="D2628" t="str">
        <f>VLOOKUP(B2628,ERA_MOTIF_TYPES.csv!$A$1:$C$119,2,1)</f>
        <v>Rosette</v>
      </c>
      <c r="E2628" t="str">
        <f>VLOOKUP(A2628,Panels!$A$1:$E$2104,5,0)</f>
        <v>Barningham Moor</v>
      </c>
    </row>
    <row r="2629">
      <c r="A2629" s="3">
        <v>901.0</v>
      </c>
      <c r="B2629" s="3">
        <v>1.0</v>
      </c>
      <c r="C2629" s="3">
        <v>2.0</v>
      </c>
      <c r="D2629" t="str">
        <f>VLOOKUP(B2629,ERA_MOTIF_TYPES.csv!$A$1:$C$119,2,1)</f>
        <v>Cups Single</v>
      </c>
      <c r="E2629" t="str">
        <f>VLOOKUP(A2629,Panels!$A$1:$E$2104,5,0)</f>
        <v>Barningham Moor</v>
      </c>
    </row>
    <row r="2630">
      <c r="A2630" s="3">
        <v>901.0</v>
      </c>
      <c r="B2630" s="3">
        <v>13.0</v>
      </c>
      <c r="C2630" s="3">
        <v>1.0</v>
      </c>
      <c r="D2630" t="str">
        <f>VLOOKUP(B2630,ERA_MOTIF_TYPES.csv!$A$1:$C$119,2,1)</f>
        <v>Single Ring + cup</v>
      </c>
      <c r="E2630" t="str">
        <f>VLOOKUP(A2630,Panels!$A$1:$E$2104,5,0)</f>
        <v>Barningham Moor</v>
      </c>
    </row>
    <row r="2631">
      <c r="A2631" s="3">
        <v>902.0</v>
      </c>
      <c r="B2631" s="3">
        <v>1.0</v>
      </c>
      <c r="C2631" s="3">
        <v>5.0</v>
      </c>
      <c r="D2631" t="str">
        <f>VLOOKUP(B2631,ERA_MOTIF_TYPES.csv!$A$1:$C$119,2,1)</f>
        <v>Cups Single</v>
      </c>
      <c r="E2631" t="str">
        <f>VLOOKUP(A2631,Panels!$A$1:$E$2104,5,0)</f>
        <v>Barningham Moor</v>
      </c>
    </row>
    <row r="2632">
      <c r="A2632" s="3">
        <v>902.0</v>
      </c>
      <c r="B2632" s="3">
        <v>18.0</v>
      </c>
      <c r="C2632" s="3">
        <v>1.0</v>
      </c>
      <c r="D2632" t="str">
        <f>VLOOKUP(B2632,ERA_MOTIF_TYPES.csv!$A$1:$C$119,2,1)</f>
        <v>Multi Arc + cup</v>
      </c>
      <c r="E2632" t="str">
        <f>VLOOKUP(A2632,Panels!$A$1:$E$2104,5,0)</f>
        <v>Barningham Moor</v>
      </c>
    </row>
    <row r="2633">
      <c r="A2633" s="3">
        <v>903.0</v>
      </c>
      <c r="B2633" s="3">
        <v>1.0</v>
      </c>
      <c r="C2633" s="3">
        <v>7.0</v>
      </c>
      <c r="D2633" t="str">
        <f>VLOOKUP(B2633,ERA_MOTIF_TYPES.csv!$A$1:$C$119,2,1)</f>
        <v>Cups Single</v>
      </c>
      <c r="E2633" t="str">
        <f>VLOOKUP(A2633,Panels!$A$1:$E$2104,5,0)</f>
        <v>Barningham Moor</v>
      </c>
    </row>
    <row r="2634">
      <c r="A2634" s="3">
        <v>903.0</v>
      </c>
      <c r="B2634" s="3">
        <v>17.0</v>
      </c>
      <c r="C2634" s="3">
        <v>1.0</v>
      </c>
      <c r="D2634" t="str">
        <f>VLOOKUP(B2634,ERA_MOTIF_TYPES.csv!$A$1:$C$119,2,1)</f>
        <v>Single Penannular + cup</v>
      </c>
      <c r="E2634" t="str">
        <f>VLOOKUP(A2634,Panels!$A$1:$E$2104,5,0)</f>
        <v>Barningham Moor</v>
      </c>
    </row>
    <row r="2635">
      <c r="A2635" s="3">
        <v>903.0</v>
      </c>
      <c r="B2635" s="3">
        <v>35.0</v>
      </c>
      <c r="C2635" s="3">
        <v>3.0</v>
      </c>
      <c r="D2635" t="str">
        <f>VLOOKUP(B2635,ERA_MOTIF_TYPES.csv!$A$1:$C$119,2,1)</f>
        <v>Cup Groove and multi penannular</v>
      </c>
      <c r="E2635" t="str">
        <f>VLOOKUP(A2635,Panels!$A$1:$E$2104,5,0)</f>
        <v>Barningham Moor</v>
      </c>
    </row>
    <row r="2636">
      <c r="A2636" s="3">
        <v>903.0</v>
      </c>
      <c r="B2636" s="3">
        <v>46.0</v>
      </c>
      <c r="C2636" s="3">
        <v>1.0</v>
      </c>
      <c r="D2636" t="str">
        <f>VLOOKUP(B2636,ERA_MOTIF_TYPES.csv!$A$1:$C$119,2,1)</f>
        <v>Groove and cups</v>
      </c>
      <c r="E2636" t="str">
        <f>VLOOKUP(A2636,Panels!$A$1:$E$2104,5,0)</f>
        <v>Barningham Moor</v>
      </c>
    </row>
    <row r="2637">
      <c r="A2637" s="3">
        <v>904.0</v>
      </c>
      <c r="B2637" s="3">
        <v>1.0</v>
      </c>
      <c r="C2637" s="3">
        <v>21.0</v>
      </c>
      <c r="D2637" t="str">
        <f>VLOOKUP(B2637,ERA_MOTIF_TYPES.csv!$A$1:$C$119,2,1)</f>
        <v>Cups Single</v>
      </c>
      <c r="E2637" t="str">
        <f>VLOOKUP(A2637,Panels!$A$1:$E$2104,5,0)</f>
        <v>Barningham Moor</v>
      </c>
    </row>
    <row r="2638">
      <c r="A2638" s="3">
        <v>904.0</v>
      </c>
      <c r="B2638" s="3">
        <v>13.0</v>
      </c>
      <c r="C2638" s="3">
        <v>5.0</v>
      </c>
      <c r="D2638" t="str">
        <f>VLOOKUP(B2638,ERA_MOTIF_TYPES.csv!$A$1:$C$119,2,1)</f>
        <v>Single Ring + cup</v>
      </c>
      <c r="E2638" t="str">
        <f>VLOOKUP(A2638,Panels!$A$1:$E$2104,5,0)</f>
        <v>Barningham Moor</v>
      </c>
    </row>
    <row r="2639">
      <c r="A2639" s="3">
        <v>906.0</v>
      </c>
      <c r="B2639" s="3">
        <v>1.0</v>
      </c>
      <c r="C2639" s="3">
        <v>2.0</v>
      </c>
      <c r="D2639" t="str">
        <f>VLOOKUP(B2639,ERA_MOTIF_TYPES.csv!$A$1:$C$119,2,1)</f>
        <v>Cups Single</v>
      </c>
      <c r="E2639" t="str">
        <f>VLOOKUP(A2639,Panels!$A$1:$E$2104,5,0)</f>
        <v>Barningham Moor</v>
      </c>
    </row>
    <row r="2640">
      <c r="A2640" s="3">
        <v>907.0</v>
      </c>
      <c r="B2640" s="3">
        <v>1.0</v>
      </c>
      <c r="C2640" s="3">
        <v>2.0</v>
      </c>
      <c r="D2640" t="str">
        <f>VLOOKUP(B2640,ERA_MOTIF_TYPES.csv!$A$1:$C$119,2,1)</f>
        <v>Cups Single</v>
      </c>
      <c r="E2640" t="str">
        <f>VLOOKUP(A2640,Panels!$A$1:$E$2104,5,0)</f>
        <v>Barningham Moor</v>
      </c>
    </row>
    <row r="2641">
      <c r="A2641" s="3">
        <v>908.0</v>
      </c>
      <c r="B2641" s="3">
        <v>2.0</v>
      </c>
      <c r="C2641" s="3">
        <v>1.0</v>
      </c>
      <c r="D2641" t="str">
        <f>VLOOKUP(B2641,ERA_MOTIF_TYPES.csv!$A$1:$C$119,2,1)</f>
        <v>Random Cluster</v>
      </c>
      <c r="E2641" t="str">
        <f>VLOOKUP(A2641,Panels!$A$1:$E$2104,5,0)</f>
        <v>Barningham Moor</v>
      </c>
    </row>
    <row r="2642">
      <c r="A2642" s="3">
        <v>909.0</v>
      </c>
      <c r="B2642" s="3">
        <v>1.0</v>
      </c>
      <c r="C2642" s="3">
        <v>1.0</v>
      </c>
      <c r="D2642" t="str">
        <f>VLOOKUP(B2642,ERA_MOTIF_TYPES.csv!$A$1:$C$119,2,1)</f>
        <v>Cups Single</v>
      </c>
      <c r="E2642" t="str">
        <f>VLOOKUP(A2642,Panels!$A$1:$E$2104,5,0)</f>
        <v>Barningham Moor</v>
      </c>
    </row>
    <row r="2643">
      <c r="A2643" s="3">
        <v>909.0</v>
      </c>
      <c r="B2643" s="3">
        <v>2.0</v>
      </c>
      <c r="C2643" s="3">
        <v>1.0</v>
      </c>
      <c r="D2643" t="str">
        <f>VLOOKUP(B2643,ERA_MOTIF_TYPES.csv!$A$1:$C$119,2,1)</f>
        <v>Random Cluster</v>
      </c>
      <c r="E2643" t="str">
        <f>VLOOKUP(A2643,Panels!$A$1:$E$2104,5,0)</f>
        <v>Barningham Moor</v>
      </c>
    </row>
    <row r="2644">
      <c r="A2644" s="3">
        <v>910.0</v>
      </c>
      <c r="B2644" s="3">
        <v>1.0</v>
      </c>
      <c r="C2644" s="3">
        <v>2.0</v>
      </c>
      <c r="D2644" t="str">
        <f>VLOOKUP(B2644,ERA_MOTIF_TYPES.csv!$A$1:$C$119,2,1)</f>
        <v>Cups Single</v>
      </c>
      <c r="E2644" t="str">
        <f>VLOOKUP(A2644,Panels!$A$1:$E$2104,5,0)</f>
        <v>Barningham Moor</v>
      </c>
    </row>
    <row r="2645">
      <c r="A2645" s="3">
        <v>910.0</v>
      </c>
      <c r="B2645" s="3">
        <v>2.0</v>
      </c>
      <c r="C2645" s="3">
        <v>1.0</v>
      </c>
      <c r="D2645" t="str">
        <f>VLOOKUP(B2645,ERA_MOTIF_TYPES.csv!$A$1:$C$119,2,1)</f>
        <v>Random Cluster</v>
      </c>
      <c r="E2645" t="str">
        <f>VLOOKUP(A2645,Panels!$A$1:$E$2104,5,0)</f>
        <v>Barningham Moor</v>
      </c>
    </row>
    <row r="2646">
      <c r="A2646" s="3">
        <v>911.0</v>
      </c>
      <c r="B2646" s="3">
        <v>1.0</v>
      </c>
      <c r="C2646" s="3">
        <v>4.0</v>
      </c>
      <c r="D2646" t="str">
        <f>VLOOKUP(B2646,ERA_MOTIF_TYPES.csv!$A$1:$C$119,2,1)</f>
        <v>Cups Single</v>
      </c>
      <c r="E2646" t="str">
        <f>VLOOKUP(A2646,Panels!$A$1:$E$2104,5,0)</f>
        <v>Barningham Moor</v>
      </c>
    </row>
    <row r="2647">
      <c r="A2647" s="3">
        <v>912.0</v>
      </c>
      <c r="B2647" s="3">
        <v>1.0</v>
      </c>
      <c r="C2647" s="3">
        <v>2.0</v>
      </c>
      <c r="D2647" t="str">
        <f>VLOOKUP(B2647,ERA_MOTIF_TYPES.csv!$A$1:$C$119,2,1)</f>
        <v>Cups Single</v>
      </c>
      <c r="E2647" t="str">
        <f>VLOOKUP(A2647,Panels!$A$1:$E$2104,5,0)</f>
        <v>Barningham Moor</v>
      </c>
    </row>
    <row r="2648">
      <c r="A2648" s="3">
        <v>913.0</v>
      </c>
      <c r="B2648" s="3">
        <v>1.0</v>
      </c>
      <c r="C2648" s="3">
        <v>2.0</v>
      </c>
      <c r="D2648" t="str">
        <f>VLOOKUP(B2648,ERA_MOTIF_TYPES.csv!$A$1:$C$119,2,1)</f>
        <v>Cups Single</v>
      </c>
      <c r="E2648" t="str">
        <f>VLOOKUP(A2648,Panels!$A$1:$E$2104,5,0)</f>
        <v>Barningham Moor</v>
      </c>
    </row>
    <row r="2649">
      <c r="A2649" s="3">
        <v>913.0</v>
      </c>
      <c r="B2649" s="3">
        <v>25.0</v>
      </c>
      <c r="C2649" s="3">
        <v>1.0</v>
      </c>
      <c r="D2649" t="str">
        <f>VLOOKUP(B2649,ERA_MOTIF_TYPES.csv!$A$1:$C$119,2,1)</f>
        <v>Linear</v>
      </c>
      <c r="E2649" t="str">
        <f>VLOOKUP(A2649,Panels!$A$1:$E$2104,5,0)</f>
        <v>Barningham Moor</v>
      </c>
    </row>
    <row r="2650">
      <c r="A2650" s="3">
        <v>915.0</v>
      </c>
      <c r="B2650" s="3">
        <v>1.0</v>
      </c>
      <c r="C2650" s="3">
        <v>3.0</v>
      </c>
      <c r="D2650" t="str">
        <f>VLOOKUP(B2650,ERA_MOTIF_TYPES.csv!$A$1:$C$119,2,1)</f>
        <v>Cups Single</v>
      </c>
      <c r="E2650" t="str">
        <f>VLOOKUP(A2650,Panels!$A$1:$E$2104,5,0)</f>
        <v>Barningham Moor</v>
      </c>
    </row>
    <row r="2651">
      <c r="A2651" s="3">
        <v>916.0</v>
      </c>
      <c r="B2651" s="3">
        <v>1.0</v>
      </c>
      <c r="C2651" s="3">
        <v>1.0</v>
      </c>
      <c r="D2651" t="str">
        <f>VLOOKUP(B2651,ERA_MOTIF_TYPES.csv!$A$1:$C$119,2,1)</f>
        <v>Cups Single</v>
      </c>
      <c r="E2651" t="str">
        <f>VLOOKUP(A2651,Panels!$A$1:$E$2104,5,0)</f>
        <v>Barningham Moor</v>
      </c>
    </row>
    <row r="2652">
      <c r="A2652" s="3">
        <v>917.0</v>
      </c>
      <c r="B2652" s="3">
        <v>25.0</v>
      </c>
      <c r="C2652" s="3">
        <v>2.0</v>
      </c>
      <c r="D2652" t="str">
        <f>VLOOKUP(B2652,ERA_MOTIF_TYPES.csv!$A$1:$C$119,2,1)</f>
        <v>Linear</v>
      </c>
      <c r="E2652" t="str">
        <f>VLOOKUP(A2652,Panels!$A$1:$E$2104,5,0)</f>
        <v>Barningham Moor</v>
      </c>
    </row>
    <row r="2653">
      <c r="A2653" s="3">
        <v>918.0</v>
      </c>
      <c r="B2653" s="3">
        <v>1.0</v>
      </c>
      <c r="C2653" s="3">
        <v>1.0</v>
      </c>
      <c r="D2653" t="str">
        <f>VLOOKUP(B2653,ERA_MOTIF_TYPES.csv!$A$1:$C$119,2,1)</f>
        <v>Cups Single</v>
      </c>
      <c r="E2653" t="str">
        <f>VLOOKUP(A2653,Panels!$A$1:$E$2104,5,0)</f>
        <v>Barningham Moor</v>
      </c>
    </row>
    <row r="2654">
      <c r="A2654" s="3">
        <v>919.0</v>
      </c>
      <c r="B2654" s="3">
        <v>1.0</v>
      </c>
      <c r="C2654" s="3">
        <v>3.0</v>
      </c>
      <c r="D2654" t="str">
        <f>VLOOKUP(B2654,ERA_MOTIF_TYPES.csv!$A$1:$C$119,2,1)</f>
        <v>Cups Single</v>
      </c>
      <c r="E2654" t="str">
        <f>VLOOKUP(A2654,Panels!$A$1:$E$2104,5,0)</f>
        <v>Barningham Moor</v>
      </c>
    </row>
    <row r="2655">
      <c r="A2655" s="3">
        <v>919.0</v>
      </c>
      <c r="B2655" s="3">
        <v>25.0</v>
      </c>
      <c r="C2655" s="3">
        <v>1.0</v>
      </c>
      <c r="D2655" t="str">
        <f>VLOOKUP(B2655,ERA_MOTIF_TYPES.csv!$A$1:$C$119,2,1)</f>
        <v>Linear</v>
      </c>
      <c r="E2655" t="str">
        <f>VLOOKUP(A2655,Panels!$A$1:$E$2104,5,0)</f>
        <v>Barningham Moor</v>
      </c>
    </row>
    <row r="2656">
      <c r="A2656" s="3">
        <v>920.0</v>
      </c>
      <c r="B2656" s="3">
        <v>31.0</v>
      </c>
      <c r="C2656" s="3">
        <v>2.0</v>
      </c>
      <c r="D2656" t="str">
        <f>VLOOKUP(B2656,ERA_MOTIF_TYPES.csv!$A$1:$C$119,2,1)</f>
        <v>Cup and Groove</v>
      </c>
      <c r="E2656" t="str">
        <f>VLOOKUP(A2656,Panels!$A$1:$E$2104,5,0)</f>
        <v>Barningham Moor</v>
      </c>
    </row>
    <row r="2657">
      <c r="A2657" s="3">
        <v>920.0</v>
      </c>
      <c r="B2657" s="3">
        <v>32.0</v>
      </c>
      <c r="C2657" s="3">
        <v>1.0</v>
      </c>
      <c r="D2657" t="str">
        <f>VLOOKUP(B2657,ERA_MOTIF_TYPES.csv!$A$1:$C$119,2,1)</f>
        <v>Cup Groove and single ring</v>
      </c>
      <c r="E2657" t="str">
        <f>VLOOKUP(A2657,Panels!$A$1:$E$2104,5,0)</f>
        <v>Barningham Moor</v>
      </c>
    </row>
    <row r="2658">
      <c r="A2658" s="3">
        <v>921.0</v>
      </c>
      <c r="B2658" s="3">
        <v>1.0</v>
      </c>
      <c r="C2658" s="3">
        <v>1.0</v>
      </c>
      <c r="D2658" t="str">
        <f>VLOOKUP(B2658,ERA_MOTIF_TYPES.csv!$A$1:$C$119,2,1)</f>
        <v>Cups Single</v>
      </c>
      <c r="E2658" t="str">
        <f>VLOOKUP(A2658,Panels!$A$1:$E$2104,5,0)</f>
        <v>Barningham Moor</v>
      </c>
    </row>
    <row r="2659">
      <c r="A2659" s="3">
        <v>922.0</v>
      </c>
      <c r="B2659" s="3">
        <v>1.0</v>
      </c>
      <c r="C2659" s="3">
        <v>18.0</v>
      </c>
      <c r="D2659" t="str">
        <f>VLOOKUP(B2659,ERA_MOTIF_TYPES.csv!$A$1:$C$119,2,1)</f>
        <v>Cups Single</v>
      </c>
      <c r="E2659" t="str">
        <f>VLOOKUP(A2659,Panels!$A$1:$E$2104,5,0)</f>
        <v>Barningham Moor</v>
      </c>
    </row>
    <row r="2660">
      <c r="A2660" s="3">
        <v>922.0</v>
      </c>
      <c r="B2660" s="3">
        <v>31.0</v>
      </c>
      <c r="C2660" s="3">
        <v>1.0</v>
      </c>
      <c r="D2660" t="str">
        <f>VLOOKUP(B2660,ERA_MOTIF_TYPES.csv!$A$1:$C$119,2,1)</f>
        <v>Cup and Groove</v>
      </c>
      <c r="E2660" t="str">
        <f>VLOOKUP(A2660,Panels!$A$1:$E$2104,5,0)</f>
        <v>Barningham Moor</v>
      </c>
    </row>
    <row r="2661">
      <c r="A2661" s="3">
        <v>923.0</v>
      </c>
      <c r="B2661" s="3">
        <v>1.0</v>
      </c>
      <c r="C2661" s="3">
        <v>6.0</v>
      </c>
      <c r="D2661" t="str">
        <f>VLOOKUP(B2661,ERA_MOTIF_TYPES.csv!$A$1:$C$119,2,1)</f>
        <v>Cups Single</v>
      </c>
      <c r="E2661" t="str">
        <f>VLOOKUP(A2661,Panels!$A$1:$E$2104,5,0)</f>
        <v>Barningham Moor</v>
      </c>
    </row>
    <row r="2662">
      <c r="A2662" s="3">
        <v>924.0</v>
      </c>
      <c r="B2662" s="3">
        <v>25.0</v>
      </c>
      <c r="C2662" s="3">
        <v>1.0</v>
      </c>
      <c r="D2662" t="str">
        <f>VLOOKUP(B2662,ERA_MOTIF_TYPES.csv!$A$1:$C$119,2,1)</f>
        <v>Linear</v>
      </c>
      <c r="E2662" t="str">
        <f>VLOOKUP(A2662,Panels!$A$1:$E$2104,5,0)</f>
        <v>Barningham Moor</v>
      </c>
    </row>
    <row r="2663">
      <c r="A2663" s="3">
        <v>925.0</v>
      </c>
      <c r="B2663" s="3">
        <v>13.0</v>
      </c>
      <c r="C2663" s="3">
        <v>1.0</v>
      </c>
      <c r="D2663" t="str">
        <f>VLOOKUP(B2663,ERA_MOTIF_TYPES.csv!$A$1:$C$119,2,1)</f>
        <v>Single Ring + cup</v>
      </c>
      <c r="E2663" t="str">
        <f>VLOOKUP(A2663,Panels!$A$1:$E$2104,5,0)</f>
        <v>Barningham Moor</v>
      </c>
    </row>
    <row r="2664">
      <c r="A2664" s="3">
        <v>927.0</v>
      </c>
      <c r="B2664" s="3">
        <v>1.0</v>
      </c>
      <c r="C2664" s="3">
        <v>2.0</v>
      </c>
      <c r="D2664" t="str">
        <f>VLOOKUP(B2664,ERA_MOTIF_TYPES.csv!$A$1:$C$119,2,1)</f>
        <v>Cups Single</v>
      </c>
      <c r="E2664" t="str">
        <f>VLOOKUP(A2664,Panels!$A$1:$E$2104,5,0)</f>
        <v>Barningham Moor</v>
      </c>
    </row>
    <row r="2665">
      <c r="A2665" s="3">
        <v>928.0</v>
      </c>
      <c r="B2665" s="3">
        <v>1.0</v>
      </c>
      <c r="C2665" s="3">
        <v>2.0</v>
      </c>
      <c r="D2665" t="str">
        <f>VLOOKUP(B2665,ERA_MOTIF_TYPES.csv!$A$1:$C$119,2,1)</f>
        <v>Cups Single</v>
      </c>
      <c r="E2665" t="str">
        <f>VLOOKUP(A2665,Panels!$A$1:$E$2104,5,0)</f>
        <v>Barningham Moor</v>
      </c>
    </row>
    <row r="2666">
      <c r="A2666" s="3">
        <v>928.0</v>
      </c>
      <c r="B2666" s="3">
        <v>7.0</v>
      </c>
      <c r="C2666" s="3">
        <v>1.0</v>
      </c>
      <c r="D2666" t="str">
        <f>VLOOKUP(B2666,ERA_MOTIF_TYPES.csv!$A$1:$C$119,2,1)</f>
        <v>Single Ring</v>
      </c>
      <c r="E2666" t="str">
        <f>VLOOKUP(A2666,Panels!$A$1:$E$2104,5,0)</f>
        <v>Barningham Moor</v>
      </c>
    </row>
    <row r="2667">
      <c r="A2667" s="3">
        <v>928.0</v>
      </c>
      <c r="B2667" s="3">
        <v>26.0</v>
      </c>
      <c r="C2667" s="3">
        <v>5.0</v>
      </c>
      <c r="D2667" t="str">
        <f>VLOOKUP(B2667,ERA_MOTIF_TYPES.csv!$A$1:$C$119,2,1)</f>
        <v>Parallel</v>
      </c>
      <c r="E2667" t="str">
        <f>VLOOKUP(A2667,Panels!$A$1:$E$2104,5,0)</f>
        <v>Barningham Moor</v>
      </c>
    </row>
    <row r="2668">
      <c r="A2668" s="3">
        <v>929.0</v>
      </c>
      <c r="B2668" s="3">
        <v>18.0</v>
      </c>
      <c r="C2668" s="3">
        <v>1.0</v>
      </c>
      <c r="D2668" t="str">
        <f>VLOOKUP(B2668,ERA_MOTIF_TYPES.csv!$A$1:$C$119,2,1)</f>
        <v>Multi Arc + cup</v>
      </c>
      <c r="E2668" t="str">
        <f>VLOOKUP(A2668,Panels!$A$1:$E$2104,5,0)</f>
        <v>Barningham Moor</v>
      </c>
    </row>
    <row r="2669">
      <c r="A2669" s="3">
        <v>930.0</v>
      </c>
      <c r="B2669" s="3">
        <v>1.0</v>
      </c>
      <c r="C2669" s="3">
        <v>35.0</v>
      </c>
      <c r="D2669" t="str">
        <f>VLOOKUP(B2669,ERA_MOTIF_TYPES.csv!$A$1:$C$119,2,1)</f>
        <v>Cups Single</v>
      </c>
      <c r="E2669" t="str">
        <f>VLOOKUP(A2669,Panels!$A$1:$E$2104,5,0)</f>
        <v>Lartington, The Rigg</v>
      </c>
    </row>
    <row r="2670">
      <c r="A2670" s="3">
        <v>930.0</v>
      </c>
      <c r="B2670" s="3">
        <v>31.0</v>
      </c>
      <c r="C2670" s="3">
        <v>2.0</v>
      </c>
      <c r="D2670" t="str">
        <f>VLOOKUP(B2670,ERA_MOTIF_TYPES.csv!$A$1:$C$119,2,1)</f>
        <v>Cup and Groove</v>
      </c>
      <c r="E2670" t="str">
        <f>VLOOKUP(A2670,Panels!$A$1:$E$2104,5,0)</f>
        <v>Lartington, The Rigg</v>
      </c>
    </row>
    <row r="2671">
      <c r="A2671" s="3">
        <v>931.0</v>
      </c>
      <c r="B2671" s="3">
        <v>1.0</v>
      </c>
      <c r="C2671" s="3">
        <v>1.0</v>
      </c>
      <c r="D2671" t="str">
        <f>VLOOKUP(B2671,ERA_MOTIF_TYPES.csv!$A$1:$C$119,2,1)</f>
        <v>Cups Single</v>
      </c>
      <c r="E2671" t="str">
        <f>VLOOKUP(A2671,Panels!$A$1:$E$2104,5,0)</f>
        <v>Lartington, The Rigg</v>
      </c>
    </row>
    <row r="2672">
      <c r="A2672" s="3">
        <v>932.0</v>
      </c>
      <c r="B2672" s="3">
        <v>1.0</v>
      </c>
      <c r="C2672" s="3">
        <v>5.0</v>
      </c>
      <c r="D2672" t="str">
        <f>VLOOKUP(B2672,ERA_MOTIF_TYPES.csv!$A$1:$C$119,2,1)</f>
        <v>Cups Single</v>
      </c>
      <c r="E2672" t="str">
        <f>VLOOKUP(A2672,Panels!$A$1:$E$2104,5,0)</f>
        <v>Lartington, The Rigg</v>
      </c>
    </row>
    <row r="2673">
      <c r="A2673" s="3">
        <v>933.0</v>
      </c>
      <c r="B2673" s="3">
        <v>1.0</v>
      </c>
      <c r="C2673" s="3">
        <v>1.0</v>
      </c>
      <c r="D2673" t="str">
        <f>VLOOKUP(B2673,ERA_MOTIF_TYPES.csv!$A$1:$C$119,2,1)</f>
        <v>Cups Single</v>
      </c>
      <c r="E2673" t="str">
        <f>VLOOKUP(A2673,Panels!$A$1:$E$2104,5,0)</f>
        <v>Lartington, The Rigg</v>
      </c>
    </row>
    <row r="2674">
      <c r="A2674" s="3">
        <v>934.0</v>
      </c>
      <c r="B2674" s="3">
        <v>1.0</v>
      </c>
      <c r="C2674" s="3">
        <v>3.0</v>
      </c>
      <c r="D2674" t="str">
        <f>VLOOKUP(B2674,ERA_MOTIF_TYPES.csv!$A$1:$C$119,2,1)</f>
        <v>Cups Single</v>
      </c>
      <c r="E2674" t="str">
        <f>VLOOKUP(A2674,Panels!$A$1:$E$2104,5,0)</f>
        <v>Lartington, The Rigg</v>
      </c>
    </row>
    <row r="2675">
      <c r="A2675" s="3">
        <v>935.0</v>
      </c>
      <c r="B2675" s="3">
        <v>1.0</v>
      </c>
      <c r="C2675" s="3">
        <v>5.0</v>
      </c>
      <c r="D2675" t="str">
        <f>VLOOKUP(B2675,ERA_MOTIF_TYPES.csv!$A$1:$C$119,2,1)</f>
        <v>Cups Single</v>
      </c>
      <c r="E2675" t="str">
        <f>VLOOKUP(A2675,Panels!$A$1:$E$2104,5,0)</f>
        <v>Lartington, The Rigg</v>
      </c>
    </row>
    <row r="2676">
      <c r="A2676" s="3">
        <v>935.0</v>
      </c>
      <c r="B2676" s="3">
        <v>31.0</v>
      </c>
      <c r="C2676" s="3">
        <v>2.0</v>
      </c>
      <c r="D2676" t="str">
        <f>VLOOKUP(B2676,ERA_MOTIF_TYPES.csv!$A$1:$C$119,2,1)</f>
        <v>Cup and Groove</v>
      </c>
      <c r="E2676" t="str">
        <f>VLOOKUP(A2676,Panels!$A$1:$E$2104,5,0)</f>
        <v>Lartington, The Rigg</v>
      </c>
    </row>
    <row r="2677">
      <c r="A2677" s="3">
        <v>936.0</v>
      </c>
      <c r="B2677" s="3">
        <v>1.0</v>
      </c>
      <c r="C2677" s="3">
        <v>4.0</v>
      </c>
      <c r="D2677" t="str">
        <f>VLOOKUP(B2677,ERA_MOTIF_TYPES.csv!$A$1:$C$119,2,1)</f>
        <v>Cups Single</v>
      </c>
      <c r="E2677" t="str">
        <f>VLOOKUP(A2677,Panels!$A$1:$E$2104,5,0)</f>
        <v>Lartington, The Rigg</v>
      </c>
    </row>
    <row r="2678">
      <c r="A2678" s="3">
        <v>936.0</v>
      </c>
      <c r="B2678" s="3">
        <v>31.0</v>
      </c>
      <c r="C2678" s="3">
        <v>1.0</v>
      </c>
      <c r="D2678" t="str">
        <f>VLOOKUP(B2678,ERA_MOTIF_TYPES.csv!$A$1:$C$119,2,1)</f>
        <v>Cup and Groove</v>
      </c>
      <c r="E2678" t="str">
        <f>VLOOKUP(A2678,Panels!$A$1:$E$2104,5,0)</f>
        <v>Lartington, The Rigg</v>
      </c>
    </row>
    <row r="2679">
      <c r="A2679" s="3">
        <v>936.0</v>
      </c>
      <c r="B2679" s="3">
        <v>32.0</v>
      </c>
      <c r="C2679" s="3">
        <v>1.0</v>
      </c>
      <c r="D2679" t="str">
        <f>VLOOKUP(B2679,ERA_MOTIF_TYPES.csv!$A$1:$C$119,2,1)</f>
        <v>Cup Groove and single ring</v>
      </c>
      <c r="E2679" t="str">
        <f>VLOOKUP(A2679,Panels!$A$1:$E$2104,5,0)</f>
        <v>Lartington, The Rigg</v>
      </c>
    </row>
    <row r="2680">
      <c r="A2680" s="3">
        <v>936.0</v>
      </c>
      <c r="B2680" s="3">
        <v>51.0</v>
      </c>
      <c r="C2680" s="3">
        <v>1.0</v>
      </c>
      <c r="D2680" t="str">
        <f>VLOOKUP(B2680,ERA_MOTIF_TYPES.csv!$A$1:$C$119,2,1)</f>
        <v>Bowls</v>
      </c>
      <c r="E2680" t="str">
        <f>VLOOKUP(A2680,Panels!$A$1:$E$2104,5,0)</f>
        <v>Lartington, The Rigg</v>
      </c>
    </row>
    <row r="2681">
      <c r="A2681" s="3">
        <v>937.0</v>
      </c>
      <c r="B2681" s="3">
        <v>1.0</v>
      </c>
      <c r="C2681" s="3">
        <v>7.0</v>
      </c>
      <c r="D2681" t="str">
        <f>VLOOKUP(B2681,ERA_MOTIF_TYPES.csv!$A$1:$C$119,2,1)</f>
        <v>Cups Single</v>
      </c>
      <c r="E2681" t="str">
        <f>VLOOKUP(A2681,Panels!$A$1:$E$2104,5,0)</f>
        <v>Lartington, The Rigg</v>
      </c>
    </row>
    <row r="2682">
      <c r="A2682" s="3">
        <v>937.0</v>
      </c>
      <c r="B2682" s="3">
        <v>25.0</v>
      </c>
      <c r="C2682" s="3">
        <v>2.0</v>
      </c>
      <c r="D2682" t="str">
        <f>VLOOKUP(B2682,ERA_MOTIF_TYPES.csv!$A$1:$C$119,2,1)</f>
        <v>Linear</v>
      </c>
      <c r="E2682" t="str">
        <f>VLOOKUP(A2682,Panels!$A$1:$E$2104,5,0)</f>
        <v>Lartington, The Rigg</v>
      </c>
    </row>
    <row r="2683">
      <c r="A2683" s="3">
        <v>937.0</v>
      </c>
      <c r="B2683" s="3">
        <v>31.0</v>
      </c>
      <c r="C2683" s="3">
        <v>2.0</v>
      </c>
      <c r="D2683" t="str">
        <f>VLOOKUP(B2683,ERA_MOTIF_TYPES.csv!$A$1:$C$119,2,1)</f>
        <v>Cup and Groove</v>
      </c>
      <c r="E2683" t="str">
        <f>VLOOKUP(A2683,Panels!$A$1:$E$2104,5,0)</f>
        <v>Lartington, The Rigg</v>
      </c>
    </row>
    <row r="2684">
      <c r="A2684" s="3">
        <v>938.0</v>
      </c>
      <c r="B2684" s="3">
        <v>1.0</v>
      </c>
      <c r="C2684" s="3">
        <v>4.0</v>
      </c>
      <c r="D2684" t="str">
        <f>VLOOKUP(B2684,ERA_MOTIF_TYPES.csv!$A$1:$C$119,2,1)</f>
        <v>Cups Single</v>
      </c>
      <c r="E2684" t="str">
        <f>VLOOKUP(A2684,Panels!$A$1:$E$2104,5,0)</f>
        <v>Lartington, The Rigg</v>
      </c>
    </row>
    <row r="2685">
      <c r="A2685" s="3">
        <v>939.0</v>
      </c>
      <c r="B2685" s="3">
        <v>25.0</v>
      </c>
      <c r="C2685" s="3">
        <v>1.0</v>
      </c>
      <c r="D2685" t="str">
        <f>VLOOKUP(B2685,ERA_MOTIF_TYPES.csv!$A$1:$C$119,2,1)</f>
        <v>Linear</v>
      </c>
      <c r="E2685" t="str">
        <f>VLOOKUP(A2685,Panels!$A$1:$E$2104,5,0)</f>
        <v>Lartington, The Rigg</v>
      </c>
    </row>
    <row r="2686">
      <c r="A2686" s="3">
        <v>940.0</v>
      </c>
      <c r="B2686" s="3">
        <v>1.0</v>
      </c>
      <c r="C2686" s="3">
        <v>1.0</v>
      </c>
      <c r="D2686" t="str">
        <f>VLOOKUP(B2686,ERA_MOTIF_TYPES.csv!$A$1:$C$119,2,1)</f>
        <v>Cups Single</v>
      </c>
      <c r="E2686" t="str">
        <f>VLOOKUP(A2686,Panels!$A$1:$E$2104,5,0)</f>
        <v>Lartington, The Rigg</v>
      </c>
    </row>
    <row r="2687">
      <c r="A2687" s="3">
        <v>940.0</v>
      </c>
      <c r="B2687" s="3">
        <v>7.0</v>
      </c>
      <c r="C2687" s="3">
        <v>1.0</v>
      </c>
      <c r="D2687" t="str">
        <f>VLOOKUP(B2687,ERA_MOTIF_TYPES.csv!$A$1:$C$119,2,1)</f>
        <v>Single Ring</v>
      </c>
      <c r="E2687" t="str">
        <f>VLOOKUP(A2687,Panels!$A$1:$E$2104,5,0)</f>
        <v>Lartington, The Rigg</v>
      </c>
    </row>
    <row r="2688">
      <c r="A2688" s="3">
        <v>940.0</v>
      </c>
      <c r="B2688" s="3">
        <v>31.0</v>
      </c>
      <c r="C2688" s="3">
        <v>1.0</v>
      </c>
      <c r="D2688" t="str">
        <f>VLOOKUP(B2688,ERA_MOTIF_TYPES.csv!$A$1:$C$119,2,1)</f>
        <v>Cup and Groove</v>
      </c>
      <c r="E2688" t="str">
        <f>VLOOKUP(A2688,Panels!$A$1:$E$2104,5,0)</f>
        <v>Lartington, The Rigg</v>
      </c>
    </row>
    <row r="2689">
      <c r="A2689" s="3">
        <v>941.0</v>
      </c>
      <c r="B2689" s="3">
        <v>31.0</v>
      </c>
      <c r="C2689" s="3">
        <v>1.0</v>
      </c>
      <c r="D2689" t="str">
        <f>VLOOKUP(B2689,ERA_MOTIF_TYPES.csv!$A$1:$C$119,2,1)</f>
        <v>Cup and Groove</v>
      </c>
      <c r="E2689" t="str">
        <f>VLOOKUP(A2689,Panels!$A$1:$E$2104,5,0)</f>
        <v>Lartington, The Rigg</v>
      </c>
    </row>
    <row r="2690">
      <c r="A2690" s="3">
        <v>942.0</v>
      </c>
      <c r="B2690" s="3">
        <v>25.0</v>
      </c>
      <c r="C2690" s="3">
        <v>2.0</v>
      </c>
      <c r="D2690" t="str">
        <f>VLOOKUP(B2690,ERA_MOTIF_TYPES.csv!$A$1:$C$119,2,1)</f>
        <v>Linear</v>
      </c>
      <c r="E2690" t="str">
        <f>VLOOKUP(A2690,Panels!$A$1:$E$2104,5,0)</f>
        <v>Lartington, The Rigg</v>
      </c>
    </row>
    <row r="2691">
      <c r="A2691" s="3">
        <v>942.0</v>
      </c>
      <c r="B2691" s="3">
        <v>51.0</v>
      </c>
      <c r="C2691" s="3">
        <v>1.0</v>
      </c>
      <c r="D2691" t="str">
        <f>VLOOKUP(B2691,ERA_MOTIF_TYPES.csv!$A$1:$C$119,2,1)</f>
        <v>Bowls</v>
      </c>
      <c r="E2691" t="str">
        <f>VLOOKUP(A2691,Panels!$A$1:$E$2104,5,0)</f>
        <v>Lartington, The Rigg</v>
      </c>
    </row>
    <row r="2692">
      <c r="A2692" s="3">
        <v>943.0</v>
      </c>
      <c r="B2692" s="3">
        <v>1.0</v>
      </c>
      <c r="C2692" s="3">
        <v>5.0</v>
      </c>
      <c r="D2692" t="str">
        <f>VLOOKUP(B2692,ERA_MOTIF_TYPES.csv!$A$1:$C$119,2,1)</f>
        <v>Cups Single</v>
      </c>
      <c r="E2692" t="str">
        <f>VLOOKUP(A2692,Panels!$A$1:$E$2104,5,0)</f>
        <v>Lartington, The Rigg</v>
      </c>
    </row>
    <row r="2693">
      <c r="A2693" s="3">
        <v>943.0</v>
      </c>
      <c r="B2693" s="3">
        <v>7.0</v>
      </c>
      <c r="C2693" s="3">
        <v>1.0</v>
      </c>
      <c r="D2693" t="str">
        <f>VLOOKUP(B2693,ERA_MOTIF_TYPES.csv!$A$1:$C$119,2,1)</f>
        <v>Single Ring</v>
      </c>
      <c r="E2693" t="str">
        <f>VLOOKUP(A2693,Panels!$A$1:$E$2104,5,0)</f>
        <v>Lartington, The Rigg</v>
      </c>
    </row>
    <row r="2694">
      <c r="A2694" s="3">
        <v>944.0</v>
      </c>
      <c r="B2694" s="3">
        <v>1.0</v>
      </c>
      <c r="C2694" s="3">
        <v>3.0</v>
      </c>
      <c r="D2694" t="str">
        <f>VLOOKUP(B2694,ERA_MOTIF_TYPES.csv!$A$1:$C$119,2,1)</f>
        <v>Cups Single</v>
      </c>
      <c r="E2694" t="str">
        <f>VLOOKUP(A2694,Panels!$A$1:$E$2104,5,0)</f>
        <v>Lartington, The Rigg</v>
      </c>
    </row>
    <row r="2695">
      <c r="A2695" s="3">
        <v>944.0</v>
      </c>
      <c r="B2695" s="3">
        <v>31.0</v>
      </c>
      <c r="C2695" s="3">
        <v>1.0</v>
      </c>
      <c r="D2695" t="str">
        <f>VLOOKUP(B2695,ERA_MOTIF_TYPES.csv!$A$1:$C$119,2,1)</f>
        <v>Cup and Groove</v>
      </c>
      <c r="E2695" t="str">
        <f>VLOOKUP(A2695,Panels!$A$1:$E$2104,5,0)</f>
        <v>Lartington, The Rigg</v>
      </c>
    </row>
    <row r="2696">
      <c r="A2696" s="3">
        <v>945.0</v>
      </c>
      <c r="B2696" s="3">
        <v>1.0</v>
      </c>
      <c r="C2696" s="3">
        <v>1.0</v>
      </c>
      <c r="D2696" t="str">
        <f>VLOOKUP(B2696,ERA_MOTIF_TYPES.csv!$A$1:$C$119,2,1)</f>
        <v>Cups Single</v>
      </c>
      <c r="E2696" t="str">
        <f>VLOOKUP(A2696,Panels!$A$1:$E$2104,5,0)</f>
        <v>Low Crag Farm</v>
      </c>
    </row>
    <row r="2697">
      <c r="A2697" s="3">
        <v>946.0</v>
      </c>
      <c r="B2697" s="3">
        <v>1.0</v>
      </c>
      <c r="C2697" s="3">
        <v>1.0</v>
      </c>
      <c r="D2697" t="str">
        <f>VLOOKUP(B2697,ERA_MOTIF_TYPES.csv!$A$1:$C$119,2,1)</f>
        <v>Cups Single</v>
      </c>
      <c r="E2697" t="str">
        <f>VLOOKUP(A2697,Panels!$A$1:$E$2104,5,0)</f>
        <v>Low Crag Farm</v>
      </c>
    </row>
    <row r="2698">
      <c r="A2698" s="3">
        <v>947.0</v>
      </c>
      <c r="B2698" s="3">
        <v>1.0</v>
      </c>
      <c r="C2698" s="3">
        <v>1.0</v>
      </c>
      <c r="D2698" t="str">
        <f>VLOOKUP(B2698,ERA_MOTIF_TYPES.csv!$A$1:$C$119,2,1)</f>
        <v>Cups Single</v>
      </c>
      <c r="E2698" t="str">
        <f>VLOOKUP(A2698,Panels!$A$1:$E$2104,5,0)</f>
        <v>Low Crag Farm</v>
      </c>
    </row>
    <row r="2699">
      <c r="A2699" s="3">
        <v>948.0</v>
      </c>
      <c r="B2699" s="3">
        <v>1.0</v>
      </c>
      <c r="C2699" s="3">
        <v>3.0</v>
      </c>
      <c r="D2699" t="str">
        <f>VLOOKUP(B2699,ERA_MOTIF_TYPES.csv!$A$1:$C$119,2,1)</f>
        <v>Cups Single</v>
      </c>
      <c r="E2699" t="str">
        <f>VLOOKUP(A2699,Panels!$A$1:$E$2104,5,0)</f>
        <v>Low Crag Farm</v>
      </c>
    </row>
    <row r="2700">
      <c r="A2700" s="3">
        <v>949.0</v>
      </c>
      <c r="B2700" s="3">
        <v>1.0</v>
      </c>
      <c r="C2700" s="3">
        <v>1.0</v>
      </c>
      <c r="D2700" t="str">
        <f>VLOOKUP(B2700,ERA_MOTIF_TYPES.csv!$A$1:$C$119,2,1)</f>
        <v>Cups Single</v>
      </c>
      <c r="E2700" t="str">
        <f>VLOOKUP(A2700,Panels!$A$1:$E$2104,5,0)</f>
        <v>Low Crag Farm</v>
      </c>
    </row>
    <row r="2701">
      <c r="A2701" s="3">
        <v>950.0</v>
      </c>
      <c r="B2701" s="3">
        <v>1.0</v>
      </c>
      <c r="C2701" s="3">
        <v>70.0</v>
      </c>
      <c r="D2701" t="str">
        <f>VLOOKUP(B2701,ERA_MOTIF_TYPES.csv!$A$1:$C$119,2,1)</f>
        <v>Cups Single</v>
      </c>
      <c r="E2701" t="str">
        <f>VLOOKUP(A2701,Panels!$A$1:$E$2104,5,0)</f>
        <v>Scargill Low Moor</v>
      </c>
    </row>
    <row r="2702">
      <c r="A2702" s="3">
        <v>950.0</v>
      </c>
      <c r="B2702" s="3">
        <v>31.0</v>
      </c>
      <c r="C2702" s="3">
        <v>1.0</v>
      </c>
      <c r="D2702" t="str">
        <f>VLOOKUP(B2702,ERA_MOTIF_TYPES.csv!$A$1:$C$119,2,1)</f>
        <v>Cup and Groove</v>
      </c>
      <c r="E2702" t="str">
        <f>VLOOKUP(A2702,Panels!$A$1:$E$2104,5,0)</f>
        <v>Scargill Low Moor</v>
      </c>
    </row>
    <row r="2703">
      <c r="A2703" s="3">
        <v>951.0</v>
      </c>
      <c r="B2703" s="3">
        <v>2.0</v>
      </c>
      <c r="C2703" s="3">
        <v>1.0</v>
      </c>
      <c r="D2703" t="str">
        <f>VLOOKUP(B2703,ERA_MOTIF_TYPES.csv!$A$1:$C$119,2,1)</f>
        <v>Random Cluster</v>
      </c>
      <c r="E2703" t="str">
        <f>VLOOKUP(A2703,Panels!$A$1:$E$2104,5,0)</f>
        <v>Scargill Low Moor</v>
      </c>
    </row>
    <row r="2704">
      <c r="A2704" s="3">
        <v>951.0</v>
      </c>
      <c r="B2704" s="3">
        <v>32.0</v>
      </c>
      <c r="C2704" s="3">
        <v>1.0</v>
      </c>
      <c r="D2704" t="str">
        <f>VLOOKUP(B2704,ERA_MOTIF_TYPES.csv!$A$1:$C$119,2,1)</f>
        <v>Cup Groove and single ring</v>
      </c>
      <c r="E2704" t="str">
        <f>VLOOKUP(A2704,Panels!$A$1:$E$2104,5,0)</f>
        <v>Scargill Low Moor</v>
      </c>
    </row>
    <row r="2705">
      <c r="A2705" s="3">
        <v>952.0</v>
      </c>
      <c r="B2705" s="3">
        <v>1.0</v>
      </c>
      <c r="C2705" s="3">
        <v>3.0</v>
      </c>
      <c r="D2705" t="str">
        <f>VLOOKUP(B2705,ERA_MOTIF_TYPES.csv!$A$1:$C$119,2,1)</f>
        <v>Cups Single</v>
      </c>
      <c r="E2705" t="str">
        <f>VLOOKUP(A2705,Panels!$A$1:$E$2104,5,0)</f>
        <v>Scargill Low Moor</v>
      </c>
    </row>
    <row r="2706">
      <c r="A2706" s="3">
        <v>952.0</v>
      </c>
      <c r="B2706" s="3">
        <v>4.0</v>
      </c>
      <c r="C2706" s="3">
        <v>1.0</v>
      </c>
      <c r="D2706" t="str">
        <f>VLOOKUP(B2706,ERA_MOTIF_TYPES.csv!$A$1:$C$119,2,1)</f>
        <v>Counter-sunk</v>
      </c>
      <c r="E2706" t="str">
        <f>VLOOKUP(A2706,Panels!$A$1:$E$2104,5,0)</f>
        <v>Scargill Low Moor</v>
      </c>
    </row>
    <row r="2707">
      <c r="A2707" s="3">
        <v>952.0</v>
      </c>
      <c r="B2707" s="3">
        <v>13.0</v>
      </c>
      <c r="C2707" s="3">
        <v>1.0</v>
      </c>
      <c r="D2707" t="str">
        <f>VLOOKUP(B2707,ERA_MOTIF_TYPES.csv!$A$1:$C$119,2,1)</f>
        <v>Single Ring + cup</v>
      </c>
      <c r="E2707" t="str">
        <f>VLOOKUP(A2707,Panels!$A$1:$E$2104,5,0)</f>
        <v>Scargill Low Moor</v>
      </c>
    </row>
    <row r="2708">
      <c r="A2708" s="3">
        <v>952.0</v>
      </c>
      <c r="B2708" s="3">
        <v>25.0</v>
      </c>
      <c r="C2708" s="3">
        <v>1.0</v>
      </c>
      <c r="D2708" t="str">
        <f>VLOOKUP(B2708,ERA_MOTIF_TYPES.csv!$A$1:$C$119,2,1)</f>
        <v>Linear</v>
      </c>
      <c r="E2708" t="str">
        <f>VLOOKUP(A2708,Panels!$A$1:$E$2104,5,0)</f>
        <v>Scargill Low Moor</v>
      </c>
    </row>
    <row r="2709">
      <c r="A2709" s="3">
        <v>952.0</v>
      </c>
      <c r="B2709" s="3">
        <v>31.0</v>
      </c>
      <c r="C2709" s="3">
        <v>1.0</v>
      </c>
      <c r="D2709" t="str">
        <f>VLOOKUP(B2709,ERA_MOTIF_TYPES.csv!$A$1:$C$119,2,1)</f>
        <v>Cup and Groove</v>
      </c>
      <c r="E2709" t="str">
        <f>VLOOKUP(A2709,Panels!$A$1:$E$2104,5,0)</f>
        <v>Scargill Low Moor</v>
      </c>
    </row>
    <row r="2710">
      <c r="A2710" s="3">
        <v>952.0</v>
      </c>
      <c r="B2710" s="3">
        <v>34.0</v>
      </c>
      <c r="C2710" s="3">
        <v>1.0</v>
      </c>
      <c r="D2710" t="str">
        <f>VLOOKUP(B2710,ERA_MOTIF_TYPES.csv!$A$1:$C$119,2,1)</f>
        <v>Cup Groove and penannular</v>
      </c>
      <c r="E2710" t="str">
        <f>VLOOKUP(A2710,Panels!$A$1:$E$2104,5,0)</f>
        <v>Scargill Low Moor</v>
      </c>
    </row>
    <row r="2711">
      <c r="A2711" s="3">
        <v>953.0</v>
      </c>
      <c r="B2711" s="3">
        <v>1.0</v>
      </c>
      <c r="C2711" s="3">
        <v>5.0</v>
      </c>
      <c r="D2711" t="str">
        <f>VLOOKUP(B2711,ERA_MOTIF_TYPES.csv!$A$1:$C$119,2,1)</f>
        <v>Cups Single</v>
      </c>
      <c r="E2711" t="str">
        <f>VLOOKUP(A2711,Panels!$A$1:$E$2104,5,0)</f>
        <v>Scargill Low Moor</v>
      </c>
    </row>
    <row r="2712">
      <c r="A2712" s="3">
        <v>954.0</v>
      </c>
      <c r="B2712" s="3">
        <v>1.0</v>
      </c>
      <c r="C2712" s="3">
        <v>65.0</v>
      </c>
      <c r="D2712" t="str">
        <f>VLOOKUP(B2712,ERA_MOTIF_TYPES.csv!$A$1:$C$119,2,1)</f>
        <v>Cups Single</v>
      </c>
      <c r="E2712" t="str">
        <f>VLOOKUP(A2712,Panels!$A$1:$E$2104,5,0)</f>
        <v>Scargill Low Moor</v>
      </c>
    </row>
    <row r="2713">
      <c r="A2713" s="3">
        <v>954.0</v>
      </c>
      <c r="B2713" s="3">
        <v>25.0</v>
      </c>
      <c r="C2713" s="3">
        <v>2.0</v>
      </c>
      <c r="D2713" t="str">
        <f>VLOOKUP(B2713,ERA_MOTIF_TYPES.csv!$A$1:$C$119,2,1)</f>
        <v>Linear</v>
      </c>
      <c r="E2713" t="str">
        <f>VLOOKUP(A2713,Panels!$A$1:$E$2104,5,0)</f>
        <v>Scargill Low Moor</v>
      </c>
    </row>
    <row r="2714">
      <c r="A2714" s="3">
        <v>955.0</v>
      </c>
      <c r="B2714" s="3">
        <v>1.0</v>
      </c>
      <c r="C2714" s="3">
        <v>2.0</v>
      </c>
      <c r="D2714" t="str">
        <f>VLOOKUP(B2714,ERA_MOTIF_TYPES.csv!$A$1:$C$119,2,1)</f>
        <v>Cups Single</v>
      </c>
      <c r="E2714" t="str">
        <f>VLOOKUP(A2714,Panels!$A$1:$E$2104,5,0)</f>
        <v>Scargill Low Moor</v>
      </c>
    </row>
    <row r="2715">
      <c r="A2715" s="3">
        <v>956.0</v>
      </c>
      <c r="B2715" s="3">
        <v>1.0</v>
      </c>
      <c r="C2715" s="3">
        <v>7.0</v>
      </c>
      <c r="D2715" t="str">
        <f>VLOOKUP(B2715,ERA_MOTIF_TYPES.csv!$A$1:$C$119,2,1)</f>
        <v>Cups Single</v>
      </c>
      <c r="E2715" t="str">
        <f>VLOOKUP(A2715,Panels!$A$1:$E$2104,5,0)</f>
        <v>Scargill Low Moor</v>
      </c>
    </row>
    <row r="2716">
      <c r="A2716" s="3">
        <v>957.0</v>
      </c>
      <c r="B2716" s="3">
        <v>1.0</v>
      </c>
      <c r="C2716" s="3">
        <v>1.0</v>
      </c>
      <c r="D2716" t="str">
        <f>VLOOKUP(B2716,ERA_MOTIF_TYPES.csv!$A$1:$C$119,2,1)</f>
        <v>Cups Single</v>
      </c>
      <c r="E2716" t="str">
        <f>VLOOKUP(A2716,Panels!$A$1:$E$2104,5,0)</f>
        <v>Low Crag Farm</v>
      </c>
    </row>
    <row r="2717">
      <c r="A2717" s="3">
        <v>958.0</v>
      </c>
      <c r="B2717" s="3">
        <v>1.0</v>
      </c>
      <c r="C2717" s="3">
        <v>1.0</v>
      </c>
      <c r="D2717" t="str">
        <f>VLOOKUP(B2717,ERA_MOTIF_TYPES.csv!$A$1:$C$119,2,1)</f>
        <v>Cups Single</v>
      </c>
      <c r="E2717" t="str">
        <f>VLOOKUP(A2717,Panels!$A$1:$E$2104,5,0)</f>
        <v>High Crag</v>
      </c>
    </row>
    <row r="2718">
      <c r="A2718" s="3">
        <v>959.0</v>
      </c>
      <c r="B2718" s="3">
        <v>1.0</v>
      </c>
      <c r="C2718" s="3">
        <v>1.0</v>
      </c>
      <c r="D2718" t="str">
        <f>VLOOKUP(B2718,ERA_MOTIF_TYPES.csv!$A$1:$C$119,2,1)</f>
        <v>Cups Single</v>
      </c>
      <c r="E2718" t="str">
        <f>VLOOKUP(A2718,Panels!$A$1:$E$2104,5,0)</f>
        <v>High Crag</v>
      </c>
    </row>
    <row r="2719">
      <c r="A2719" s="3">
        <v>960.0</v>
      </c>
      <c r="B2719" s="3">
        <v>1.0</v>
      </c>
      <c r="C2719" s="3">
        <v>16.0</v>
      </c>
      <c r="D2719" t="str">
        <f>VLOOKUP(B2719,ERA_MOTIF_TYPES.csv!$A$1:$C$119,2,1)</f>
        <v>Cups Single</v>
      </c>
      <c r="E2719" t="str">
        <f>VLOOKUP(A2719,Panels!$A$1:$E$2104,5,0)</f>
        <v>Barningham Moor</v>
      </c>
    </row>
    <row r="2720">
      <c r="A2720" s="3">
        <v>961.0</v>
      </c>
      <c r="B2720" s="3">
        <v>1.0</v>
      </c>
      <c r="C2720" s="3">
        <v>3.0</v>
      </c>
      <c r="D2720" t="str">
        <f>VLOOKUP(B2720,ERA_MOTIF_TYPES.csv!$A$1:$C$119,2,1)</f>
        <v>Cups Single</v>
      </c>
      <c r="E2720" t="str">
        <f>VLOOKUP(A2720,Panels!$A$1:$E$2104,5,0)</f>
        <v>Barningham Moor</v>
      </c>
    </row>
    <row r="2721">
      <c r="A2721" s="3">
        <v>962.0</v>
      </c>
      <c r="B2721" s="3">
        <v>1.0</v>
      </c>
      <c r="C2721" s="3">
        <v>1.0</v>
      </c>
      <c r="D2721" t="str">
        <f>VLOOKUP(B2721,ERA_MOTIF_TYPES.csv!$A$1:$C$119,2,1)</f>
        <v>Cups Single</v>
      </c>
      <c r="E2721" t="str">
        <f>VLOOKUP(A2721,Panels!$A$1:$E$2104,5,0)</f>
        <v>Barningham Moor</v>
      </c>
    </row>
    <row r="2722">
      <c r="A2722" s="3">
        <v>962.0</v>
      </c>
      <c r="B2722" s="3">
        <v>51.0</v>
      </c>
      <c r="C2722" s="3">
        <v>1.0</v>
      </c>
      <c r="D2722" t="str">
        <f>VLOOKUP(B2722,ERA_MOTIF_TYPES.csv!$A$1:$C$119,2,1)</f>
        <v>Bowls</v>
      </c>
      <c r="E2722" t="str">
        <f>VLOOKUP(A2722,Panels!$A$1:$E$2104,5,0)</f>
        <v>Barningham Moor</v>
      </c>
    </row>
    <row r="2723">
      <c r="A2723" s="3">
        <v>963.0</v>
      </c>
      <c r="B2723" s="3">
        <v>50.0</v>
      </c>
      <c r="C2723" s="3">
        <v>2.0</v>
      </c>
      <c r="D2723" t="str">
        <f>VLOOKUP(B2723,ERA_MOTIF_TYPES.csv!$A$1:$C$119,2,1)</f>
        <v>Channels</v>
      </c>
      <c r="E2723" t="str">
        <f>VLOOKUP(A2723,Panels!$A$1:$E$2104,5,0)</f>
        <v>Barningham Moor</v>
      </c>
    </row>
    <row r="2724">
      <c r="A2724" s="3">
        <v>964.0</v>
      </c>
      <c r="B2724" s="3">
        <v>1.0</v>
      </c>
      <c r="C2724" s="3">
        <v>6.0</v>
      </c>
      <c r="D2724" t="str">
        <f>VLOOKUP(B2724,ERA_MOTIF_TYPES.csv!$A$1:$C$119,2,1)</f>
        <v>Cups Single</v>
      </c>
      <c r="E2724" t="str">
        <f>VLOOKUP(A2724,Panels!$A$1:$E$2104,5,0)</f>
        <v>Barningham Moor</v>
      </c>
    </row>
    <row r="2725">
      <c r="A2725" s="3">
        <v>965.0</v>
      </c>
      <c r="B2725" s="3">
        <v>1.0</v>
      </c>
      <c r="C2725" s="3">
        <v>2.0</v>
      </c>
      <c r="D2725" t="str">
        <f>VLOOKUP(B2725,ERA_MOTIF_TYPES.csv!$A$1:$C$119,2,1)</f>
        <v>Cups Single</v>
      </c>
      <c r="E2725" t="str">
        <f>VLOOKUP(A2725,Panels!$A$1:$E$2104,5,0)</f>
        <v>Barningham Moor</v>
      </c>
    </row>
    <row r="2726">
      <c r="A2726" s="3">
        <v>965.0</v>
      </c>
      <c r="B2726" s="3">
        <v>50.0</v>
      </c>
      <c r="C2726" s="3">
        <v>1.0</v>
      </c>
      <c r="D2726" t="str">
        <f>VLOOKUP(B2726,ERA_MOTIF_TYPES.csv!$A$1:$C$119,2,1)</f>
        <v>Channels</v>
      </c>
      <c r="E2726" t="str">
        <f>VLOOKUP(A2726,Panels!$A$1:$E$2104,5,0)</f>
        <v>Barningham Moor</v>
      </c>
    </row>
    <row r="2727">
      <c r="A2727" s="3">
        <v>967.0</v>
      </c>
      <c r="B2727" s="3">
        <v>1.0</v>
      </c>
      <c r="C2727" s="3">
        <v>1.0</v>
      </c>
      <c r="D2727" t="str">
        <f>VLOOKUP(B2727,ERA_MOTIF_TYPES.csv!$A$1:$C$119,2,1)</f>
        <v>Cups Single</v>
      </c>
      <c r="E2727" t="str">
        <f>VLOOKUP(A2727,Panels!$A$1:$E$2104,5,0)</f>
        <v>Barningham Moor</v>
      </c>
    </row>
    <row r="2728">
      <c r="A2728" s="3">
        <v>968.0</v>
      </c>
      <c r="B2728" s="3">
        <v>1.0</v>
      </c>
      <c r="C2728" s="3">
        <v>7.0</v>
      </c>
      <c r="D2728" t="str">
        <f>VLOOKUP(B2728,ERA_MOTIF_TYPES.csv!$A$1:$C$119,2,1)</f>
        <v>Cups Single</v>
      </c>
      <c r="E2728" t="str">
        <f>VLOOKUP(A2728,Panels!$A$1:$E$2104,5,0)</f>
        <v>Thwaite Hall</v>
      </c>
    </row>
    <row r="2729">
      <c r="A2729" s="3">
        <v>971.0</v>
      </c>
      <c r="B2729" s="3">
        <v>1.0</v>
      </c>
      <c r="C2729" s="3">
        <v>12.0</v>
      </c>
      <c r="D2729" t="str">
        <f>VLOOKUP(B2729,ERA_MOTIF_TYPES.csv!$A$1:$C$119,2,1)</f>
        <v>Cups Single</v>
      </c>
      <c r="E2729" t="str">
        <f>VLOOKUP(A2729,Panels!$A$1:$E$2104,5,0)</f>
        <v>Thorsgill</v>
      </c>
    </row>
    <row r="2730">
      <c r="A2730" s="3">
        <v>971.0</v>
      </c>
      <c r="B2730" s="3">
        <v>13.0</v>
      </c>
      <c r="C2730" s="3">
        <v>1.0</v>
      </c>
      <c r="D2730" t="str">
        <f>VLOOKUP(B2730,ERA_MOTIF_TYPES.csv!$A$1:$C$119,2,1)</f>
        <v>Single Ring + cup</v>
      </c>
      <c r="E2730" t="str">
        <f>VLOOKUP(A2730,Panels!$A$1:$E$2104,5,0)</f>
        <v>Thorsgill</v>
      </c>
    </row>
    <row r="2731">
      <c r="A2731" s="3">
        <v>971.0</v>
      </c>
      <c r="B2731" s="3">
        <v>31.0</v>
      </c>
      <c r="C2731" s="3">
        <v>1.0</v>
      </c>
      <c r="D2731" t="str">
        <f>VLOOKUP(B2731,ERA_MOTIF_TYPES.csv!$A$1:$C$119,2,1)</f>
        <v>Cup and Groove</v>
      </c>
      <c r="E2731" t="str">
        <f>VLOOKUP(A2731,Panels!$A$1:$E$2104,5,0)</f>
        <v>Thorsgill</v>
      </c>
    </row>
    <row r="2732">
      <c r="A2732" s="3">
        <v>971.0</v>
      </c>
      <c r="B2732" s="3">
        <v>32.0</v>
      </c>
      <c r="C2732" s="3">
        <v>1.0</v>
      </c>
      <c r="D2732" t="str">
        <f>VLOOKUP(B2732,ERA_MOTIF_TYPES.csv!$A$1:$C$119,2,1)</f>
        <v>Cup Groove and single ring</v>
      </c>
      <c r="E2732" t="str">
        <f>VLOOKUP(A2732,Panels!$A$1:$E$2104,5,0)</f>
        <v>Thorsgill</v>
      </c>
    </row>
    <row r="2733">
      <c r="A2733" s="3">
        <v>975.0</v>
      </c>
      <c r="B2733" s="3">
        <v>1.0</v>
      </c>
      <c r="C2733" s="3">
        <v>8.0</v>
      </c>
      <c r="D2733" t="str">
        <f>VLOOKUP(B2733,ERA_MOTIF_TYPES.csv!$A$1:$C$119,2,1)</f>
        <v>Cups Single</v>
      </c>
      <c r="E2733" t="str">
        <f>VLOOKUP(A2733,Panels!$A$1:$E$2104,5,0)</f>
        <v>Brignall, Moor House Farm</v>
      </c>
    </row>
    <row r="2734">
      <c r="A2734" s="3">
        <v>975.0</v>
      </c>
      <c r="B2734" s="3">
        <v>25.0</v>
      </c>
      <c r="C2734" s="3">
        <v>7.0</v>
      </c>
      <c r="D2734" t="str">
        <f>VLOOKUP(B2734,ERA_MOTIF_TYPES.csv!$A$1:$C$119,2,1)</f>
        <v>Linear</v>
      </c>
      <c r="E2734" t="str">
        <f>VLOOKUP(A2734,Panels!$A$1:$E$2104,5,0)</f>
        <v>Brignall, Moor House Farm</v>
      </c>
    </row>
    <row r="2735">
      <c r="A2735" s="3">
        <v>976.0</v>
      </c>
      <c r="B2735" s="3">
        <v>1.0</v>
      </c>
      <c r="C2735" s="3">
        <v>3.0</v>
      </c>
      <c r="D2735" t="str">
        <f>VLOOKUP(B2735,ERA_MOTIF_TYPES.csv!$A$1:$C$119,2,1)</f>
        <v>Cups Single</v>
      </c>
      <c r="E2735" t="str">
        <f>VLOOKUP(A2735,Panels!$A$1:$E$2104,5,0)</f>
        <v>Hawkesley Hill</v>
      </c>
    </row>
    <row r="2736">
      <c r="A2736" s="3">
        <v>977.0</v>
      </c>
      <c r="B2736" s="3">
        <v>1.0</v>
      </c>
      <c r="C2736" s="3">
        <v>5.0</v>
      </c>
      <c r="D2736" t="str">
        <f>VLOOKUP(B2736,ERA_MOTIF_TYPES.csv!$A$1:$C$119,2,1)</f>
        <v>Cups Single</v>
      </c>
      <c r="E2736" t="str">
        <f>VLOOKUP(A2736,Panels!$A$1:$E$2104,5,0)</f>
        <v>Hawkesley Hill</v>
      </c>
    </row>
    <row r="2737">
      <c r="A2737" s="3">
        <v>980.0</v>
      </c>
      <c r="B2737" s="3">
        <v>1.0</v>
      </c>
      <c r="C2737" s="3">
        <v>5.0</v>
      </c>
      <c r="D2737" t="str">
        <f>VLOOKUP(B2737,ERA_MOTIF_TYPES.csv!$A$1:$C$119,2,1)</f>
        <v>Cups Single</v>
      </c>
      <c r="E2737" t="str">
        <f>VLOOKUP(A2737,Panels!$A$1:$E$2104,5,0)</f>
        <v>Crag Hill</v>
      </c>
    </row>
    <row r="2738">
      <c r="A2738" s="3">
        <v>981.0</v>
      </c>
      <c r="B2738" s="3">
        <v>1.0</v>
      </c>
      <c r="C2738" s="3">
        <v>5.0</v>
      </c>
      <c r="D2738" t="str">
        <f>VLOOKUP(B2738,ERA_MOTIF_TYPES.csv!$A$1:$C$119,2,1)</f>
        <v>Cups Single</v>
      </c>
      <c r="E2738" t="str">
        <f>VLOOKUP(A2738,Panels!$A$1:$E$2104,5,0)</f>
        <v>Barningham Moor</v>
      </c>
    </row>
    <row r="2739">
      <c r="A2739" s="3">
        <v>982.0</v>
      </c>
      <c r="B2739" s="3">
        <v>1.0</v>
      </c>
      <c r="C2739" s="3">
        <v>2.0</v>
      </c>
      <c r="D2739" t="str">
        <f>VLOOKUP(B2739,ERA_MOTIF_TYPES.csv!$A$1:$C$119,2,1)</f>
        <v>Cups Single</v>
      </c>
      <c r="E2739" t="str">
        <f>VLOOKUP(A2739,Panels!$A$1:$E$2104,5,0)</f>
        <v>Barningham Moor</v>
      </c>
    </row>
    <row r="2740">
      <c r="A2740" s="3">
        <v>982.0</v>
      </c>
      <c r="B2740" s="3">
        <v>25.0</v>
      </c>
      <c r="C2740" s="3">
        <v>1.0</v>
      </c>
      <c r="D2740" t="str">
        <f>VLOOKUP(B2740,ERA_MOTIF_TYPES.csv!$A$1:$C$119,2,1)</f>
        <v>Linear</v>
      </c>
      <c r="E2740" t="str">
        <f>VLOOKUP(A2740,Panels!$A$1:$E$2104,5,0)</f>
        <v>Barningham Moor</v>
      </c>
    </row>
    <row r="2741">
      <c r="A2741" s="3">
        <v>986.0</v>
      </c>
      <c r="B2741" s="3">
        <v>6.0</v>
      </c>
      <c r="C2741" s="3">
        <v>1.0</v>
      </c>
      <c r="D2741" t="str">
        <f>VLOOKUP(B2741,ERA_MOTIF_TYPES.csv!$A$1:$C$119,2,1)</f>
        <v>curved or straight line</v>
      </c>
      <c r="E2741" t="str">
        <f>VLOOKUP(A2741,Panels!$A$1:$E$2104,5,0)</f>
        <v>Knott Hill</v>
      </c>
    </row>
    <row r="2742">
      <c r="A2742" s="3">
        <v>1000.0</v>
      </c>
      <c r="B2742" s="3">
        <v>1.0</v>
      </c>
      <c r="C2742" s="3">
        <v>1.0</v>
      </c>
      <c r="D2742" t="str">
        <f>VLOOKUP(B2742,ERA_MOTIF_TYPES.csv!$A$1:$C$119,2,1)</f>
        <v>Cups Single</v>
      </c>
      <c r="E2742" t="str">
        <f>VLOOKUP(A2742,Panels!$A$1:$E$2104,5,0)</f>
        <v>Whinney Hill</v>
      </c>
    </row>
    <row r="2743">
      <c r="A2743" s="3">
        <v>1000.0</v>
      </c>
      <c r="B2743" s="3">
        <v>52.0</v>
      </c>
      <c r="C2743" s="3">
        <v>2.0</v>
      </c>
      <c r="D2743" t="str">
        <f>VLOOKUP(B2743,ERA_MOTIF_TYPES.csv!$A$1:$C$119,2,1)</f>
        <v>Single or multiple cups</v>
      </c>
      <c r="E2743" t="str">
        <f>VLOOKUP(A2743,Panels!$A$1:$E$2104,5,0)</f>
        <v>Whinney Hill</v>
      </c>
    </row>
    <row r="2744">
      <c r="A2744" s="3">
        <v>1001.0</v>
      </c>
      <c r="B2744" s="3">
        <v>52.0</v>
      </c>
      <c r="C2744" s="3">
        <v>1.0</v>
      </c>
      <c r="D2744" t="str">
        <f>VLOOKUP(B2744,ERA_MOTIF_TYPES.csv!$A$1:$C$119,2,1)</f>
        <v>Single or multiple cups</v>
      </c>
      <c r="E2744" t="str">
        <f>VLOOKUP(A2744,Panels!$A$1:$E$2104,5,0)</f>
        <v>Whinney Hill</v>
      </c>
    </row>
    <row r="2745">
      <c r="A2745" s="3">
        <v>1002.0</v>
      </c>
      <c r="B2745" s="3">
        <v>1.0</v>
      </c>
      <c r="C2745" s="3">
        <v>5.0</v>
      </c>
      <c r="D2745" t="str">
        <f>VLOOKUP(B2745,ERA_MOTIF_TYPES.csv!$A$1:$C$119,2,1)</f>
        <v>Cups Single</v>
      </c>
      <c r="E2745" t="str">
        <f>VLOOKUP(A2745,Panels!$A$1:$E$2104,5,0)</f>
        <v>Lamb's Knowe</v>
      </c>
    </row>
    <row r="2746">
      <c r="A2746" s="3">
        <v>1002.0</v>
      </c>
      <c r="B2746" s="3">
        <v>52.0</v>
      </c>
      <c r="C2746" s="3">
        <v>7.0</v>
      </c>
      <c r="D2746" t="str">
        <f>VLOOKUP(B2746,ERA_MOTIF_TYPES.csv!$A$1:$C$119,2,1)</f>
        <v>Single or multiple cups</v>
      </c>
      <c r="E2746" t="str">
        <f>VLOOKUP(A2746,Panels!$A$1:$E$2104,5,0)</f>
        <v>Lamb's Knowe</v>
      </c>
    </row>
    <row r="2747">
      <c r="A2747" s="3">
        <v>1003.0</v>
      </c>
      <c r="B2747" s="3">
        <v>52.0</v>
      </c>
      <c r="C2747" s="3">
        <v>1.0</v>
      </c>
      <c r="D2747" t="str">
        <f>VLOOKUP(B2747,ERA_MOTIF_TYPES.csv!$A$1:$C$119,2,1)</f>
        <v>Single or multiple cups</v>
      </c>
      <c r="E2747" t="str">
        <f>VLOOKUP(A2747,Panels!$A$1:$E$2104,5,0)</f>
        <v>Lamb's Knowe</v>
      </c>
    </row>
    <row r="2748">
      <c r="A2748" s="3">
        <v>1004.0</v>
      </c>
      <c r="B2748" s="3">
        <v>1.0</v>
      </c>
      <c r="C2748" s="3">
        <v>3.0</v>
      </c>
      <c r="D2748" t="str">
        <f>VLOOKUP(B2748,ERA_MOTIF_TYPES.csv!$A$1:$C$119,2,1)</f>
        <v>Cups Single</v>
      </c>
      <c r="E2748" t="str">
        <f>VLOOKUP(A2748,Panels!$A$1:$E$2104,5,0)</f>
        <v>Whinney Hill</v>
      </c>
    </row>
    <row r="2749">
      <c r="A2749" s="3">
        <v>1004.0</v>
      </c>
      <c r="B2749" s="3">
        <v>52.0</v>
      </c>
      <c r="C2749" s="3">
        <v>6.0</v>
      </c>
      <c r="D2749" t="str">
        <f>VLOOKUP(B2749,ERA_MOTIF_TYPES.csv!$A$1:$C$119,2,1)</f>
        <v>Single or multiple cups</v>
      </c>
      <c r="E2749" t="str">
        <f>VLOOKUP(A2749,Panels!$A$1:$E$2104,5,0)</f>
        <v>Whinney Hill</v>
      </c>
    </row>
    <row r="2750">
      <c r="A2750" s="3">
        <v>1005.0</v>
      </c>
      <c r="B2750" s="3">
        <v>1.0</v>
      </c>
      <c r="C2750" s="3">
        <v>2.0</v>
      </c>
      <c r="D2750" t="str">
        <f>VLOOKUP(B2750,ERA_MOTIF_TYPES.csv!$A$1:$C$119,2,1)</f>
        <v>Cups Single</v>
      </c>
      <c r="E2750" t="str">
        <f>VLOOKUP(A2750,Panels!$A$1:$E$2104,5,0)</f>
        <v>Whinney Hill</v>
      </c>
    </row>
    <row r="2751">
      <c r="A2751" s="3">
        <v>1005.0</v>
      </c>
      <c r="B2751" s="3">
        <v>52.0</v>
      </c>
      <c r="C2751" s="3">
        <v>6.0</v>
      </c>
      <c r="D2751" t="str">
        <f>VLOOKUP(B2751,ERA_MOTIF_TYPES.csv!$A$1:$C$119,2,1)</f>
        <v>Single or multiple cups</v>
      </c>
      <c r="E2751" t="str">
        <f>VLOOKUP(A2751,Panels!$A$1:$E$2104,5,0)</f>
        <v>Whinney Hill</v>
      </c>
    </row>
    <row r="2752">
      <c r="A2752" s="3">
        <v>1006.0</v>
      </c>
      <c r="B2752" s="3">
        <v>1.0</v>
      </c>
      <c r="C2752" s="3">
        <v>6.0</v>
      </c>
      <c r="D2752" t="str">
        <f>VLOOKUP(B2752,ERA_MOTIF_TYPES.csv!$A$1:$C$119,2,1)</f>
        <v>Cups Single</v>
      </c>
      <c r="E2752" t="str">
        <f>VLOOKUP(A2752,Panels!$A$1:$E$2104,5,0)</f>
        <v>Whinney Hill</v>
      </c>
    </row>
    <row r="2753">
      <c r="A2753" s="3">
        <v>1006.0</v>
      </c>
      <c r="B2753" s="3">
        <v>52.0</v>
      </c>
      <c r="C2753" s="3">
        <v>5.0</v>
      </c>
      <c r="D2753" t="str">
        <f>VLOOKUP(B2753,ERA_MOTIF_TYPES.csv!$A$1:$C$119,2,1)</f>
        <v>Single or multiple cups</v>
      </c>
      <c r="E2753" t="str">
        <f>VLOOKUP(A2753,Panels!$A$1:$E$2104,5,0)</f>
        <v>Whinney Hill</v>
      </c>
    </row>
    <row r="2754">
      <c r="A2754" s="3">
        <v>1007.0</v>
      </c>
      <c r="B2754" s="3">
        <v>1.0</v>
      </c>
      <c r="C2754" s="3">
        <v>5.0</v>
      </c>
      <c r="D2754" t="str">
        <f>VLOOKUP(B2754,ERA_MOTIF_TYPES.csv!$A$1:$C$119,2,1)</f>
        <v>Cups Single</v>
      </c>
      <c r="E2754" t="str">
        <f>VLOOKUP(A2754,Panels!$A$1:$E$2104,5,0)</f>
        <v>Brownridge Burn</v>
      </c>
    </row>
    <row r="2755">
      <c r="A2755" s="3">
        <v>1007.0</v>
      </c>
      <c r="B2755" s="3">
        <v>25.0</v>
      </c>
      <c r="C2755" s="3">
        <v>1.0</v>
      </c>
      <c r="D2755" t="str">
        <f>VLOOKUP(B2755,ERA_MOTIF_TYPES.csv!$A$1:$C$119,2,1)</f>
        <v>Linear</v>
      </c>
      <c r="E2755" t="str">
        <f>VLOOKUP(A2755,Panels!$A$1:$E$2104,5,0)</f>
        <v>Brownridge Burn</v>
      </c>
    </row>
    <row r="2756">
      <c r="A2756" s="3">
        <v>1007.0</v>
      </c>
      <c r="B2756" s="3">
        <v>27.0</v>
      </c>
      <c r="C2756" s="3">
        <v>2.0</v>
      </c>
      <c r="D2756" t="str">
        <f>VLOOKUP(B2756,ERA_MOTIF_TYPES.csv!$A$1:$C$119,2,1)</f>
        <v>Serpentine</v>
      </c>
      <c r="E2756" t="str">
        <f>VLOOKUP(A2756,Panels!$A$1:$E$2104,5,0)</f>
        <v>Brownridge Burn</v>
      </c>
    </row>
    <row r="2757">
      <c r="A2757" s="3">
        <v>1007.0</v>
      </c>
      <c r="B2757" s="3">
        <v>52.0</v>
      </c>
      <c r="C2757" s="3">
        <v>3.0</v>
      </c>
      <c r="D2757" t="str">
        <f>VLOOKUP(B2757,ERA_MOTIF_TYPES.csv!$A$1:$C$119,2,1)</f>
        <v>Single or multiple cups</v>
      </c>
      <c r="E2757" t="str">
        <f>VLOOKUP(A2757,Panels!$A$1:$E$2104,5,0)</f>
        <v>Brownridge Burn</v>
      </c>
    </row>
    <row r="2758">
      <c r="A2758" s="3">
        <v>1008.0</v>
      </c>
      <c r="B2758" s="3">
        <v>1.0</v>
      </c>
      <c r="C2758" s="3">
        <v>8.0</v>
      </c>
      <c r="D2758" t="str">
        <f>VLOOKUP(B2758,ERA_MOTIF_TYPES.csv!$A$1:$C$119,2,1)</f>
        <v>Cups Single</v>
      </c>
      <c r="E2758" t="str">
        <f>VLOOKUP(A2758,Panels!$A$1:$E$2104,5,0)</f>
        <v>Whitehill Head/Chatton Sandyford</v>
      </c>
    </row>
    <row r="2759">
      <c r="A2759" s="3">
        <v>1008.0</v>
      </c>
      <c r="B2759" s="3">
        <v>13.0</v>
      </c>
      <c r="C2759" s="3">
        <v>1.0</v>
      </c>
      <c r="D2759" t="str">
        <f>VLOOKUP(B2759,ERA_MOTIF_TYPES.csv!$A$1:$C$119,2,1)</f>
        <v>Single Ring + cup</v>
      </c>
      <c r="E2759" t="str">
        <f>VLOOKUP(A2759,Panels!$A$1:$E$2104,5,0)</f>
        <v>Whitehill Head/Chatton Sandyford</v>
      </c>
    </row>
    <row r="2760">
      <c r="A2760" s="3">
        <v>1008.0</v>
      </c>
      <c r="B2760" s="3">
        <v>25.0</v>
      </c>
      <c r="C2760" s="3">
        <v>2.0</v>
      </c>
      <c r="D2760" t="str">
        <f>VLOOKUP(B2760,ERA_MOTIF_TYPES.csv!$A$1:$C$119,2,1)</f>
        <v>Linear</v>
      </c>
      <c r="E2760" t="str">
        <f>VLOOKUP(A2760,Panels!$A$1:$E$2104,5,0)</f>
        <v>Whitehill Head/Chatton Sandyford</v>
      </c>
    </row>
    <row r="2761">
      <c r="A2761" s="3">
        <v>1008.0</v>
      </c>
      <c r="B2761" s="3">
        <v>52.0</v>
      </c>
      <c r="C2761" s="3">
        <v>8.0</v>
      </c>
      <c r="D2761" t="str">
        <f>VLOOKUP(B2761,ERA_MOTIF_TYPES.csv!$A$1:$C$119,2,1)</f>
        <v>Single or multiple cups</v>
      </c>
      <c r="E2761" t="str">
        <f>VLOOKUP(A2761,Panels!$A$1:$E$2104,5,0)</f>
        <v>Whitehill Head/Chatton Sandyford</v>
      </c>
    </row>
    <row r="2762">
      <c r="A2762" s="3">
        <v>1008.0</v>
      </c>
      <c r="B2762" s="3">
        <v>59.0</v>
      </c>
      <c r="C2762" s="3">
        <v>1.0</v>
      </c>
      <c r="D2762" t="str">
        <f>VLOOKUP(B2762,ERA_MOTIF_TYPES.csv!$A$1:$C$119,2,1)</f>
        <v>Cup and penannular</v>
      </c>
      <c r="E2762" t="str">
        <f>VLOOKUP(A2762,Panels!$A$1:$E$2104,5,0)</f>
        <v>Whitehill Head/Chatton Sandyford</v>
      </c>
    </row>
    <row r="2763">
      <c r="A2763" s="3">
        <v>1008.0</v>
      </c>
      <c r="B2763" s="3">
        <v>87.0</v>
      </c>
      <c r="C2763" s="3">
        <v>1.0</v>
      </c>
      <c r="D2763" t="str">
        <f>VLOOKUP(B2763,ERA_MOTIF_TYPES.csv!$A$1:$C$119,2,1)</f>
        <v>Linear and angular groove</v>
      </c>
      <c r="E2763" t="str">
        <f>VLOOKUP(A2763,Panels!$A$1:$E$2104,5,0)</f>
        <v>Whitehill Head/Chatton Sandyford</v>
      </c>
    </row>
    <row r="2764">
      <c r="A2764" s="3">
        <v>1008.0</v>
      </c>
      <c r="B2764" s="3">
        <v>110.0</v>
      </c>
      <c r="C2764" s="3">
        <v>1.0</v>
      </c>
      <c r="D2764" t="str">
        <f>VLOOKUP(B2764,ERA_MOTIF_TYPES.csv!$A$1:$C$119,2,1)</f>
        <v>Curved groove</v>
      </c>
      <c r="E2764" t="str">
        <f>VLOOKUP(A2764,Panels!$A$1:$E$2104,5,0)</f>
        <v>Whitehill Head/Chatton Sandyford</v>
      </c>
    </row>
    <row r="2765">
      <c r="A2765" s="3">
        <v>1009.0</v>
      </c>
      <c r="B2765" s="3">
        <v>1.0</v>
      </c>
      <c r="C2765" s="3">
        <v>12.0</v>
      </c>
      <c r="D2765" t="str">
        <f>VLOOKUP(B2765,ERA_MOTIF_TYPES.csv!$A$1:$C$119,2,1)</f>
        <v>Cups Single</v>
      </c>
      <c r="E2765" t="str">
        <f>VLOOKUP(A2765,Panels!$A$1:$E$2104,5,0)</f>
        <v>Whitehill Head/Chatton Sandyford</v>
      </c>
    </row>
    <row r="2766">
      <c r="A2766" s="3">
        <v>1009.0</v>
      </c>
      <c r="B2766" s="3">
        <v>25.0</v>
      </c>
      <c r="C2766" s="3">
        <v>1.0</v>
      </c>
      <c r="D2766" t="str">
        <f>VLOOKUP(B2766,ERA_MOTIF_TYPES.csv!$A$1:$C$119,2,1)</f>
        <v>Linear</v>
      </c>
      <c r="E2766" t="str">
        <f>VLOOKUP(A2766,Panels!$A$1:$E$2104,5,0)</f>
        <v>Whitehill Head/Chatton Sandyford</v>
      </c>
    </row>
    <row r="2767">
      <c r="A2767" s="3">
        <v>1009.0</v>
      </c>
      <c r="B2767" s="3">
        <v>31.0</v>
      </c>
      <c r="C2767" s="3">
        <v>6.0</v>
      </c>
      <c r="D2767" t="str">
        <f>VLOOKUP(B2767,ERA_MOTIF_TYPES.csv!$A$1:$C$119,2,1)</f>
        <v>Cup and Groove</v>
      </c>
      <c r="E2767" t="str">
        <f>VLOOKUP(A2767,Panels!$A$1:$E$2104,5,0)</f>
        <v>Whitehill Head/Chatton Sandyford</v>
      </c>
    </row>
    <row r="2768">
      <c r="A2768" s="3">
        <v>1009.0</v>
      </c>
      <c r="B2768" s="3">
        <v>52.0</v>
      </c>
      <c r="C2768" s="3">
        <v>13.0</v>
      </c>
      <c r="D2768" t="str">
        <f>VLOOKUP(B2768,ERA_MOTIF_TYPES.csv!$A$1:$C$119,2,1)</f>
        <v>Single or multiple cups</v>
      </c>
      <c r="E2768" t="str">
        <f>VLOOKUP(A2768,Panels!$A$1:$E$2104,5,0)</f>
        <v>Whitehill Head/Chatton Sandyford</v>
      </c>
    </row>
    <row r="2769">
      <c r="A2769" s="3">
        <v>1009.0</v>
      </c>
      <c r="B2769" s="3">
        <v>55.0</v>
      </c>
      <c r="C2769" s="3">
        <v>1.0</v>
      </c>
      <c r="D2769" t="str">
        <f>VLOOKUP(B2769,ERA_MOTIF_TYPES.csv!$A$1:$C$119,2,1)</f>
        <v>Cups in a straight or curved line</v>
      </c>
      <c r="E2769" t="str">
        <f>VLOOKUP(A2769,Panels!$A$1:$E$2104,5,0)</f>
        <v>Whitehill Head/Chatton Sandyford</v>
      </c>
    </row>
    <row r="2770">
      <c r="A2770" s="3">
        <v>1009.0</v>
      </c>
      <c r="B2770" s="3">
        <v>87.0</v>
      </c>
      <c r="C2770" s="3">
        <v>4.0</v>
      </c>
      <c r="D2770" t="str">
        <f>VLOOKUP(B2770,ERA_MOTIF_TYPES.csv!$A$1:$C$119,2,1)</f>
        <v>Linear and angular groove</v>
      </c>
      <c r="E2770" t="str">
        <f>VLOOKUP(A2770,Panels!$A$1:$E$2104,5,0)</f>
        <v>Whitehill Head/Chatton Sandyford</v>
      </c>
    </row>
    <row r="2771">
      <c r="A2771" s="3">
        <v>1009.0</v>
      </c>
      <c r="B2771" s="3">
        <v>102.0</v>
      </c>
      <c r="C2771" s="3">
        <v>1.0</v>
      </c>
      <c r="D2771" t="str">
        <f>VLOOKUP(B2771,ERA_MOTIF_TYPES.csv!$A$1:$C$119,2,1)</f>
        <v>Crossed groove</v>
      </c>
      <c r="E2771" t="str">
        <f>VLOOKUP(A2771,Panels!$A$1:$E$2104,5,0)</f>
        <v>Whitehill Head/Chatton Sandyford</v>
      </c>
    </row>
    <row r="2772">
      <c r="A2772" s="3">
        <v>1009.0</v>
      </c>
      <c r="B2772" s="3">
        <v>103.0</v>
      </c>
      <c r="C2772" s="3">
        <v>3.0</v>
      </c>
      <c r="D2772" t="str">
        <f>VLOOKUP(B2772,ERA_MOTIF_TYPES.csv!$A$1:$C$119,2,1)</f>
        <v>Cup and groove</v>
      </c>
      <c r="E2772" t="str">
        <f>VLOOKUP(A2772,Panels!$A$1:$E$2104,5,0)</f>
        <v>Whitehill Head/Chatton Sandyford</v>
      </c>
    </row>
    <row r="2773">
      <c r="A2773" s="3">
        <v>1009.0</v>
      </c>
      <c r="B2773" s="3">
        <v>105.0</v>
      </c>
      <c r="C2773" s="3">
        <v>4.0</v>
      </c>
      <c r="D2773" t="str">
        <f>VLOOKUP(B2773,ERA_MOTIF_TYPES.csv!$A$1:$C$119,2,1)</f>
        <v>Two cups linked by a groove</v>
      </c>
      <c r="E2773" t="str">
        <f>VLOOKUP(A2773,Panels!$A$1:$E$2104,5,0)</f>
        <v>Whitehill Head/Chatton Sandyford</v>
      </c>
    </row>
    <row r="2774">
      <c r="A2774" s="3">
        <v>1009.0</v>
      </c>
      <c r="B2774" s="3">
        <v>110.0</v>
      </c>
      <c r="C2774" s="3">
        <v>2.0</v>
      </c>
      <c r="D2774" t="str">
        <f>VLOOKUP(B2774,ERA_MOTIF_TYPES.csv!$A$1:$C$119,2,1)</f>
        <v>Curved groove</v>
      </c>
      <c r="E2774" t="str">
        <f>VLOOKUP(A2774,Panels!$A$1:$E$2104,5,0)</f>
        <v>Whitehill Head/Chatton Sandyford</v>
      </c>
    </row>
    <row r="2775">
      <c r="A2775" s="3">
        <v>1010.0</v>
      </c>
      <c r="B2775" s="3">
        <v>1.0</v>
      </c>
      <c r="C2775" s="3">
        <v>7.0</v>
      </c>
      <c r="D2775" t="str">
        <f>VLOOKUP(B2775,ERA_MOTIF_TYPES.csv!$A$1:$C$119,2,1)</f>
        <v>Cups Single</v>
      </c>
      <c r="E2775" t="str">
        <f>VLOOKUP(A2775,Panels!$A$1:$E$2104,5,0)</f>
        <v>Whitehill Head/Chatton Sandyford</v>
      </c>
    </row>
    <row r="2776">
      <c r="A2776" s="3">
        <v>1010.0</v>
      </c>
      <c r="B2776" s="3">
        <v>3.0</v>
      </c>
      <c r="C2776" s="3">
        <v>1.0</v>
      </c>
      <c r="D2776" t="str">
        <f>VLOOKUP(B2776,ERA_MOTIF_TYPES.csv!$A$1:$C$119,2,1)</f>
        <v>Parallel Domino</v>
      </c>
      <c r="E2776" t="str">
        <f>VLOOKUP(A2776,Panels!$A$1:$E$2104,5,0)</f>
        <v>Whitehill Head/Chatton Sandyford</v>
      </c>
    </row>
    <row r="2777">
      <c r="A2777" s="3">
        <v>1010.0</v>
      </c>
      <c r="B2777" s="3">
        <v>25.0</v>
      </c>
      <c r="C2777" s="3">
        <v>1.0</v>
      </c>
      <c r="D2777" t="str">
        <f>VLOOKUP(B2777,ERA_MOTIF_TYPES.csv!$A$1:$C$119,2,1)</f>
        <v>Linear</v>
      </c>
      <c r="E2777" t="str">
        <f>VLOOKUP(A2777,Panels!$A$1:$E$2104,5,0)</f>
        <v>Whitehill Head/Chatton Sandyford</v>
      </c>
    </row>
    <row r="2778">
      <c r="A2778" s="3">
        <v>1010.0</v>
      </c>
      <c r="B2778" s="3">
        <v>52.0</v>
      </c>
      <c r="C2778" s="3">
        <v>9.0</v>
      </c>
      <c r="D2778" t="str">
        <f>VLOOKUP(B2778,ERA_MOTIF_TYPES.csv!$A$1:$C$119,2,1)</f>
        <v>Single or multiple cups</v>
      </c>
      <c r="E2778" t="str">
        <f>VLOOKUP(A2778,Panels!$A$1:$E$2104,5,0)</f>
        <v>Whitehill Head/Chatton Sandyford</v>
      </c>
    </row>
    <row r="2779">
      <c r="A2779" s="3">
        <v>1010.0</v>
      </c>
      <c r="B2779" s="3">
        <v>87.0</v>
      </c>
      <c r="C2779" s="3">
        <v>1.0</v>
      </c>
      <c r="D2779" t="str">
        <f>VLOOKUP(B2779,ERA_MOTIF_TYPES.csv!$A$1:$C$119,2,1)</f>
        <v>Linear and angular groove</v>
      </c>
      <c r="E2779" t="str">
        <f>VLOOKUP(A2779,Panels!$A$1:$E$2104,5,0)</f>
        <v>Whitehill Head/Chatton Sandyford</v>
      </c>
    </row>
    <row r="2780">
      <c r="A2780" s="3">
        <v>1010.0</v>
      </c>
      <c r="B2780" s="3">
        <v>100.0</v>
      </c>
      <c r="C2780" s="3">
        <v>1.0</v>
      </c>
      <c r="D2780" t="str">
        <f>VLOOKUP(B2780,ERA_MOTIF_TYPES.csv!$A$1:$C$119,2,1)</f>
        <v>Pick marks</v>
      </c>
      <c r="E2780" t="str">
        <f>VLOOKUP(A2780,Panels!$A$1:$E$2104,5,0)</f>
        <v>Whitehill Head/Chatton Sandyford</v>
      </c>
    </row>
    <row r="2781">
      <c r="A2781" s="3">
        <v>1010.0</v>
      </c>
      <c r="B2781" s="3">
        <v>103.0</v>
      </c>
      <c r="C2781" s="3">
        <v>2.0</v>
      </c>
      <c r="D2781" t="str">
        <f>VLOOKUP(B2781,ERA_MOTIF_TYPES.csv!$A$1:$C$119,2,1)</f>
        <v>Cup and groove</v>
      </c>
      <c r="E2781" t="str">
        <f>VLOOKUP(A2781,Panels!$A$1:$E$2104,5,0)</f>
        <v>Whitehill Head/Chatton Sandyford</v>
      </c>
    </row>
    <row r="2782">
      <c r="A2782" s="3">
        <v>1010.0</v>
      </c>
      <c r="B2782" s="3">
        <v>105.0</v>
      </c>
      <c r="C2782" s="3">
        <v>1.0</v>
      </c>
      <c r="D2782" t="str">
        <f>VLOOKUP(B2782,ERA_MOTIF_TYPES.csv!$A$1:$C$119,2,1)</f>
        <v>Two cups linked by a groove</v>
      </c>
      <c r="E2782" t="str">
        <f>VLOOKUP(A2782,Panels!$A$1:$E$2104,5,0)</f>
        <v>Whitehill Head/Chatton Sandyford</v>
      </c>
    </row>
    <row r="2783">
      <c r="A2783" s="3">
        <v>1011.0</v>
      </c>
      <c r="B2783" s="3">
        <v>1.0</v>
      </c>
      <c r="C2783" s="3">
        <v>4.0</v>
      </c>
      <c r="D2783" t="str">
        <f>VLOOKUP(B2783,ERA_MOTIF_TYPES.csv!$A$1:$C$119,2,1)</f>
        <v>Cups Single</v>
      </c>
      <c r="E2783" t="str">
        <f>VLOOKUP(A2783,Panels!$A$1:$E$2104,5,0)</f>
        <v>Brownridge Burn</v>
      </c>
    </row>
    <row r="2784">
      <c r="A2784" s="3">
        <v>1011.0</v>
      </c>
      <c r="B2784" s="3">
        <v>52.0</v>
      </c>
      <c r="C2784" s="3">
        <v>6.0</v>
      </c>
      <c r="D2784" t="str">
        <f>VLOOKUP(B2784,ERA_MOTIF_TYPES.csv!$A$1:$C$119,2,1)</f>
        <v>Single or multiple cups</v>
      </c>
      <c r="E2784" t="str">
        <f>VLOOKUP(A2784,Panels!$A$1:$E$2104,5,0)</f>
        <v>Brownridge Burn</v>
      </c>
    </row>
    <row r="2785">
      <c r="A2785" s="3">
        <v>1012.0</v>
      </c>
      <c r="B2785" s="3">
        <v>1.0</v>
      </c>
      <c r="C2785" s="3">
        <v>1.0</v>
      </c>
      <c r="D2785" t="str">
        <f>VLOOKUP(B2785,ERA_MOTIF_TYPES.csv!$A$1:$C$119,2,1)</f>
        <v>Cups Single</v>
      </c>
      <c r="E2785" t="str">
        <f>VLOOKUP(A2785,Panels!$A$1:$E$2104,5,0)</f>
        <v>Chatton Sandyford</v>
      </c>
    </row>
    <row r="2786">
      <c r="A2786" s="3">
        <v>1012.0</v>
      </c>
      <c r="B2786" s="3">
        <v>52.0</v>
      </c>
      <c r="C2786" s="3">
        <v>1.0</v>
      </c>
      <c r="D2786" t="str">
        <f>VLOOKUP(B2786,ERA_MOTIF_TYPES.csv!$A$1:$C$119,2,1)</f>
        <v>Single or multiple cups</v>
      </c>
      <c r="E2786" t="str">
        <f>VLOOKUP(A2786,Panels!$A$1:$E$2104,5,0)</f>
        <v>Chatton Sandyford</v>
      </c>
    </row>
    <row r="2787">
      <c r="A2787" s="3">
        <v>1013.0</v>
      </c>
      <c r="B2787" s="3">
        <v>1.0</v>
      </c>
      <c r="C2787" s="3">
        <v>9.0</v>
      </c>
      <c r="D2787" t="str">
        <f>VLOOKUP(B2787,ERA_MOTIF_TYPES.csv!$A$1:$C$119,2,1)</f>
        <v>Cups Single</v>
      </c>
      <c r="E2787" t="str">
        <f>VLOOKUP(A2787,Panels!$A$1:$E$2104,5,0)</f>
        <v>Camp Hill</v>
      </c>
    </row>
    <row r="2788">
      <c r="A2788" s="3">
        <v>1013.0</v>
      </c>
      <c r="B2788" s="3">
        <v>52.0</v>
      </c>
      <c r="C2788" s="3">
        <v>9.0</v>
      </c>
      <c r="D2788" t="str">
        <f>VLOOKUP(B2788,ERA_MOTIF_TYPES.csv!$A$1:$C$119,2,1)</f>
        <v>Single or multiple cups</v>
      </c>
      <c r="E2788" t="str">
        <f>VLOOKUP(A2788,Panels!$A$1:$E$2104,5,0)</f>
        <v>Camp Hill</v>
      </c>
    </row>
    <row r="2789">
      <c r="A2789" s="3">
        <v>1014.0</v>
      </c>
      <c r="B2789" s="3">
        <v>1.0</v>
      </c>
      <c r="C2789" s="3">
        <v>7.0</v>
      </c>
      <c r="D2789" t="str">
        <f>VLOOKUP(B2789,ERA_MOTIF_TYPES.csv!$A$1:$C$119,2,1)</f>
        <v>Cups Single</v>
      </c>
      <c r="E2789" t="str">
        <f>VLOOKUP(A2789,Panels!$A$1:$E$2104,5,0)</f>
        <v>Camp Hill</v>
      </c>
    </row>
    <row r="2790">
      <c r="A2790" s="3">
        <v>1014.0</v>
      </c>
      <c r="B2790" s="3">
        <v>25.0</v>
      </c>
      <c r="C2790" s="3">
        <v>1.0</v>
      </c>
      <c r="D2790" t="str">
        <f>VLOOKUP(B2790,ERA_MOTIF_TYPES.csv!$A$1:$C$119,2,1)</f>
        <v>Linear</v>
      </c>
      <c r="E2790" t="str">
        <f>VLOOKUP(A2790,Panels!$A$1:$E$2104,5,0)</f>
        <v>Camp Hill</v>
      </c>
    </row>
    <row r="2791">
      <c r="A2791" s="3">
        <v>1014.0</v>
      </c>
      <c r="B2791" s="3">
        <v>52.0</v>
      </c>
      <c r="C2791" s="3">
        <v>7.0</v>
      </c>
      <c r="D2791" t="str">
        <f>VLOOKUP(B2791,ERA_MOTIF_TYPES.csv!$A$1:$C$119,2,1)</f>
        <v>Single or multiple cups</v>
      </c>
      <c r="E2791" t="str">
        <f>VLOOKUP(A2791,Panels!$A$1:$E$2104,5,0)</f>
        <v>Camp Hill</v>
      </c>
    </row>
    <row r="2792">
      <c r="A2792" s="3">
        <v>1014.0</v>
      </c>
      <c r="B2792" s="3">
        <v>87.0</v>
      </c>
      <c r="C2792" s="3">
        <v>1.0</v>
      </c>
      <c r="D2792" t="str">
        <f>VLOOKUP(B2792,ERA_MOTIF_TYPES.csv!$A$1:$C$119,2,1)</f>
        <v>Linear and angular groove</v>
      </c>
      <c r="E2792" t="str">
        <f>VLOOKUP(A2792,Panels!$A$1:$E$2104,5,0)</f>
        <v>Camp Hill</v>
      </c>
    </row>
    <row r="2793">
      <c r="A2793" s="3">
        <v>1015.0</v>
      </c>
      <c r="B2793" s="3">
        <v>1.0</v>
      </c>
      <c r="C2793" s="3">
        <v>13.0</v>
      </c>
      <c r="D2793" t="str">
        <f>VLOOKUP(B2793,ERA_MOTIF_TYPES.csv!$A$1:$C$119,2,1)</f>
        <v>Cups Single</v>
      </c>
      <c r="E2793" t="str">
        <f>VLOOKUP(A2793,Panels!$A$1:$E$2104,5,0)</f>
        <v>Chatton Sandyford</v>
      </c>
    </row>
    <row r="2794">
      <c r="A2794" s="3">
        <v>1015.0</v>
      </c>
      <c r="B2794" s="3">
        <v>31.0</v>
      </c>
      <c r="C2794" s="3">
        <v>1.0</v>
      </c>
      <c r="D2794" t="str">
        <f>VLOOKUP(B2794,ERA_MOTIF_TYPES.csv!$A$1:$C$119,2,1)</f>
        <v>Cup and Groove</v>
      </c>
      <c r="E2794" t="str">
        <f>VLOOKUP(A2794,Panels!$A$1:$E$2104,5,0)</f>
        <v>Chatton Sandyford</v>
      </c>
    </row>
    <row r="2795">
      <c r="A2795" s="3">
        <v>1015.0</v>
      </c>
      <c r="B2795" s="3">
        <v>52.0</v>
      </c>
      <c r="C2795" s="3">
        <v>11.0</v>
      </c>
      <c r="D2795" t="str">
        <f>VLOOKUP(B2795,ERA_MOTIF_TYPES.csv!$A$1:$C$119,2,1)</f>
        <v>Single or multiple cups</v>
      </c>
      <c r="E2795" t="str">
        <f>VLOOKUP(A2795,Panels!$A$1:$E$2104,5,0)</f>
        <v>Chatton Sandyford</v>
      </c>
    </row>
    <row r="2796">
      <c r="A2796" s="3">
        <v>1015.0</v>
      </c>
      <c r="B2796" s="3">
        <v>87.0</v>
      </c>
      <c r="C2796" s="3">
        <v>1.0</v>
      </c>
      <c r="D2796" t="str">
        <f>VLOOKUP(B2796,ERA_MOTIF_TYPES.csv!$A$1:$C$119,2,1)</f>
        <v>Linear and angular groove</v>
      </c>
      <c r="E2796" t="str">
        <f>VLOOKUP(A2796,Panels!$A$1:$E$2104,5,0)</f>
        <v>Chatton Sandyford</v>
      </c>
    </row>
    <row r="2797">
      <c r="A2797" s="3">
        <v>1015.0</v>
      </c>
      <c r="B2797" s="3">
        <v>103.0</v>
      </c>
      <c r="C2797" s="3">
        <v>1.0</v>
      </c>
      <c r="D2797" t="str">
        <f>VLOOKUP(B2797,ERA_MOTIF_TYPES.csv!$A$1:$C$119,2,1)</f>
        <v>Cup and groove</v>
      </c>
      <c r="E2797" t="str">
        <f>VLOOKUP(A2797,Panels!$A$1:$E$2104,5,0)</f>
        <v>Chatton Sandyford</v>
      </c>
    </row>
    <row r="2798">
      <c r="A2798" s="3">
        <v>1016.0</v>
      </c>
      <c r="B2798" s="3">
        <v>1.0</v>
      </c>
      <c r="C2798" s="3">
        <v>7.0</v>
      </c>
      <c r="D2798" t="str">
        <f>VLOOKUP(B2798,ERA_MOTIF_TYPES.csv!$A$1:$C$119,2,1)</f>
        <v>Cups Single</v>
      </c>
      <c r="E2798" t="str">
        <f>VLOOKUP(A2798,Panels!$A$1:$E$2104,5,0)</f>
        <v>Chatton Sandyford</v>
      </c>
    </row>
    <row r="2799">
      <c r="A2799" s="3">
        <v>1016.0</v>
      </c>
      <c r="B2799" s="3">
        <v>10.0</v>
      </c>
      <c r="C2799" s="3">
        <v>2.0</v>
      </c>
      <c r="D2799" t="str">
        <f>VLOOKUP(B2799,ERA_MOTIF_TYPES.csv!$A$1:$C$119,2,1)</f>
        <v>Single Arc</v>
      </c>
      <c r="E2799" t="str">
        <f>VLOOKUP(A2799,Panels!$A$1:$E$2104,5,0)</f>
        <v>Chatton Sandyford</v>
      </c>
    </row>
    <row r="2800">
      <c r="A2800" s="3">
        <v>1016.0</v>
      </c>
      <c r="B2800" s="3">
        <v>52.0</v>
      </c>
      <c r="C2800" s="3">
        <v>14.0</v>
      </c>
      <c r="D2800" t="str">
        <f>VLOOKUP(B2800,ERA_MOTIF_TYPES.csv!$A$1:$C$119,2,1)</f>
        <v>Single or multiple cups</v>
      </c>
      <c r="E2800" t="str">
        <f>VLOOKUP(A2800,Panels!$A$1:$E$2104,5,0)</f>
        <v>Chatton Sandyford</v>
      </c>
    </row>
    <row r="2801">
      <c r="A2801" s="3">
        <v>1016.0</v>
      </c>
      <c r="B2801" s="3">
        <v>56.0</v>
      </c>
      <c r="C2801" s="3">
        <v>2.0</v>
      </c>
      <c r="D2801" t="str">
        <f>VLOOKUP(B2801,ERA_MOTIF_TYPES.csv!$A$1:$C$119,2,1)</f>
        <v>Cups countersunk</v>
      </c>
      <c r="E2801" t="str">
        <f>VLOOKUP(A2801,Panels!$A$1:$E$2104,5,0)</f>
        <v>Chatton Sandyford</v>
      </c>
    </row>
    <row r="2802">
      <c r="A2802" s="3">
        <v>1016.0</v>
      </c>
      <c r="B2802" s="3">
        <v>105.0</v>
      </c>
      <c r="C2802" s="3">
        <v>3.0</v>
      </c>
      <c r="D2802" t="str">
        <f>VLOOKUP(B2802,ERA_MOTIF_TYPES.csv!$A$1:$C$119,2,1)</f>
        <v>Two cups linked by a groove</v>
      </c>
      <c r="E2802" t="str">
        <f>VLOOKUP(A2802,Panels!$A$1:$E$2104,5,0)</f>
        <v>Chatton Sandyford</v>
      </c>
    </row>
    <row r="2803">
      <c r="A2803" s="3">
        <v>1017.0</v>
      </c>
      <c r="B2803" s="3">
        <v>1.0</v>
      </c>
      <c r="C2803" s="3">
        <v>4.0</v>
      </c>
      <c r="D2803" t="str">
        <f>VLOOKUP(B2803,ERA_MOTIF_TYPES.csv!$A$1:$C$119,2,1)</f>
        <v>Cups Single</v>
      </c>
      <c r="E2803" t="str">
        <f>VLOOKUP(A2803,Panels!$A$1:$E$2104,5,0)</f>
        <v>Chatton Sandyford</v>
      </c>
    </row>
    <row r="2804">
      <c r="A2804" s="3">
        <v>1017.0</v>
      </c>
      <c r="B2804" s="3">
        <v>52.0</v>
      </c>
      <c r="C2804" s="3">
        <v>3.0</v>
      </c>
      <c r="D2804" t="str">
        <f>VLOOKUP(B2804,ERA_MOTIF_TYPES.csv!$A$1:$C$119,2,1)</f>
        <v>Single or multiple cups</v>
      </c>
      <c r="E2804" t="str">
        <f>VLOOKUP(A2804,Panels!$A$1:$E$2104,5,0)</f>
        <v>Chatton Sandyford</v>
      </c>
    </row>
    <row r="2805">
      <c r="A2805" s="3">
        <v>1018.0</v>
      </c>
      <c r="B2805" s="3">
        <v>52.0</v>
      </c>
      <c r="C2805" s="3">
        <v>1.0</v>
      </c>
      <c r="D2805" t="str">
        <f>VLOOKUP(B2805,ERA_MOTIF_TYPES.csv!$A$1:$C$119,2,1)</f>
        <v>Single or multiple cups</v>
      </c>
      <c r="E2805" t="str">
        <f>VLOOKUP(A2805,Panels!$A$1:$E$2104,5,0)</f>
        <v>Chatton Sandyford</v>
      </c>
    </row>
    <row r="2806">
      <c r="A2806" s="3">
        <v>1019.0</v>
      </c>
      <c r="B2806" s="3">
        <v>1.0</v>
      </c>
      <c r="C2806" s="3">
        <v>7.0</v>
      </c>
      <c r="D2806" t="str">
        <f>VLOOKUP(B2806,ERA_MOTIF_TYPES.csv!$A$1:$C$119,2,1)</f>
        <v>Cups Single</v>
      </c>
      <c r="E2806" t="str">
        <f>VLOOKUP(A2806,Panels!$A$1:$E$2104,5,0)</f>
        <v>Chatton Sandyford</v>
      </c>
    </row>
    <row r="2807">
      <c r="A2807" s="3">
        <v>1019.0</v>
      </c>
      <c r="B2807" s="3">
        <v>11.0</v>
      </c>
      <c r="C2807" s="3">
        <v>1.0</v>
      </c>
      <c r="D2807" t="str">
        <f>VLOOKUP(B2807,ERA_MOTIF_TYPES.csv!$A$1:$C$119,2,1)</f>
        <v>Single Penannular</v>
      </c>
      <c r="E2807" t="str">
        <f>VLOOKUP(A2807,Panels!$A$1:$E$2104,5,0)</f>
        <v>Chatton Sandyford</v>
      </c>
    </row>
    <row r="2808">
      <c r="A2808" s="3">
        <v>1020.0</v>
      </c>
      <c r="B2808" s="3">
        <v>1.0</v>
      </c>
      <c r="C2808" s="3">
        <v>1.0</v>
      </c>
      <c r="D2808" t="str">
        <f>VLOOKUP(B2808,ERA_MOTIF_TYPES.csv!$A$1:$C$119,2,1)</f>
        <v>Cups Single</v>
      </c>
      <c r="E2808" t="str">
        <f>VLOOKUP(A2808,Panels!$A$1:$E$2104,5,0)</f>
        <v>Chatton Sandyford</v>
      </c>
    </row>
    <row r="2809">
      <c r="A2809" s="3">
        <v>1020.0</v>
      </c>
      <c r="B2809" s="3">
        <v>51.0</v>
      </c>
      <c r="C2809" s="3">
        <v>2.0</v>
      </c>
      <c r="D2809" t="str">
        <f>VLOOKUP(B2809,ERA_MOTIF_TYPES.csv!$A$1:$C$119,2,1)</f>
        <v>Bowls</v>
      </c>
      <c r="E2809" t="str">
        <f>VLOOKUP(A2809,Panels!$A$1:$E$2104,5,0)</f>
        <v>Chatton Sandyford</v>
      </c>
    </row>
    <row r="2810">
      <c r="A2810" s="3">
        <v>1020.0</v>
      </c>
      <c r="B2810" s="3">
        <v>52.0</v>
      </c>
      <c r="C2810" s="3">
        <v>1.0</v>
      </c>
      <c r="D2810" t="str">
        <f>VLOOKUP(B2810,ERA_MOTIF_TYPES.csv!$A$1:$C$119,2,1)</f>
        <v>Single or multiple cups</v>
      </c>
      <c r="E2810" t="str">
        <f>VLOOKUP(A2810,Panels!$A$1:$E$2104,5,0)</f>
        <v>Chatton Sandyford</v>
      </c>
    </row>
    <row r="2811">
      <c r="A2811" s="3">
        <v>1021.0</v>
      </c>
      <c r="B2811" s="3">
        <v>1.0</v>
      </c>
      <c r="C2811" s="3">
        <v>1.0</v>
      </c>
      <c r="D2811" t="str">
        <f>VLOOKUP(B2811,ERA_MOTIF_TYPES.csv!$A$1:$C$119,2,1)</f>
        <v>Cups Single</v>
      </c>
      <c r="E2811" t="str">
        <f>VLOOKUP(A2811,Panels!$A$1:$E$2104,5,0)</f>
        <v>Lucker Moor</v>
      </c>
    </row>
    <row r="2812">
      <c r="A2812" s="3">
        <v>1021.0</v>
      </c>
      <c r="B2812" s="3">
        <v>52.0</v>
      </c>
      <c r="C2812" s="3">
        <v>10.0</v>
      </c>
      <c r="D2812" t="str">
        <f>VLOOKUP(B2812,ERA_MOTIF_TYPES.csv!$A$1:$C$119,2,1)</f>
        <v>Single or multiple cups</v>
      </c>
      <c r="E2812" t="str">
        <f>VLOOKUP(A2812,Panels!$A$1:$E$2104,5,0)</f>
        <v>Lucker Moor</v>
      </c>
    </row>
    <row r="2813">
      <c r="A2813" s="3">
        <v>1021.0</v>
      </c>
      <c r="B2813" s="3">
        <v>87.0</v>
      </c>
      <c r="C2813" s="3">
        <v>2.0</v>
      </c>
      <c r="D2813" t="str">
        <f>VLOOKUP(B2813,ERA_MOTIF_TYPES.csv!$A$1:$C$119,2,1)</f>
        <v>Linear and angular groove</v>
      </c>
      <c r="E2813" t="str">
        <f>VLOOKUP(A2813,Panels!$A$1:$E$2104,5,0)</f>
        <v>Lucker Moor</v>
      </c>
    </row>
    <row r="2814">
      <c r="A2814" s="3">
        <v>1022.0</v>
      </c>
      <c r="B2814" s="3">
        <v>1.0</v>
      </c>
      <c r="C2814" s="3">
        <v>1.0</v>
      </c>
      <c r="D2814" t="str">
        <f>VLOOKUP(B2814,ERA_MOTIF_TYPES.csv!$A$1:$C$119,2,1)</f>
        <v>Cups Single</v>
      </c>
      <c r="E2814" t="str">
        <f>VLOOKUP(A2814,Panels!$A$1:$E$2104,5,0)</f>
        <v>Lucker Moor</v>
      </c>
    </row>
    <row r="2815">
      <c r="A2815" s="3">
        <v>1022.0</v>
      </c>
      <c r="B2815" s="3">
        <v>52.0</v>
      </c>
      <c r="C2815" s="3">
        <v>4.0</v>
      </c>
      <c r="D2815" t="str">
        <f>VLOOKUP(B2815,ERA_MOTIF_TYPES.csv!$A$1:$C$119,2,1)</f>
        <v>Single or multiple cups</v>
      </c>
      <c r="E2815" t="str">
        <f>VLOOKUP(A2815,Panels!$A$1:$E$2104,5,0)</f>
        <v>Lucker Moor</v>
      </c>
    </row>
    <row r="2816">
      <c r="A2816" s="3">
        <v>1023.0</v>
      </c>
      <c r="B2816" s="3">
        <v>1.0</v>
      </c>
      <c r="C2816" s="3">
        <v>2.0</v>
      </c>
      <c r="D2816" t="str">
        <f>VLOOKUP(B2816,ERA_MOTIF_TYPES.csv!$A$1:$C$119,2,1)</f>
        <v>Cups Single</v>
      </c>
      <c r="E2816" t="str">
        <f>VLOOKUP(A2816,Panels!$A$1:$E$2104,5,0)</f>
        <v>Lucker Moor</v>
      </c>
    </row>
    <row r="2817">
      <c r="A2817" s="3">
        <v>1024.0</v>
      </c>
      <c r="B2817" s="3">
        <v>1.0</v>
      </c>
      <c r="C2817" s="3">
        <v>4.0</v>
      </c>
      <c r="D2817" t="str">
        <f>VLOOKUP(B2817,ERA_MOTIF_TYPES.csv!$A$1:$C$119,2,1)</f>
        <v>Cups Single</v>
      </c>
      <c r="E2817" t="str">
        <f>VLOOKUP(A2817,Panels!$A$1:$E$2104,5,0)</f>
        <v>Chatton Sandyford</v>
      </c>
    </row>
    <row r="2818">
      <c r="A2818" s="3">
        <v>1024.0</v>
      </c>
      <c r="B2818" s="3">
        <v>52.0</v>
      </c>
      <c r="C2818" s="3">
        <v>11.0</v>
      </c>
      <c r="D2818" t="str">
        <f>VLOOKUP(B2818,ERA_MOTIF_TYPES.csv!$A$1:$C$119,2,1)</f>
        <v>Single or multiple cups</v>
      </c>
      <c r="E2818" t="str">
        <f>VLOOKUP(A2818,Panels!$A$1:$E$2104,5,0)</f>
        <v>Chatton Sandyford</v>
      </c>
    </row>
    <row r="2819">
      <c r="A2819" s="3">
        <v>1024.0</v>
      </c>
      <c r="B2819" s="3">
        <v>93.0</v>
      </c>
      <c r="C2819" s="3">
        <v>5.0</v>
      </c>
      <c r="D2819" t="str">
        <f>VLOOKUP(B2819,ERA_MOTIF_TYPES.csv!$A$1:$C$119,2,1)</f>
        <v>Midget cup</v>
      </c>
      <c r="E2819" t="str">
        <f>VLOOKUP(A2819,Panels!$A$1:$E$2104,5,0)</f>
        <v>Chatton Sandyford</v>
      </c>
    </row>
    <row r="2820">
      <c r="A2820" s="3">
        <v>1025.0</v>
      </c>
      <c r="B2820" s="3">
        <v>1.0</v>
      </c>
      <c r="C2820" s="3">
        <v>6.0</v>
      </c>
      <c r="D2820" t="str">
        <f>VLOOKUP(B2820,ERA_MOTIF_TYPES.csv!$A$1:$C$119,2,1)</f>
        <v>Cups Single</v>
      </c>
      <c r="E2820" t="str">
        <f>VLOOKUP(A2820,Panels!$A$1:$E$2104,5,0)</f>
        <v>Chatton Sandyford</v>
      </c>
    </row>
    <row r="2821">
      <c r="A2821" s="3">
        <v>1025.0</v>
      </c>
      <c r="B2821" s="3">
        <v>6.0</v>
      </c>
      <c r="C2821" s="3">
        <v>1.0</v>
      </c>
      <c r="D2821" t="str">
        <f>VLOOKUP(B2821,ERA_MOTIF_TYPES.csv!$A$1:$C$119,2,1)</f>
        <v>curved or straight line</v>
      </c>
      <c r="E2821" t="str">
        <f>VLOOKUP(A2821,Panels!$A$1:$E$2104,5,0)</f>
        <v>Chatton Sandyford</v>
      </c>
    </row>
    <row r="2822">
      <c r="A2822" s="3">
        <v>1025.0</v>
      </c>
      <c r="B2822" s="3">
        <v>52.0</v>
      </c>
      <c r="C2822" s="3">
        <v>21.0</v>
      </c>
      <c r="D2822" t="str">
        <f>VLOOKUP(B2822,ERA_MOTIF_TYPES.csv!$A$1:$C$119,2,1)</f>
        <v>Single or multiple cups</v>
      </c>
      <c r="E2822" t="str">
        <f>VLOOKUP(A2822,Panels!$A$1:$E$2104,5,0)</f>
        <v>Chatton Sandyford</v>
      </c>
    </row>
    <row r="2823">
      <c r="A2823" s="3">
        <v>1025.0</v>
      </c>
      <c r="B2823" s="3">
        <v>87.0</v>
      </c>
      <c r="C2823" s="3">
        <v>1.0</v>
      </c>
      <c r="D2823" t="str">
        <f>VLOOKUP(B2823,ERA_MOTIF_TYPES.csv!$A$1:$C$119,2,1)</f>
        <v>Linear and angular groove</v>
      </c>
      <c r="E2823" t="str">
        <f>VLOOKUP(A2823,Panels!$A$1:$E$2104,5,0)</f>
        <v>Chatton Sandyford</v>
      </c>
    </row>
    <row r="2824">
      <c r="A2824" s="3">
        <v>1025.0</v>
      </c>
      <c r="B2824" s="3">
        <v>94.0</v>
      </c>
      <c r="C2824" s="3">
        <v>4.0</v>
      </c>
      <c r="D2824" t="str">
        <f>VLOOKUP(B2824,ERA_MOTIF_TYPES.csv!$A$1:$C$119,2,1)</f>
        <v>Basin</v>
      </c>
      <c r="E2824" t="str">
        <f>VLOOKUP(A2824,Panels!$A$1:$E$2104,5,0)</f>
        <v>Chatton Sandyford</v>
      </c>
    </row>
    <row r="2825">
      <c r="A2825" s="3">
        <v>1025.0</v>
      </c>
      <c r="B2825" s="3">
        <v>103.0</v>
      </c>
      <c r="C2825" s="3">
        <v>2.0</v>
      </c>
      <c r="D2825" t="str">
        <f>VLOOKUP(B2825,ERA_MOTIF_TYPES.csv!$A$1:$C$119,2,1)</f>
        <v>Cup and groove</v>
      </c>
      <c r="E2825" t="str">
        <f>VLOOKUP(A2825,Panels!$A$1:$E$2104,5,0)</f>
        <v>Chatton Sandyford</v>
      </c>
    </row>
    <row r="2826">
      <c r="A2826" s="3">
        <v>1026.0</v>
      </c>
      <c r="B2826" s="3">
        <v>1.0</v>
      </c>
      <c r="C2826" s="3">
        <v>7.0</v>
      </c>
      <c r="D2826" t="str">
        <f>VLOOKUP(B2826,ERA_MOTIF_TYPES.csv!$A$1:$C$119,2,1)</f>
        <v>Cups Single</v>
      </c>
      <c r="E2826" t="str">
        <f>VLOOKUP(A2826,Panels!$A$1:$E$2104,5,0)</f>
        <v>Millstone Hill</v>
      </c>
    </row>
    <row r="2827">
      <c r="A2827" s="3">
        <v>1026.0</v>
      </c>
      <c r="B2827" s="3">
        <v>51.0</v>
      </c>
      <c r="C2827" s="3">
        <v>1.0</v>
      </c>
      <c r="D2827" t="str">
        <f>VLOOKUP(B2827,ERA_MOTIF_TYPES.csv!$A$1:$C$119,2,1)</f>
        <v>Bowls</v>
      </c>
      <c r="E2827" t="str">
        <f>VLOOKUP(A2827,Panels!$A$1:$E$2104,5,0)</f>
        <v>Millstone Hill</v>
      </c>
    </row>
    <row r="2828">
      <c r="A2828" s="3">
        <v>1027.0</v>
      </c>
      <c r="B2828" s="3">
        <v>1.0</v>
      </c>
      <c r="C2828" s="3">
        <v>13.0</v>
      </c>
      <c r="D2828" t="str">
        <f>VLOOKUP(B2828,ERA_MOTIF_TYPES.csv!$A$1:$C$119,2,1)</f>
        <v>Cups Single</v>
      </c>
      <c r="E2828" t="str">
        <f>VLOOKUP(A2828,Panels!$A$1:$E$2104,5,0)</f>
        <v>Lucker Moor</v>
      </c>
    </row>
    <row r="2829">
      <c r="A2829" s="3">
        <v>1027.0</v>
      </c>
      <c r="B2829" s="3">
        <v>52.0</v>
      </c>
      <c r="C2829" s="3">
        <v>14.0</v>
      </c>
      <c r="D2829" t="str">
        <f>VLOOKUP(B2829,ERA_MOTIF_TYPES.csv!$A$1:$C$119,2,1)</f>
        <v>Single or multiple cups</v>
      </c>
      <c r="E2829" t="str">
        <f>VLOOKUP(A2829,Panels!$A$1:$E$2104,5,0)</f>
        <v>Lucker Moor</v>
      </c>
    </row>
    <row r="2830">
      <c r="A2830" s="3">
        <v>1027.0</v>
      </c>
      <c r="B2830" s="3">
        <v>55.0</v>
      </c>
      <c r="C2830" s="3">
        <v>1.0</v>
      </c>
      <c r="D2830" t="str">
        <f>VLOOKUP(B2830,ERA_MOTIF_TYPES.csv!$A$1:$C$119,2,1)</f>
        <v>Cups in a straight or curved line</v>
      </c>
      <c r="E2830" t="str">
        <f>VLOOKUP(A2830,Panels!$A$1:$E$2104,5,0)</f>
        <v>Lucker Moor</v>
      </c>
    </row>
    <row r="2831">
      <c r="A2831" s="3">
        <v>1028.0</v>
      </c>
      <c r="B2831" s="3">
        <v>1.0</v>
      </c>
      <c r="C2831" s="3">
        <v>5.0</v>
      </c>
      <c r="D2831" t="str">
        <f>VLOOKUP(B2831,ERA_MOTIF_TYPES.csv!$A$1:$C$119,2,1)</f>
        <v>Cups Single</v>
      </c>
      <c r="E2831" t="str">
        <f>VLOOKUP(A2831,Panels!$A$1:$E$2104,5,0)</f>
        <v>Lucker Moor</v>
      </c>
    </row>
    <row r="2832">
      <c r="A2832" s="3">
        <v>1028.0</v>
      </c>
      <c r="B2832" s="3">
        <v>52.0</v>
      </c>
      <c r="C2832" s="3">
        <v>7.0</v>
      </c>
      <c r="D2832" t="str">
        <f>VLOOKUP(B2832,ERA_MOTIF_TYPES.csv!$A$1:$C$119,2,1)</f>
        <v>Single or multiple cups</v>
      </c>
      <c r="E2832" t="str">
        <f>VLOOKUP(A2832,Panels!$A$1:$E$2104,5,0)</f>
        <v>Lucker Moor</v>
      </c>
    </row>
    <row r="2833">
      <c r="A2833" s="3">
        <v>1029.0</v>
      </c>
      <c r="B2833" s="3">
        <v>1.0</v>
      </c>
      <c r="C2833" s="3">
        <v>4.0</v>
      </c>
      <c r="D2833" t="str">
        <f>VLOOKUP(B2833,ERA_MOTIF_TYPES.csv!$A$1:$C$119,2,1)</f>
        <v>Cups Single</v>
      </c>
      <c r="E2833" t="str">
        <f>VLOOKUP(A2833,Panels!$A$1:$E$2104,5,0)</f>
        <v>Willie Law</v>
      </c>
    </row>
    <row r="2834">
      <c r="A2834" s="3">
        <v>1029.0</v>
      </c>
      <c r="B2834" s="3">
        <v>52.0</v>
      </c>
      <c r="C2834" s="3">
        <v>4.0</v>
      </c>
      <c r="D2834" t="str">
        <f>VLOOKUP(B2834,ERA_MOTIF_TYPES.csv!$A$1:$C$119,2,1)</f>
        <v>Single or multiple cups</v>
      </c>
      <c r="E2834" t="str">
        <f>VLOOKUP(A2834,Panels!$A$1:$E$2104,5,0)</f>
        <v>Willie Law</v>
      </c>
    </row>
    <row r="2835">
      <c r="A2835" s="3">
        <v>1030.0</v>
      </c>
      <c r="B2835" s="3">
        <v>52.0</v>
      </c>
      <c r="C2835" s="3">
        <v>2.0</v>
      </c>
      <c r="D2835" t="str">
        <f>VLOOKUP(B2835,ERA_MOTIF_TYPES.csv!$A$1:$C$119,2,1)</f>
        <v>Single or multiple cups</v>
      </c>
      <c r="E2835" t="str">
        <f>VLOOKUP(A2835,Panels!$A$1:$E$2104,5,0)</f>
        <v>Chatton Sandyford</v>
      </c>
    </row>
    <row r="2836">
      <c r="A2836" s="3">
        <v>1031.0</v>
      </c>
      <c r="B2836" s="3">
        <v>1.0</v>
      </c>
      <c r="C2836" s="3">
        <v>1.0</v>
      </c>
      <c r="D2836" t="str">
        <f>VLOOKUP(B2836,ERA_MOTIF_TYPES.csv!$A$1:$C$119,2,1)</f>
        <v>Cups Single</v>
      </c>
      <c r="E2836" t="str">
        <f>VLOOKUP(A2836,Panels!$A$1:$E$2104,5,0)</f>
        <v>Millstone Hill</v>
      </c>
    </row>
    <row r="2837">
      <c r="A2837" s="3">
        <v>1032.0</v>
      </c>
      <c r="B2837" s="3">
        <v>1.0</v>
      </c>
      <c r="C2837" s="3">
        <v>3.0</v>
      </c>
      <c r="D2837" t="str">
        <f>VLOOKUP(B2837,ERA_MOTIF_TYPES.csv!$A$1:$C$119,2,1)</f>
        <v>Cups Single</v>
      </c>
      <c r="E2837" t="str">
        <f>VLOOKUP(A2837,Panels!$A$1:$E$2104,5,0)</f>
        <v>Willie Law</v>
      </c>
    </row>
    <row r="2838">
      <c r="A2838" s="3">
        <v>1032.0</v>
      </c>
      <c r="B2838" s="3">
        <v>52.0</v>
      </c>
      <c r="C2838" s="3">
        <v>2.0</v>
      </c>
      <c r="D2838" t="str">
        <f>VLOOKUP(B2838,ERA_MOTIF_TYPES.csv!$A$1:$C$119,2,1)</f>
        <v>Single or multiple cups</v>
      </c>
      <c r="E2838" t="str">
        <f>VLOOKUP(A2838,Panels!$A$1:$E$2104,5,0)</f>
        <v>Willie Law</v>
      </c>
    </row>
    <row r="2839">
      <c r="A2839" s="3">
        <v>1033.0</v>
      </c>
      <c r="B2839" s="3">
        <v>1.0</v>
      </c>
      <c r="C2839" s="3">
        <v>7.0</v>
      </c>
      <c r="D2839" t="str">
        <f>VLOOKUP(B2839,ERA_MOTIF_TYPES.csv!$A$1:$C$119,2,1)</f>
        <v>Cups Single</v>
      </c>
      <c r="E2839" t="str">
        <f>VLOOKUP(A2839,Panels!$A$1:$E$2104,5,0)</f>
        <v>Chatton Sandyford</v>
      </c>
    </row>
    <row r="2840">
      <c r="A2840" s="3">
        <v>1033.0</v>
      </c>
      <c r="B2840" s="3">
        <v>3.0</v>
      </c>
      <c r="C2840" s="3">
        <v>1.0</v>
      </c>
      <c r="D2840" t="str">
        <f>VLOOKUP(B2840,ERA_MOTIF_TYPES.csv!$A$1:$C$119,2,1)</f>
        <v>Parallel Domino</v>
      </c>
      <c r="E2840" t="str">
        <f>VLOOKUP(A2840,Panels!$A$1:$E$2104,5,0)</f>
        <v>Chatton Sandyford</v>
      </c>
    </row>
    <row r="2841">
      <c r="A2841" s="3">
        <v>1033.0</v>
      </c>
      <c r="B2841" s="3">
        <v>25.0</v>
      </c>
      <c r="C2841" s="3">
        <v>1.0</v>
      </c>
      <c r="D2841" t="str">
        <f>VLOOKUP(B2841,ERA_MOTIF_TYPES.csv!$A$1:$C$119,2,1)</f>
        <v>Linear</v>
      </c>
      <c r="E2841" t="str">
        <f>VLOOKUP(A2841,Panels!$A$1:$E$2104,5,0)</f>
        <v>Chatton Sandyford</v>
      </c>
    </row>
    <row r="2842">
      <c r="A2842" s="3">
        <v>1033.0</v>
      </c>
      <c r="B2842" s="3">
        <v>52.0</v>
      </c>
      <c r="C2842" s="3">
        <v>28.0</v>
      </c>
      <c r="D2842" t="str">
        <f>VLOOKUP(B2842,ERA_MOTIF_TYPES.csv!$A$1:$C$119,2,1)</f>
        <v>Single or multiple cups</v>
      </c>
      <c r="E2842" t="str">
        <f>VLOOKUP(A2842,Panels!$A$1:$E$2104,5,0)</f>
        <v>Chatton Sandyford</v>
      </c>
    </row>
    <row r="2843">
      <c r="A2843" s="3">
        <v>1033.0</v>
      </c>
      <c r="B2843" s="3">
        <v>55.0</v>
      </c>
      <c r="C2843" s="3">
        <v>1.0</v>
      </c>
      <c r="D2843" t="str">
        <f>VLOOKUP(B2843,ERA_MOTIF_TYPES.csv!$A$1:$C$119,2,1)</f>
        <v>Cups in a straight or curved line</v>
      </c>
      <c r="E2843" t="str">
        <f>VLOOKUP(A2843,Panels!$A$1:$E$2104,5,0)</f>
        <v>Chatton Sandyford</v>
      </c>
    </row>
    <row r="2844">
      <c r="A2844" s="3">
        <v>1033.0</v>
      </c>
      <c r="B2844" s="3">
        <v>87.0</v>
      </c>
      <c r="C2844" s="3">
        <v>4.0</v>
      </c>
      <c r="D2844" t="str">
        <f>VLOOKUP(B2844,ERA_MOTIF_TYPES.csv!$A$1:$C$119,2,1)</f>
        <v>Linear and angular groove</v>
      </c>
      <c r="E2844" t="str">
        <f>VLOOKUP(A2844,Panels!$A$1:$E$2104,5,0)</f>
        <v>Chatton Sandyford</v>
      </c>
    </row>
    <row r="2845">
      <c r="A2845" s="3">
        <v>1034.0</v>
      </c>
      <c r="B2845" s="3">
        <v>1.0</v>
      </c>
      <c r="C2845" s="3">
        <v>1.0</v>
      </c>
      <c r="D2845" t="str">
        <f>VLOOKUP(B2845,ERA_MOTIF_TYPES.csv!$A$1:$C$119,2,1)</f>
        <v>Cups Single</v>
      </c>
      <c r="E2845" t="str">
        <f>VLOOKUP(A2845,Panels!$A$1:$E$2104,5,0)</f>
        <v>Willie Law</v>
      </c>
    </row>
    <row r="2846">
      <c r="A2846" s="3">
        <v>1034.0</v>
      </c>
      <c r="B2846" s="3">
        <v>52.0</v>
      </c>
      <c r="C2846" s="3">
        <v>1.0</v>
      </c>
      <c r="D2846" t="str">
        <f>VLOOKUP(B2846,ERA_MOTIF_TYPES.csv!$A$1:$C$119,2,1)</f>
        <v>Single or multiple cups</v>
      </c>
      <c r="E2846" t="str">
        <f>VLOOKUP(A2846,Panels!$A$1:$E$2104,5,0)</f>
        <v>Willie Law</v>
      </c>
    </row>
    <row r="2847">
      <c r="A2847" s="3">
        <v>1035.0</v>
      </c>
      <c r="B2847" s="3">
        <v>2.0</v>
      </c>
      <c r="C2847" s="3">
        <v>2.0</v>
      </c>
      <c r="D2847" t="str">
        <f>VLOOKUP(B2847,ERA_MOTIF_TYPES.csv!$A$1:$C$119,2,1)</f>
        <v>Random Cluster</v>
      </c>
      <c r="E2847" t="str">
        <f>VLOOKUP(A2847,Panels!$A$1:$E$2104,5,0)</f>
        <v>Lucker Moor</v>
      </c>
    </row>
    <row r="2848">
      <c r="A2848" s="3">
        <v>1035.0</v>
      </c>
      <c r="B2848" s="3">
        <v>50.0</v>
      </c>
      <c r="C2848" s="3">
        <v>5.0</v>
      </c>
      <c r="D2848" t="str">
        <f>VLOOKUP(B2848,ERA_MOTIF_TYPES.csv!$A$1:$C$119,2,1)</f>
        <v>Channels</v>
      </c>
      <c r="E2848" t="str">
        <f>VLOOKUP(A2848,Panels!$A$1:$E$2104,5,0)</f>
        <v>Lucker Moor</v>
      </c>
    </row>
    <row r="2849">
      <c r="A2849" s="3">
        <v>1035.0</v>
      </c>
      <c r="B2849" s="3">
        <v>51.0</v>
      </c>
      <c r="C2849" s="3">
        <v>4.0</v>
      </c>
      <c r="D2849" t="str">
        <f>VLOOKUP(B2849,ERA_MOTIF_TYPES.csv!$A$1:$C$119,2,1)</f>
        <v>Bowls</v>
      </c>
      <c r="E2849" t="str">
        <f>VLOOKUP(A2849,Panels!$A$1:$E$2104,5,0)</f>
        <v>Lucker Moor</v>
      </c>
    </row>
    <row r="2850">
      <c r="A2850" s="3">
        <v>1035.0</v>
      </c>
      <c r="B2850" s="3">
        <v>52.0</v>
      </c>
      <c r="C2850" s="3">
        <v>9.0</v>
      </c>
      <c r="D2850" t="str">
        <f>VLOOKUP(B2850,ERA_MOTIF_TYPES.csv!$A$1:$C$119,2,1)</f>
        <v>Single or multiple cups</v>
      </c>
      <c r="E2850" t="str">
        <f>VLOOKUP(A2850,Panels!$A$1:$E$2104,5,0)</f>
        <v>Lucker Moor</v>
      </c>
    </row>
    <row r="2851">
      <c r="A2851" s="3">
        <v>1036.0</v>
      </c>
      <c r="B2851" s="3">
        <v>1.0</v>
      </c>
      <c r="C2851" s="3">
        <v>2.0</v>
      </c>
      <c r="D2851" t="str">
        <f>VLOOKUP(B2851,ERA_MOTIF_TYPES.csv!$A$1:$C$119,2,1)</f>
        <v>Cups Single</v>
      </c>
      <c r="E2851" t="str">
        <f>VLOOKUP(A2851,Panels!$A$1:$E$2104,5,0)</f>
        <v>Lucker Moor</v>
      </c>
    </row>
    <row r="2852">
      <c r="A2852" s="3">
        <v>1036.0</v>
      </c>
      <c r="B2852" s="3">
        <v>52.0</v>
      </c>
      <c r="C2852" s="3">
        <v>2.0</v>
      </c>
      <c r="D2852" t="str">
        <f>VLOOKUP(B2852,ERA_MOTIF_TYPES.csv!$A$1:$C$119,2,1)</f>
        <v>Single or multiple cups</v>
      </c>
      <c r="E2852" t="str">
        <f>VLOOKUP(A2852,Panels!$A$1:$E$2104,5,0)</f>
        <v>Lucker Moor</v>
      </c>
    </row>
    <row r="2853">
      <c r="A2853" s="3">
        <v>1037.0</v>
      </c>
      <c r="B2853" s="3">
        <v>1.0</v>
      </c>
      <c r="C2853" s="3">
        <v>19.0</v>
      </c>
      <c r="D2853" t="str">
        <f>VLOOKUP(B2853,ERA_MOTIF_TYPES.csv!$A$1:$C$119,2,1)</f>
        <v>Cups Single</v>
      </c>
      <c r="E2853" t="str">
        <f>VLOOKUP(A2853,Panels!$A$1:$E$2104,5,0)</f>
        <v>Ox-Eye</v>
      </c>
    </row>
    <row r="2854">
      <c r="A2854" s="3">
        <v>1037.0</v>
      </c>
      <c r="B2854" s="3">
        <v>2.0</v>
      </c>
      <c r="C2854" s="3">
        <v>1.0</v>
      </c>
      <c r="D2854" t="str">
        <f>VLOOKUP(B2854,ERA_MOTIF_TYPES.csv!$A$1:$C$119,2,1)</f>
        <v>Random Cluster</v>
      </c>
      <c r="E2854" t="str">
        <f>VLOOKUP(A2854,Panels!$A$1:$E$2104,5,0)</f>
        <v>Ox-Eye</v>
      </c>
    </row>
    <row r="2855">
      <c r="A2855" s="3">
        <v>1037.0</v>
      </c>
      <c r="B2855" s="3">
        <v>52.0</v>
      </c>
      <c r="C2855" s="3">
        <v>12.0</v>
      </c>
      <c r="D2855" t="str">
        <f>VLOOKUP(B2855,ERA_MOTIF_TYPES.csv!$A$1:$C$119,2,1)</f>
        <v>Single or multiple cups</v>
      </c>
      <c r="E2855" t="str">
        <f>VLOOKUP(A2855,Panels!$A$1:$E$2104,5,0)</f>
        <v>Ox-Eye</v>
      </c>
    </row>
    <row r="2856">
      <c r="A2856" s="3">
        <v>1037.0</v>
      </c>
      <c r="B2856" s="3">
        <v>55.0</v>
      </c>
      <c r="C2856" s="3">
        <v>2.0</v>
      </c>
      <c r="D2856" t="str">
        <f>VLOOKUP(B2856,ERA_MOTIF_TYPES.csv!$A$1:$C$119,2,1)</f>
        <v>Cups in a straight or curved line</v>
      </c>
      <c r="E2856" t="str">
        <f>VLOOKUP(A2856,Panels!$A$1:$E$2104,5,0)</f>
        <v>Ox-Eye</v>
      </c>
    </row>
    <row r="2857">
      <c r="A2857" s="3">
        <v>1037.0</v>
      </c>
      <c r="B2857" s="3">
        <v>100.0</v>
      </c>
      <c r="C2857" s="3">
        <v>1.0</v>
      </c>
      <c r="D2857" t="str">
        <f>VLOOKUP(B2857,ERA_MOTIF_TYPES.csv!$A$1:$C$119,2,1)</f>
        <v>Pick marks</v>
      </c>
      <c r="E2857" t="str">
        <f>VLOOKUP(A2857,Panels!$A$1:$E$2104,5,0)</f>
        <v>Ox-Eye</v>
      </c>
    </row>
    <row r="2858">
      <c r="A2858" s="3">
        <v>1038.0</v>
      </c>
      <c r="B2858" s="3">
        <v>1.0</v>
      </c>
      <c r="C2858" s="3">
        <v>24.0</v>
      </c>
      <c r="D2858" t="str">
        <f>VLOOKUP(B2858,ERA_MOTIF_TYPES.csv!$A$1:$C$119,2,1)</f>
        <v>Cups Single</v>
      </c>
      <c r="E2858" t="str">
        <f>VLOOKUP(A2858,Panels!$A$1:$E$2104,5,0)</f>
        <v>Ox-Eye</v>
      </c>
    </row>
    <row r="2859">
      <c r="A2859" s="3">
        <v>1038.0</v>
      </c>
      <c r="B2859" s="3">
        <v>52.0</v>
      </c>
      <c r="C2859" s="3">
        <v>26.0</v>
      </c>
      <c r="D2859" t="str">
        <f>VLOOKUP(B2859,ERA_MOTIF_TYPES.csv!$A$1:$C$119,2,1)</f>
        <v>Single or multiple cups</v>
      </c>
      <c r="E2859" t="str">
        <f>VLOOKUP(A2859,Panels!$A$1:$E$2104,5,0)</f>
        <v>Ox-Eye</v>
      </c>
    </row>
    <row r="2860">
      <c r="A2860" s="3">
        <v>1038.0</v>
      </c>
      <c r="B2860" s="3">
        <v>105.0</v>
      </c>
      <c r="C2860" s="3">
        <v>1.0</v>
      </c>
      <c r="D2860" t="str">
        <f>VLOOKUP(B2860,ERA_MOTIF_TYPES.csv!$A$1:$C$119,2,1)</f>
        <v>Two cups linked by a groove</v>
      </c>
      <c r="E2860" t="str">
        <f>VLOOKUP(A2860,Panels!$A$1:$E$2104,5,0)</f>
        <v>Ox-Eye</v>
      </c>
    </row>
    <row r="2861">
      <c r="A2861" s="3">
        <v>1039.0</v>
      </c>
      <c r="B2861" s="3">
        <v>1.0</v>
      </c>
      <c r="C2861" s="3">
        <v>5.0</v>
      </c>
      <c r="D2861" t="str">
        <f>VLOOKUP(B2861,ERA_MOTIF_TYPES.csv!$A$1:$C$119,2,1)</f>
        <v>Cups Single</v>
      </c>
      <c r="E2861" t="str">
        <f>VLOOKUP(A2861,Panels!$A$1:$E$2104,5,0)</f>
        <v>Ros Castle</v>
      </c>
    </row>
    <row r="2862">
      <c r="A2862" s="3">
        <v>1039.0</v>
      </c>
      <c r="B2862" s="3">
        <v>52.0</v>
      </c>
      <c r="C2862" s="3">
        <v>4.0</v>
      </c>
      <c r="D2862" t="str">
        <f>VLOOKUP(B2862,ERA_MOTIF_TYPES.csv!$A$1:$C$119,2,1)</f>
        <v>Single or multiple cups</v>
      </c>
      <c r="E2862" t="str">
        <f>VLOOKUP(A2862,Panels!$A$1:$E$2104,5,0)</f>
        <v>Ros Castle</v>
      </c>
    </row>
    <row r="2863">
      <c r="A2863" s="3">
        <v>1039.0</v>
      </c>
      <c r="B2863" s="3">
        <v>93.0</v>
      </c>
      <c r="C2863" s="3">
        <v>1.0</v>
      </c>
      <c r="D2863" t="str">
        <f>VLOOKUP(B2863,ERA_MOTIF_TYPES.csv!$A$1:$C$119,2,1)</f>
        <v>Midget cup</v>
      </c>
      <c r="E2863" t="str">
        <f>VLOOKUP(A2863,Panels!$A$1:$E$2104,5,0)</f>
        <v>Ros Castle</v>
      </c>
    </row>
    <row r="2864">
      <c r="A2864" s="3">
        <v>1040.0</v>
      </c>
      <c r="B2864" s="3">
        <v>1.0</v>
      </c>
      <c r="C2864" s="3">
        <v>28.0</v>
      </c>
      <c r="D2864" t="str">
        <f>VLOOKUP(B2864,ERA_MOTIF_TYPES.csv!$A$1:$C$119,2,1)</f>
        <v>Cups Single</v>
      </c>
      <c r="E2864" t="str">
        <f>VLOOKUP(A2864,Panels!$A$1:$E$2104,5,0)</f>
        <v>Ros Castle</v>
      </c>
    </row>
    <row r="2865">
      <c r="A2865" s="3">
        <v>1040.0</v>
      </c>
      <c r="B2865" s="3">
        <v>52.0</v>
      </c>
      <c r="C2865" s="3">
        <v>28.0</v>
      </c>
      <c r="D2865" t="str">
        <f>VLOOKUP(B2865,ERA_MOTIF_TYPES.csv!$A$1:$C$119,2,1)</f>
        <v>Single or multiple cups</v>
      </c>
      <c r="E2865" t="str">
        <f>VLOOKUP(A2865,Panels!$A$1:$E$2104,5,0)</f>
        <v>Ros Castle</v>
      </c>
    </row>
    <row r="2866">
      <c r="A2866" s="3">
        <v>1040.0</v>
      </c>
      <c r="B2866" s="3">
        <v>55.0</v>
      </c>
      <c r="C2866" s="3">
        <v>1.0</v>
      </c>
      <c r="D2866" t="str">
        <f>VLOOKUP(B2866,ERA_MOTIF_TYPES.csv!$A$1:$C$119,2,1)</f>
        <v>Cups in a straight or curved line</v>
      </c>
      <c r="E2866" t="str">
        <f>VLOOKUP(A2866,Panels!$A$1:$E$2104,5,0)</f>
        <v>Ros Castle</v>
      </c>
    </row>
    <row r="2867">
      <c r="A2867" s="3">
        <v>1041.0</v>
      </c>
      <c r="B2867" s="3">
        <v>1.0</v>
      </c>
      <c r="C2867" s="3">
        <v>5.0</v>
      </c>
      <c r="D2867" t="str">
        <f>VLOOKUP(B2867,ERA_MOTIF_TYPES.csv!$A$1:$C$119,2,1)</f>
        <v>Cups Single</v>
      </c>
      <c r="E2867" t="str">
        <f>VLOOKUP(A2867,Panels!$A$1:$E$2104,5,0)</f>
        <v>Ros Castle</v>
      </c>
    </row>
    <row r="2868">
      <c r="A2868" s="3">
        <v>1041.0</v>
      </c>
      <c r="B2868" s="3">
        <v>10.0</v>
      </c>
      <c r="C2868" s="3">
        <v>1.0</v>
      </c>
      <c r="D2868" t="str">
        <f>VLOOKUP(B2868,ERA_MOTIF_TYPES.csv!$A$1:$C$119,2,1)</f>
        <v>Single Arc</v>
      </c>
      <c r="E2868" t="str">
        <f>VLOOKUP(A2868,Panels!$A$1:$E$2104,5,0)</f>
        <v>Ros Castle</v>
      </c>
    </row>
    <row r="2869">
      <c r="A2869" s="3">
        <v>1041.0</v>
      </c>
      <c r="B2869" s="3">
        <v>27.0</v>
      </c>
      <c r="C2869" s="3">
        <v>1.0</v>
      </c>
      <c r="D2869" t="str">
        <f>VLOOKUP(B2869,ERA_MOTIF_TYPES.csv!$A$1:$C$119,2,1)</f>
        <v>Serpentine</v>
      </c>
      <c r="E2869" t="str">
        <f>VLOOKUP(A2869,Panels!$A$1:$E$2104,5,0)</f>
        <v>Ros Castle</v>
      </c>
    </row>
    <row r="2870">
      <c r="A2870" s="3">
        <v>1041.0</v>
      </c>
      <c r="B2870" s="3">
        <v>31.0</v>
      </c>
      <c r="C2870" s="3">
        <v>1.0</v>
      </c>
      <c r="D2870" t="str">
        <f>VLOOKUP(B2870,ERA_MOTIF_TYPES.csv!$A$1:$C$119,2,1)</f>
        <v>Cup and Groove</v>
      </c>
      <c r="E2870" t="str">
        <f>VLOOKUP(A2870,Panels!$A$1:$E$2104,5,0)</f>
        <v>Ros Castle</v>
      </c>
    </row>
    <row r="2871">
      <c r="A2871" s="3">
        <v>1041.0</v>
      </c>
      <c r="B2871" s="3">
        <v>36.0</v>
      </c>
      <c r="C2871" s="3">
        <v>1.0</v>
      </c>
      <c r="D2871" t="str">
        <f>VLOOKUP(B2871,ERA_MOTIF_TYPES.csv!$A$1:$C$119,2,1)</f>
        <v>Cup Groove and arc</v>
      </c>
      <c r="E2871" t="str">
        <f>VLOOKUP(A2871,Panels!$A$1:$E$2104,5,0)</f>
        <v>Ros Castle</v>
      </c>
    </row>
    <row r="2872">
      <c r="A2872" s="3">
        <v>1041.0</v>
      </c>
      <c r="B2872" s="3">
        <v>52.0</v>
      </c>
      <c r="C2872" s="3">
        <v>5.0</v>
      </c>
      <c r="D2872" t="str">
        <f>VLOOKUP(B2872,ERA_MOTIF_TYPES.csv!$A$1:$C$119,2,1)</f>
        <v>Single or multiple cups</v>
      </c>
      <c r="E2872" t="str">
        <f>VLOOKUP(A2872,Panels!$A$1:$E$2104,5,0)</f>
        <v>Ros Castle</v>
      </c>
    </row>
    <row r="2873">
      <c r="A2873" s="3">
        <v>1041.0</v>
      </c>
      <c r="B2873" s="3">
        <v>73.0</v>
      </c>
      <c r="C2873" s="3">
        <v>2.0</v>
      </c>
      <c r="D2873" t="str">
        <f>VLOOKUP(B2873,ERA_MOTIF_TYPES.csv!$A$1:$C$119,2,1)</f>
        <v>Arc</v>
      </c>
      <c r="E2873" t="str">
        <f>VLOOKUP(A2873,Panels!$A$1:$E$2104,5,0)</f>
        <v>Ros Castle</v>
      </c>
    </row>
    <row r="2874">
      <c r="A2874" s="3">
        <v>1041.0</v>
      </c>
      <c r="B2874" s="3">
        <v>103.0</v>
      </c>
      <c r="C2874" s="3">
        <v>1.0</v>
      </c>
      <c r="D2874" t="str">
        <f>VLOOKUP(B2874,ERA_MOTIF_TYPES.csv!$A$1:$C$119,2,1)</f>
        <v>Cup and groove</v>
      </c>
      <c r="E2874" t="str">
        <f>VLOOKUP(A2874,Panels!$A$1:$E$2104,5,0)</f>
        <v>Ros Castle</v>
      </c>
    </row>
    <row r="2875">
      <c r="A2875" s="3">
        <v>1041.0</v>
      </c>
      <c r="B2875" s="3">
        <v>105.0</v>
      </c>
      <c r="C2875" s="3">
        <v>1.0</v>
      </c>
      <c r="D2875" t="str">
        <f>VLOOKUP(B2875,ERA_MOTIF_TYPES.csv!$A$1:$C$119,2,1)</f>
        <v>Two cups linked by a groove</v>
      </c>
      <c r="E2875" t="str">
        <f>VLOOKUP(A2875,Panels!$A$1:$E$2104,5,0)</f>
        <v>Ros Castle</v>
      </c>
    </row>
    <row r="2876">
      <c r="A2876" s="3">
        <v>1042.0</v>
      </c>
      <c r="B2876" s="3">
        <v>1.0</v>
      </c>
      <c r="C2876" s="3">
        <v>1.0</v>
      </c>
      <c r="D2876" t="str">
        <f>VLOOKUP(B2876,ERA_MOTIF_TYPES.csv!$A$1:$C$119,2,1)</f>
        <v>Cups Single</v>
      </c>
      <c r="E2876" t="str">
        <f>VLOOKUP(A2876,Panels!$A$1:$E$2104,5,0)</f>
        <v>Ros Castle</v>
      </c>
    </row>
    <row r="2877">
      <c r="A2877" s="3">
        <v>1042.0</v>
      </c>
      <c r="B2877" s="3">
        <v>52.0</v>
      </c>
      <c r="C2877" s="3">
        <v>1.0</v>
      </c>
      <c r="D2877" t="str">
        <f>VLOOKUP(B2877,ERA_MOTIF_TYPES.csv!$A$1:$C$119,2,1)</f>
        <v>Single or multiple cups</v>
      </c>
      <c r="E2877" t="str">
        <f>VLOOKUP(A2877,Panels!$A$1:$E$2104,5,0)</f>
        <v>Ros Castle</v>
      </c>
    </row>
    <row r="2878">
      <c r="A2878" s="3">
        <v>1043.0</v>
      </c>
      <c r="B2878" s="3">
        <v>1.0</v>
      </c>
      <c r="C2878" s="3">
        <v>22.0</v>
      </c>
      <c r="D2878" t="str">
        <f>VLOOKUP(B2878,ERA_MOTIF_TYPES.csv!$A$1:$C$119,2,1)</f>
        <v>Cups Single</v>
      </c>
      <c r="E2878" t="str">
        <f>VLOOKUP(A2878,Panels!$A$1:$E$2104,5,0)</f>
        <v>Ros Castle</v>
      </c>
    </row>
    <row r="2879">
      <c r="A2879" s="3">
        <v>1043.0</v>
      </c>
      <c r="B2879" s="3">
        <v>52.0</v>
      </c>
      <c r="C2879" s="3">
        <v>27.0</v>
      </c>
      <c r="D2879" t="str">
        <f>VLOOKUP(B2879,ERA_MOTIF_TYPES.csv!$A$1:$C$119,2,1)</f>
        <v>Single or multiple cups</v>
      </c>
      <c r="E2879" t="str">
        <f>VLOOKUP(A2879,Panels!$A$1:$E$2104,5,0)</f>
        <v>Ros Castle</v>
      </c>
    </row>
    <row r="2880">
      <c r="A2880" s="3">
        <v>1043.0</v>
      </c>
      <c r="B2880" s="3">
        <v>53.0</v>
      </c>
      <c r="C2880" s="3">
        <v>1.0</v>
      </c>
      <c r="D2880" t="str">
        <f>VLOOKUP(B2880,ERA_MOTIF_TYPES.csv!$A$1:$C$119,2,1)</f>
        <v>Domino patterns and parallel lines</v>
      </c>
      <c r="E2880" t="str">
        <f>VLOOKUP(A2880,Panels!$A$1:$E$2104,5,0)</f>
        <v>Ros Castle</v>
      </c>
    </row>
    <row r="2881">
      <c r="A2881" s="3">
        <v>1044.0</v>
      </c>
      <c r="B2881" s="3">
        <v>52.0</v>
      </c>
      <c r="C2881" s="3">
        <v>10.0</v>
      </c>
      <c r="D2881" t="str">
        <f>VLOOKUP(B2881,ERA_MOTIF_TYPES.csv!$A$1:$C$119,2,1)</f>
        <v>Single or multiple cups</v>
      </c>
      <c r="E2881" t="str">
        <f>VLOOKUP(A2881,Panels!$A$1:$E$2104,5,0)</f>
        <v>Ros Castle</v>
      </c>
    </row>
    <row r="2882">
      <c r="A2882" s="3">
        <v>1045.0</v>
      </c>
      <c r="B2882" s="3">
        <v>1.0</v>
      </c>
      <c r="C2882" s="3">
        <v>1.0</v>
      </c>
      <c r="D2882" t="str">
        <f>VLOOKUP(B2882,ERA_MOTIF_TYPES.csv!$A$1:$C$119,2,1)</f>
        <v>Cups Single</v>
      </c>
      <c r="E2882" t="str">
        <f>VLOOKUP(A2882,Panels!$A$1:$E$2104,5,0)</f>
        <v>Ros Castle</v>
      </c>
    </row>
    <row r="2883">
      <c r="A2883" s="3">
        <v>1045.0</v>
      </c>
      <c r="B2883" s="3">
        <v>52.0</v>
      </c>
      <c r="C2883" s="3">
        <v>1.0</v>
      </c>
      <c r="D2883" t="str">
        <f>VLOOKUP(B2883,ERA_MOTIF_TYPES.csv!$A$1:$C$119,2,1)</f>
        <v>Single or multiple cups</v>
      </c>
      <c r="E2883" t="str">
        <f>VLOOKUP(A2883,Panels!$A$1:$E$2104,5,0)</f>
        <v>Ros Castle</v>
      </c>
    </row>
    <row r="2884">
      <c r="A2884" s="3">
        <v>1046.0</v>
      </c>
      <c r="B2884" s="3">
        <v>1.0</v>
      </c>
      <c r="C2884" s="3">
        <v>1.0</v>
      </c>
      <c r="D2884" t="str">
        <f>VLOOKUP(B2884,ERA_MOTIF_TYPES.csv!$A$1:$C$119,2,1)</f>
        <v>Cups Single</v>
      </c>
      <c r="E2884" t="str">
        <f>VLOOKUP(A2884,Panels!$A$1:$E$2104,5,0)</f>
        <v>Hepburn Moor</v>
      </c>
    </row>
    <row r="2885">
      <c r="A2885" s="3">
        <v>1046.0</v>
      </c>
      <c r="B2885" s="3">
        <v>52.0</v>
      </c>
      <c r="C2885" s="3">
        <v>2.0</v>
      </c>
      <c r="D2885" t="str">
        <f>VLOOKUP(B2885,ERA_MOTIF_TYPES.csv!$A$1:$C$119,2,1)</f>
        <v>Single or multiple cups</v>
      </c>
      <c r="E2885" t="str">
        <f>VLOOKUP(A2885,Panels!$A$1:$E$2104,5,0)</f>
        <v>Hepburn Moor</v>
      </c>
    </row>
    <row r="2886">
      <c r="A2886" s="3">
        <v>1047.0</v>
      </c>
      <c r="B2886" s="3">
        <v>52.0</v>
      </c>
      <c r="C2886" s="3">
        <v>1.0</v>
      </c>
      <c r="D2886" t="str">
        <f>VLOOKUP(B2886,ERA_MOTIF_TYPES.csv!$A$1:$C$119,2,1)</f>
        <v>Single or multiple cups</v>
      </c>
      <c r="E2886" t="str">
        <f>VLOOKUP(A2886,Panels!$A$1:$E$2104,5,0)</f>
        <v>Hepburn Moor</v>
      </c>
    </row>
    <row r="2887">
      <c r="A2887" s="3">
        <v>1048.0</v>
      </c>
      <c r="B2887" s="3">
        <v>16.0</v>
      </c>
      <c r="C2887" s="3">
        <v>1.0</v>
      </c>
      <c r="D2887" t="str">
        <f>VLOOKUP(B2887,ERA_MOTIF_TYPES.csv!$A$1:$C$119,2,1)</f>
        <v>Single Arc + cup</v>
      </c>
      <c r="E2887" t="str">
        <f>VLOOKUP(A2887,Panels!$A$1:$E$2104,5,0)</f>
        <v>Hepburn Moor unenclosed</v>
      </c>
    </row>
    <row r="2888">
      <c r="A2888" s="3">
        <v>1049.0</v>
      </c>
      <c r="B2888" s="3">
        <v>1.0</v>
      </c>
      <c r="C2888" s="3">
        <v>3.0</v>
      </c>
      <c r="D2888" t="str">
        <f>VLOOKUP(B2888,ERA_MOTIF_TYPES.csv!$A$1:$C$119,2,1)</f>
        <v>Cups Single</v>
      </c>
      <c r="E2888" t="str">
        <f>VLOOKUP(A2888,Panels!$A$1:$E$2104,5,0)</f>
        <v>Hepburn Moor Unenclosed</v>
      </c>
    </row>
    <row r="2889">
      <c r="A2889" s="3">
        <v>1050.0</v>
      </c>
      <c r="B2889" s="3">
        <v>1.0</v>
      </c>
      <c r="C2889" s="3">
        <v>1.0</v>
      </c>
      <c r="D2889" t="str">
        <f>VLOOKUP(B2889,ERA_MOTIF_TYPES.csv!$A$1:$C$119,2,1)</f>
        <v>Cups Single</v>
      </c>
      <c r="E2889" t="str">
        <f>VLOOKUP(A2889,Panels!$A$1:$E$2104,5,0)</f>
        <v>Hepburn Moor</v>
      </c>
    </row>
    <row r="2890">
      <c r="A2890" s="3">
        <v>1050.0</v>
      </c>
      <c r="B2890" s="3">
        <v>25.0</v>
      </c>
      <c r="C2890" s="3">
        <v>1.0</v>
      </c>
      <c r="D2890" t="str">
        <f>VLOOKUP(B2890,ERA_MOTIF_TYPES.csv!$A$1:$C$119,2,1)</f>
        <v>Linear</v>
      </c>
      <c r="E2890" t="str">
        <f>VLOOKUP(A2890,Panels!$A$1:$E$2104,5,0)</f>
        <v>Hepburn Moor</v>
      </c>
    </row>
    <row r="2891">
      <c r="A2891" s="3">
        <v>1050.0</v>
      </c>
      <c r="B2891" s="3">
        <v>35.0</v>
      </c>
      <c r="C2891" s="3">
        <v>1.0</v>
      </c>
      <c r="D2891" t="str">
        <f>VLOOKUP(B2891,ERA_MOTIF_TYPES.csv!$A$1:$C$119,2,1)</f>
        <v>Cup Groove and multi penannular</v>
      </c>
      <c r="E2891" t="str">
        <f>VLOOKUP(A2891,Panels!$A$1:$E$2104,5,0)</f>
        <v>Hepburn Moor</v>
      </c>
    </row>
    <row r="2892">
      <c r="A2892" s="3">
        <v>1050.0</v>
      </c>
      <c r="B2892" s="3">
        <v>73.0</v>
      </c>
      <c r="C2892" s="3">
        <v>1.0</v>
      </c>
      <c r="D2892" t="str">
        <f>VLOOKUP(B2892,ERA_MOTIF_TYPES.csv!$A$1:$C$119,2,1)</f>
        <v>Arc</v>
      </c>
      <c r="E2892" t="str">
        <f>VLOOKUP(A2892,Panels!$A$1:$E$2104,5,0)</f>
        <v>Hepburn Moor</v>
      </c>
    </row>
    <row r="2893">
      <c r="A2893" s="3">
        <v>1050.0</v>
      </c>
      <c r="B2893" s="3">
        <v>87.0</v>
      </c>
      <c r="C2893" s="3">
        <v>1.0</v>
      </c>
      <c r="D2893" t="str">
        <f>VLOOKUP(B2893,ERA_MOTIF_TYPES.csv!$A$1:$C$119,2,1)</f>
        <v>Linear and angular groove</v>
      </c>
      <c r="E2893" t="str">
        <f>VLOOKUP(A2893,Panels!$A$1:$E$2104,5,0)</f>
        <v>Hepburn Moor</v>
      </c>
    </row>
    <row r="2894">
      <c r="A2894" s="3">
        <v>1050.0</v>
      </c>
      <c r="B2894" s="3">
        <v>107.0</v>
      </c>
      <c r="C2894" s="3">
        <v>1.0</v>
      </c>
      <c r="D2894" t="str">
        <f>VLOOKUP(B2894,ERA_MOTIF_TYPES.csv!$A$1:$C$119,2,1)</f>
        <v>Cup and ring with exterior groove</v>
      </c>
      <c r="E2894" t="str">
        <f>VLOOKUP(A2894,Panels!$A$1:$E$2104,5,0)</f>
        <v>Hepburn Moor</v>
      </c>
    </row>
    <row r="2895">
      <c r="A2895" s="3">
        <v>1051.0</v>
      </c>
      <c r="B2895" s="3">
        <v>1.0</v>
      </c>
      <c r="C2895" s="3">
        <v>2.0</v>
      </c>
      <c r="D2895" t="str">
        <f>VLOOKUP(B2895,ERA_MOTIF_TYPES.csv!$A$1:$C$119,2,1)</f>
        <v>Cups Single</v>
      </c>
      <c r="E2895" t="str">
        <f>VLOOKUP(A2895,Panels!$A$1:$E$2104,5,0)</f>
        <v>Hepburn Moor</v>
      </c>
    </row>
    <row r="2896">
      <c r="A2896" s="3">
        <v>1051.0</v>
      </c>
      <c r="B2896" s="3">
        <v>52.0</v>
      </c>
      <c r="C2896" s="3">
        <v>2.0</v>
      </c>
      <c r="D2896" t="str">
        <f>VLOOKUP(B2896,ERA_MOTIF_TYPES.csv!$A$1:$C$119,2,1)</f>
        <v>Single or multiple cups</v>
      </c>
      <c r="E2896" t="str">
        <f>VLOOKUP(A2896,Panels!$A$1:$E$2104,5,0)</f>
        <v>Hepburn Moor</v>
      </c>
    </row>
    <row r="2897">
      <c r="A2897" s="3">
        <v>1052.0</v>
      </c>
      <c r="B2897" s="3">
        <v>1.0</v>
      </c>
      <c r="C2897" s="3">
        <v>2.0</v>
      </c>
      <c r="D2897" t="str">
        <f>VLOOKUP(B2897,ERA_MOTIF_TYPES.csv!$A$1:$C$119,2,1)</f>
        <v>Cups Single</v>
      </c>
      <c r="E2897" t="str">
        <f>VLOOKUP(A2897,Panels!$A$1:$E$2104,5,0)</f>
        <v>Hepburn Moor</v>
      </c>
    </row>
    <row r="2898">
      <c r="A2898" s="3">
        <v>1052.0</v>
      </c>
      <c r="B2898" s="3">
        <v>52.0</v>
      </c>
      <c r="C2898" s="3">
        <v>2.0</v>
      </c>
      <c r="D2898" t="str">
        <f>VLOOKUP(B2898,ERA_MOTIF_TYPES.csv!$A$1:$C$119,2,1)</f>
        <v>Single or multiple cups</v>
      </c>
      <c r="E2898" t="str">
        <f>VLOOKUP(A2898,Panels!$A$1:$E$2104,5,0)</f>
        <v>Hepburn Moor</v>
      </c>
    </row>
    <row r="2899">
      <c r="A2899" s="3">
        <v>1053.0</v>
      </c>
      <c r="B2899" s="3">
        <v>52.0</v>
      </c>
      <c r="C2899" s="3">
        <v>1.0</v>
      </c>
      <c r="D2899" t="str">
        <f>VLOOKUP(B2899,ERA_MOTIF_TYPES.csv!$A$1:$C$119,2,1)</f>
        <v>Single or multiple cups</v>
      </c>
      <c r="E2899" t="str">
        <f>VLOOKUP(A2899,Panels!$A$1:$E$2104,5,0)</f>
        <v>Hepburn Moor</v>
      </c>
    </row>
    <row r="2900">
      <c r="A2900" s="3">
        <v>1054.0</v>
      </c>
      <c r="B2900" s="3">
        <v>1.0</v>
      </c>
      <c r="C2900" s="3">
        <v>10.0</v>
      </c>
      <c r="D2900" t="str">
        <f>VLOOKUP(B2900,ERA_MOTIF_TYPES.csv!$A$1:$C$119,2,1)</f>
        <v>Cups Single</v>
      </c>
      <c r="E2900" t="str">
        <f>VLOOKUP(A2900,Panels!$A$1:$E$2104,5,0)</f>
        <v>Bewick Moor North</v>
      </c>
    </row>
    <row r="2901">
      <c r="A2901" s="3">
        <v>1054.0</v>
      </c>
      <c r="B2901" s="3">
        <v>13.0</v>
      </c>
      <c r="C2901" s="3">
        <v>4.0</v>
      </c>
      <c r="D2901" t="str">
        <f>VLOOKUP(B2901,ERA_MOTIF_TYPES.csv!$A$1:$C$119,2,1)</f>
        <v>Single Ring + cup</v>
      </c>
      <c r="E2901" t="str">
        <f>VLOOKUP(A2901,Panels!$A$1:$E$2104,5,0)</f>
        <v>Bewick Moor North</v>
      </c>
    </row>
    <row r="2902">
      <c r="A2902" s="3">
        <v>1054.0</v>
      </c>
      <c r="B2902" s="3">
        <v>16.0</v>
      </c>
      <c r="C2902" s="3">
        <v>8.0</v>
      </c>
      <c r="D2902" t="str">
        <f>VLOOKUP(B2902,ERA_MOTIF_TYPES.csv!$A$1:$C$119,2,1)</f>
        <v>Single Arc + cup</v>
      </c>
      <c r="E2902" t="str">
        <f>VLOOKUP(A2902,Panels!$A$1:$E$2104,5,0)</f>
        <v>Bewick Moor North</v>
      </c>
    </row>
    <row r="2903">
      <c r="A2903" s="3">
        <v>1054.0</v>
      </c>
      <c r="B2903" s="3">
        <v>31.0</v>
      </c>
      <c r="C2903" s="3">
        <v>2.0</v>
      </c>
      <c r="D2903" t="str">
        <f>VLOOKUP(B2903,ERA_MOTIF_TYPES.csv!$A$1:$C$119,2,1)</f>
        <v>Cup and Groove</v>
      </c>
      <c r="E2903" t="str">
        <f>VLOOKUP(A2903,Panels!$A$1:$E$2104,5,0)</f>
        <v>Bewick Moor North</v>
      </c>
    </row>
    <row r="2904">
      <c r="A2904" s="3">
        <v>1054.0</v>
      </c>
      <c r="B2904" s="3">
        <v>52.0</v>
      </c>
      <c r="C2904" s="3">
        <v>12.0</v>
      </c>
      <c r="D2904" t="str">
        <f>VLOOKUP(B2904,ERA_MOTIF_TYPES.csv!$A$1:$C$119,2,1)</f>
        <v>Single or multiple cups</v>
      </c>
      <c r="E2904" t="str">
        <f>VLOOKUP(A2904,Panels!$A$1:$E$2104,5,0)</f>
        <v>Bewick Moor North</v>
      </c>
    </row>
    <row r="2905">
      <c r="A2905" s="3">
        <v>1054.0</v>
      </c>
      <c r="B2905" s="3">
        <v>57.0</v>
      </c>
      <c r="C2905" s="3">
        <v>4.0</v>
      </c>
      <c r="D2905" t="str">
        <f>VLOOKUP(B2905,ERA_MOTIF_TYPES.csv!$A$1:$C$119,2,1)</f>
        <v>Cup and ring</v>
      </c>
      <c r="E2905" t="str">
        <f>VLOOKUP(A2905,Panels!$A$1:$E$2104,5,0)</f>
        <v>Bewick Moor North</v>
      </c>
    </row>
    <row r="2906">
      <c r="A2906" s="3">
        <v>1054.0</v>
      </c>
      <c r="B2906" s="3">
        <v>59.0</v>
      </c>
      <c r="C2906" s="3">
        <v>3.0</v>
      </c>
      <c r="D2906" t="str">
        <f>VLOOKUP(B2906,ERA_MOTIF_TYPES.csv!$A$1:$C$119,2,1)</f>
        <v>Cup and penannular</v>
      </c>
      <c r="E2906" t="str">
        <f>VLOOKUP(A2906,Panels!$A$1:$E$2104,5,0)</f>
        <v>Bewick Moor North</v>
      </c>
    </row>
    <row r="2907">
      <c r="A2907" s="3">
        <v>1054.0</v>
      </c>
      <c r="B2907" s="3">
        <v>61.0</v>
      </c>
      <c r="C2907" s="3">
        <v>4.0</v>
      </c>
      <c r="D2907" t="str">
        <f>VLOOKUP(B2907,ERA_MOTIF_TYPES.csv!$A$1:$C$119,2,1)</f>
        <v>Cup and arc (or semi-ovoid)</v>
      </c>
      <c r="E2907" t="str">
        <f>VLOOKUP(A2907,Panels!$A$1:$E$2104,5,0)</f>
        <v>Bewick Moor North</v>
      </c>
    </row>
    <row r="2908">
      <c r="A2908" s="3">
        <v>1054.0</v>
      </c>
      <c r="B2908" s="3">
        <v>87.0</v>
      </c>
      <c r="C2908" s="3">
        <v>1.0</v>
      </c>
      <c r="D2908" t="str">
        <f>VLOOKUP(B2908,ERA_MOTIF_TYPES.csv!$A$1:$C$119,2,1)</f>
        <v>Linear and angular groove</v>
      </c>
      <c r="E2908" t="str">
        <f>VLOOKUP(A2908,Panels!$A$1:$E$2104,5,0)</f>
        <v>Bewick Moor North</v>
      </c>
    </row>
    <row r="2909">
      <c r="A2909" s="3">
        <v>1054.0</v>
      </c>
      <c r="B2909" s="3">
        <v>105.0</v>
      </c>
      <c r="C2909" s="3">
        <v>1.0</v>
      </c>
      <c r="D2909" t="str">
        <f>VLOOKUP(B2909,ERA_MOTIF_TYPES.csv!$A$1:$C$119,2,1)</f>
        <v>Two cups linked by a groove</v>
      </c>
      <c r="E2909" t="str">
        <f>VLOOKUP(A2909,Panels!$A$1:$E$2104,5,0)</f>
        <v>Bewick Moor North</v>
      </c>
    </row>
    <row r="2910">
      <c r="A2910" s="3">
        <v>1055.0</v>
      </c>
      <c r="B2910" s="3">
        <v>1.0</v>
      </c>
      <c r="C2910" s="3">
        <v>1.0</v>
      </c>
      <c r="D2910" t="str">
        <f>VLOOKUP(B2910,ERA_MOTIF_TYPES.csv!$A$1:$C$119,2,1)</f>
        <v>Cups Single</v>
      </c>
      <c r="E2910" t="str">
        <f>VLOOKUP(A2910,Panels!$A$1:$E$2104,5,0)</f>
        <v>Blawearie-Bewick Moor</v>
      </c>
    </row>
    <row r="2911">
      <c r="A2911" s="3">
        <v>1056.0</v>
      </c>
      <c r="B2911" s="3">
        <v>28.0</v>
      </c>
      <c r="C2911" s="3">
        <v>1.0</v>
      </c>
      <c r="D2911" t="str">
        <f>VLOOKUP(B2911,ERA_MOTIF_TYPES.csv!$A$1:$C$119,2,1)</f>
        <v>Chevron</v>
      </c>
      <c r="E2911" t="str">
        <f>VLOOKUP(A2911,Panels!$A$1:$E$2104,5,0)</f>
        <v>Bewick Moor North</v>
      </c>
    </row>
    <row r="2912">
      <c r="A2912" s="3">
        <v>1056.0</v>
      </c>
      <c r="B2912" s="3">
        <v>50.0</v>
      </c>
      <c r="C2912" s="3">
        <v>3.0</v>
      </c>
      <c r="D2912" t="str">
        <f>VLOOKUP(B2912,ERA_MOTIF_TYPES.csv!$A$1:$C$119,2,1)</f>
        <v>Channels</v>
      </c>
      <c r="E2912" t="str">
        <f>VLOOKUP(A2912,Panels!$A$1:$E$2104,5,0)</f>
        <v>Bewick Moor North</v>
      </c>
    </row>
    <row r="2913">
      <c r="A2913" s="3">
        <v>1056.0</v>
      </c>
      <c r="B2913" s="3">
        <v>51.0</v>
      </c>
      <c r="C2913" s="3">
        <v>10.0</v>
      </c>
      <c r="D2913" t="str">
        <f>VLOOKUP(B2913,ERA_MOTIF_TYPES.csv!$A$1:$C$119,2,1)</f>
        <v>Bowls</v>
      </c>
      <c r="E2913" t="str">
        <f>VLOOKUP(A2913,Panels!$A$1:$E$2104,5,0)</f>
        <v>Bewick Moor North</v>
      </c>
    </row>
    <row r="2914">
      <c r="A2914" s="3">
        <v>1056.0</v>
      </c>
      <c r="B2914" s="3">
        <v>57.0</v>
      </c>
      <c r="C2914" s="3">
        <v>1.0</v>
      </c>
      <c r="D2914" t="str">
        <f>VLOOKUP(B2914,ERA_MOTIF_TYPES.csv!$A$1:$C$119,2,1)</f>
        <v>Cup and ring</v>
      </c>
      <c r="E2914" t="str">
        <f>VLOOKUP(A2914,Panels!$A$1:$E$2104,5,0)</f>
        <v>Bewick Moor North</v>
      </c>
    </row>
    <row r="2915">
      <c r="A2915" s="3">
        <v>1056.0</v>
      </c>
      <c r="B2915" s="3">
        <v>89.0</v>
      </c>
      <c r="C2915" s="3">
        <v>1.0</v>
      </c>
      <c r="D2915" t="str">
        <f>VLOOKUP(B2915,ERA_MOTIF_TYPES.csv!$A$1:$C$119,2,1)</f>
        <v>Chevron</v>
      </c>
      <c r="E2915" t="str">
        <f>VLOOKUP(A2915,Panels!$A$1:$E$2104,5,0)</f>
        <v>Bewick Moor North</v>
      </c>
    </row>
    <row r="2916">
      <c r="A2916" s="3">
        <v>1057.0</v>
      </c>
      <c r="B2916" s="3">
        <v>1.0</v>
      </c>
      <c r="C2916" s="3">
        <v>4.0</v>
      </c>
      <c r="D2916" t="str">
        <f>VLOOKUP(B2916,ERA_MOTIF_TYPES.csv!$A$1:$C$119,2,1)</f>
        <v>Cups Single</v>
      </c>
      <c r="E2916" t="str">
        <f>VLOOKUP(A2916,Panels!$A$1:$E$2104,5,0)</f>
        <v>Blawearie-Bewick Moor</v>
      </c>
    </row>
    <row r="2917">
      <c r="A2917" s="3">
        <v>1058.0</v>
      </c>
      <c r="B2917" s="3">
        <v>1.0</v>
      </c>
      <c r="C2917" s="3">
        <v>9.0</v>
      </c>
      <c r="D2917" t="str">
        <f>VLOOKUP(B2917,ERA_MOTIF_TYPES.csv!$A$1:$C$119,2,1)</f>
        <v>Cups Single</v>
      </c>
      <c r="E2917" t="str">
        <f>VLOOKUP(A2917,Panels!$A$1:$E$2104,5,0)</f>
        <v>Bewick Moor North</v>
      </c>
    </row>
    <row r="2918">
      <c r="A2918" s="3">
        <v>1058.0</v>
      </c>
      <c r="B2918" s="3">
        <v>52.0</v>
      </c>
      <c r="C2918" s="3">
        <v>5.0</v>
      </c>
      <c r="D2918" t="str">
        <f>VLOOKUP(B2918,ERA_MOTIF_TYPES.csv!$A$1:$C$119,2,1)</f>
        <v>Single or multiple cups</v>
      </c>
      <c r="E2918" t="str">
        <f>VLOOKUP(A2918,Panels!$A$1:$E$2104,5,0)</f>
        <v>Bewick Moor North</v>
      </c>
    </row>
    <row r="2919">
      <c r="A2919" s="3">
        <v>1058.0</v>
      </c>
      <c r="B2919" s="3">
        <v>103.0</v>
      </c>
      <c r="C2919" s="3">
        <v>1.0</v>
      </c>
      <c r="D2919" t="str">
        <f>VLOOKUP(B2919,ERA_MOTIF_TYPES.csv!$A$1:$C$119,2,1)</f>
        <v>Cup and groove</v>
      </c>
      <c r="E2919" t="str">
        <f>VLOOKUP(A2919,Panels!$A$1:$E$2104,5,0)</f>
        <v>Bewick Moor North</v>
      </c>
    </row>
    <row r="2920">
      <c r="A2920" s="3">
        <v>1059.0</v>
      </c>
      <c r="B2920" s="3">
        <v>1.0</v>
      </c>
      <c r="C2920" s="3">
        <v>1.0</v>
      </c>
      <c r="D2920" t="str">
        <f>VLOOKUP(B2920,ERA_MOTIF_TYPES.csv!$A$1:$C$119,2,1)</f>
        <v>Cups Single</v>
      </c>
      <c r="E2920" t="str">
        <f>VLOOKUP(A2920,Panels!$A$1:$E$2104,5,0)</f>
        <v>Blawearie-Bewick Moor</v>
      </c>
    </row>
    <row r="2921">
      <c r="A2921" s="3">
        <v>1060.0</v>
      </c>
      <c r="B2921" s="3">
        <v>1.0</v>
      </c>
      <c r="C2921" s="3">
        <v>7.0</v>
      </c>
      <c r="D2921" t="str">
        <f>VLOOKUP(B2921,ERA_MOTIF_TYPES.csv!$A$1:$C$119,2,1)</f>
        <v>Cups Single</v>
      </c>
      <c r="E2921" t="str">
        <f>VLOOKUP(A2921,Panels!$A$1:$E$2104,5,0)</f>
        <v>Harehope</v>
      </c>
    </row>
    <row r="2922">
      <c r="A2922" s="3">
        <v>1060.0</v>
      </c>
      <c r="B2922" s="3">
        <v>52.0</v>
      </c>
      <c r="C2922" s="3">
        <v>8.0</v>
      </c>
      <c r="D2922" t="str">
        <f>VLOOKUP(B2922,ERA_MOTIF_TYPES.csv!$A$1:$C$119,2,1)</f>
        <v>Single or multiple cups</v>
      </c>
      <c r="E2922" t="str">
        <f>VLOOKUP(A2922,Panels!$A$1:$E$2104,5,0)</f>
        <v>Harehope</v>
      </c>
    </row>
    <row r="2923">
      <c r="A2923" s="3">
        <v>1061.0</v>
      </c>
      <c r="B2923" s="3">
        <v>1.0</v>
      </c>
      <c r="C2923" s="3">
        <v>2.0</v>
      </c>
      <c r="D2923" t="str">
        <f>VLOOKUP(B2923,ERA_MOTIF_TYPES.csv!$A$1:$C$119,2,1)</f>
        <v>Cups Single</v>
      </c>
      <c r="E2923" t="str">
        <f>VLOOKUP(A2923,Panels!$A$1:$E$2104,5,0)</f>
        <v>Harehope</v>
      </c>
    </row>
    <row r="2924">
      <c r="A2924" s="3">
        <v>1061.0</v>
      </c>
      <c r="B2924" s="3">
        <v>17.0</v>
      </c>
      <c r="C2924" s="3">
        <v>1.0</v>
      </c>
      <c r="D2924" t="str">
        <f>VLOOKUP(B2924,ERA_MOTIF_TYPES.csv!$A$1:$C$119,2,1)</f>
        <v>Single Penannular + cup</v>
      </c>
      <c r="E2924" t="str">
        <f>VLOOKUP(A2924,Panels!$A$1:$E$2104,5,0)</f>
        <v>Harehope</v>
      </c>
    </row>
    <row r="2925">
      <c r="A2925" s="3">
        <v>1061.0</v>
      </c>
      <c r="B2925" s="3">
        <v>52.0</v>
      </c>
      <c r="C2925" s="3">
        <v>2.0</v>
      </c>
      <c r="D2925" t="str">
        <f>VLOOKUP(B2925,ERA_MOTIF_TYPES.csv!$A$1:$C$119,2,1)</f>
        <v>Single or multiple cups</v>
      </c>
      <c r="E2925" t="str">
        <f>VLOOKUP(A2925,Panels!$A$1:$E$2104,5,0)</f>
        <v>Harehope</v>
      </c>
    </row>
    <row r="2926">
      <c r="A2926" s="3">
        <v>1061.0</v>
      </c>
      <c r="B2926" s="3">
        <v>59.0</v>
      </c>
      <c r="C2926" s="3">
        <v>1.0</v>
      </c>
      <c r="D2926" t="str">
        <f>VLOOKUP(B2926,ERA_MOTIF_TYPES.csv!$A$1:$C$119,2,1)</f>
        <v>Cup and penannular</v>
      </c>
      <c r="E2926" t="str">
        <f>VLOOKUP(A2926,Panels!$A$1:$E$2104,5,0)</f>
        <v>Harehope</v>
      </c>
    </row>
    <row r="2927">
      <c r="A2927" s="3">
        <v>1062.0</v>
      </c>
      <c r="B2927" s="3">
        <v>1.0</v>
      </c>
      <c r="C2927" s="3">
        <v>6.0</v>
      </c>
      <c r="D2927" t="str">
        <f>VLOOKUP(B2927,ERA_MOTIF_TYPES.csv!$A$1:$C$119,2,1)</f>
        <v>Cups Single</v>
      </c>
      <c r="E2927" t="str">
        <f>VLOOKUP(A2927,Panels!$A$1:$E$2104,5,0)</f>
        <v>Harehope</v>
      </c>
    </row>
    <row r="2928">
      <c r="A2928" s="3">
        <v>1062.0</v>
      </c>
      <c r="B2928" s="3">
        <v>52.0</v>
      </c>
      <c r="C2928" s="3">
        <v>11.0</v>
      </c>
      <c r="D2928" t="str">
        <f>VLOOKUP(B2928,ERA_MOTIF_TYPES.csv!$A$1:$C$119,2,1)</f>
        <v>Single or multiple cups</v>
      </c>
      <c r="E2928" t="str">
        <f>VLOOKUP(A2928,Panels!$A$1:$E$2104,5,0)</f>
        <v>Harehope</v>
      </c>
    </row>
    <row r="2929">
      <c r="A2929" s="3">
        <v>1064.0</v>
      </c>
      <c r="B2929" s="3">
        <v>1.0</v>
      </c>
      <c r="C2929" s="3">
        <v>2.0</v>
      </c>
      <c r="D2929" t="str">
        <f>VLOOKUP(B2929,ERA_MOTIF_TYPES.csv!$A$1:$C$119,2,1)</f>
        <v>Cups Single</v>
      </c>
      <c r="E2929" t="str">
        <f>VLOOKUP(A2929,Panels!$A$1:$E$2104,5,0)</f>
        <v>Langleeford</v>
      </c>
    </row>
    <row r="2930">
      <c r="A2930" s="3">
        <v>1064.0</v>
      </c>
      <c r="B2930" s="3">
        <v>52.0</v>
      </c>
      <c r="C2930" s="3">
        <v>2.0</v>
      </c>
      <c r="D2930" t="str">
        <f>VLOOKUP(B2930,ERA_MOTIF_TYPES.csv!$A$1:$C$119,2,1)</f>
        <v>Single or multiple cups</v>
      </c>
      <c r="E2930" t="str">
        <f>VLOOKUP(A2930,Panels!$A$1:$E$2104,5,0)</f>
        <v>Langleeford</v>
      </c>
    </row>
    <row r="2931">
      <c r="A2931" s="3">
        <v>1065.0</v>
      </c>
      <c r="B2931" s="3">
        <v>1.0</v>
      </c>
      <c r="C2931" s="3">
        <v>1.0</v>
      </c>
      <c r="D2931" t="str">
        <f>VLOOKUP(B2931,ERA_MOTIF_TYPES.csv!$A$1:$C$119,2,1)</f>
        <v>Cups Single</v>
      </c>
      <c r="E2931" t="str">
        <f>VLOOKUP(A2931,Panels!$A$1:$E$2104,5,0)</f>
        <v>Old Bewick</v>
      </c>
    </row>
    <row r="2932">
      <c r="A2932" s="3">
        <v>1065.0</v>
      </c>
      <c r="B2932" s="3">
        <v>52.0</v>
      </c>
      <c r="C2932" s="3">
        <v>1.0</v>
      </c>
      <c r="D2932" t="str">
        <f>VLOOKUP(B2932,ERA_MOTIF_TYPES.csv!$A$1:$C$119,2,1)</f>
        <v>Single or multiple cups</v>
      </c>
      <c r="E2932" t="str">
        <f>VLOOKUP(A2932,Panels!$A$1:$E$2104,5,0)</f>
        <v>Old Bewick</v>
      </c>
    </row>
    <row r="2933">
      <c r="A2933" s="3">
        <v>1066.0</v>
      </c>
      <c r="B2933" s="3">
        <v>57.0</v>
      </c>
      <c r="C2933" s="3">
        <v>1.0</v>
      </c>
      <c r="D2933" t="str">
        <f>VLOOKUP(B2933,ERA_MOTIF_TYPES.csv!$A$1:$C$119,2,1)</f>
        <v>Cup and ring</v>
      </c>
      <c r="E2933" t="str">
        <f>VLOOKUP(A2933,Panels!$A$1:$E$2104,5,0)</f>
        <v>Old Bewick Quarry</v>
      </c>
    </row>
    <row r="2934">
      <c r="A2934" s="3">
        <v>1066.0</v>
      </c>
      <c r="B2934" s="3">
        <v>16.0</v>
      </c>
      <c r="C2934" s="3">
        <v>1.0</v>
      </c>
      <c r="D2934" t="str">
        <f>VLOOKUP(B2934,ERA_MOTIF_TYPES.csv!$A$1:$C$119,2,1)</f>
        <v>Single Arc + cup</v>
      </c>
      <c r="E2934" t="str">
        <f>VLOOKUP(A2934,Panels!$A$1:$E$2104,5,0)</f>
        <v>Old Bewick Quarry</v>
      </c>
    </row>
    <row r="2935">
      <c r="A2935" s="3">
        <v>1066.0</v>
      </c>
      <c r="B2935" s="3">
        <v>32.0</v>
      </c>
      <c r="C2935" s="3">
        <v>2.0</v>
      </c>
      <c r="D2935" t="str">
        <f>VLOOKUP(B2935,ERA_MOTIF_TYPES.csv!$A$1:$C$119,2,1)</f>
        <v>Cup Groove and single ring</v>
      </c>
      <c r="E2935" t="str">
        <f>VLOOKUP(A2935,Panels!$A$1:$E$2104,5,0)</f>
        <v>Old Bewick Quarry</v>
      </c>
    </row>
    <row r="2936">
      <c r="A2936" s="3">
        <v>1066.0</v>
      </c>
      <c r="B2936" s="3">
        <v>65.0</v>
      </c>
      <c r="C2936" s="3">
        <v>1.0</v>
      </c>
      <c r="D2936" t="str">
        <f>VLOOKUP(B2936,ERA_MOTIF_TYPES.csv!$A$1:$C$119,2,1)</f>
        <v>Cup and groove with penannular</v>
      </c>
      <c r="E2936" t="str">
        <f>VLOOKUP(A2936,Panels!$A$1:$E$2104,5,0)</f>
        <v>Old Bewick Quarry</v>
      </c>
    </row>
    <row r="2937">
      <c r="A2937" s="3">
        <v>1066.0</v>
      </c>
      <c r="B2937" s="3">
        <v>67.0</v>
      </c>
      <c r="C2937" s="3">
        <v>1.0</v>
      </c>
      <c r="D2937" t="str">
        <f>VLOOKUP(B2937,ERA_MOTIF_TYPES.csv!$A$1:$C$119,2,1)</f>
        <v>Cup and groove with arc</v>
      </c>
      <c r="E2937" t="str">
        <f>VLOOKUP(A2937,Panels!$A$1:$E$2104,5,0)</f>
        <v>Old Bewick Quarry</v>
      </c>
    </row>
    <row r="2938">
      <c r="A2938" s="3">
        <v>1067.0</v>
      </c>
      <c r="B2938" s="3">
        <v>1.0</v>
      </c>
      <c r="C2938" s="3">
        <v>2.0</v>
      </c>
      <c r="D2938" t="str">
        <f>VLOOKUP(B2938,ERA_MOTIF_TYPES.csv!$A$1:$C$119,2,1)</f>
        <v>Cups Single</v>
      </c>
      <c r="E2938" t="str">
        <f>VLOOKUP(A2938,Panels!$A$1:$E$2104,5,0)</f>
        <v>Old Bewick Quarry</v>
      </c>
    </row>
    <row r="2939">
      <c r="A2939" s="3">
        <v>1067.0</v>
      </c>
      <c r="B2939" s="3">
        <v>52.0</v>
      </c>
      <c r="C2939" s="3">
        <v>2.0</v>
      </c>
      <c r="D2939" t="str">
        <f>VLOOKUP(B2939,ERA_MOTIF_TYPES.csv!$A$1:$C$119,2,1)</f>
        <v>Single or multiple cups</v>
      </c>
      <c r="E2939" t="str">
        <f>VLOOKUP(A2939,Panels!$A$1:$E$2104,5,0)</f>
        <v>Old Bewick Quarry</v>
      </c>
    </row>
    <row r="2940">
      <c r="A2940" s="3">
        <v>1068.0</v>
      </c>
      <c r="B2940" s="3">
        <v>13.0</v>
      </c>
      <c r="C2940" s="3">
        <v>1.0</v>
      </c>
      <c r="D2940" t="str">
        <f>VLOOKUP(B2940,ERA_MOTIF_TYPES.csv!$A$1:$C$119,2,1)</f>
        <v>Single Ring + cup</v>
      </c>
      <c r="E2940" t="str">
        <f>VLOOKUP(A2940,Panels!$A$1:$E$2104,5,0)</f>
        <v>Old Bewick Quarry</v>
      </c>
    </row>
    <row r="2941">
      <c r="A2941" s="3">
        <v>1068.0</v>
      </c>
      <c r="B2941" s="3">
        <v>52.0</v>
      </c>
      <c r="C2941" s="3">
        <v>1.0</v>
      </c>
      <c r="D2941" t="str">
        <f>VLOOKUP(B2941,ERA_MOTIF_TYPES.csv!$A$1:$C$119,2,1)</f>
        <v>Single or multiple cups</v>
      </c>
      <c r="E2941" t="str">
        <f>VLOOKUP(A2941,Panels!$A$1:$E$2104,5,0)</f>
        <v>Old Bewick Quarry</v>
      </c>
    </row>
    <row r="2942">
      <c r="A2942" s="3">
        <v>1068.0</v>
      </c>
      <c r="B2942" s="3">
        <v>59.0</v>
      </c>
      <c r="C2942" s="3">
        <v>1.0</v>
      </c>
      <c r="D2942" t="str">
        <f>VLOOKUP(B2942,ERA_MOTIF_TYPES.csv!$A$1:$C$119,2,1)</f>
        <v>Cup and penannular</v>
      </c>
      <c r="E2942" t="str">
        <f>VLOOKUP(A2942,Panels!$A$1:$E$2104,5,0)</f>
        <v>Old Bewick Quarry</v>
      </c>
    </row>
    <row r="2943">
      <c r="A2943" s="3">
        <v>1068.0</v>
      </c>
      <c r="B2943" s="3">
        <v>73.0</v>
      </c>
      <c r="C2943" s="3">
        <v>2.0</v>
      </c>
      <c r="D2943" t="str">
        <f>VLOOKUP(B2943,ERA_MOTIF_TYPES.csv!$A$1:$C$119,2,1)</f>
        <v>Arc</v>
      </c>
      <c r="E2943" t="str">
        <f>VLOOKUP(A2943,Panels!$A$1:$E$2104,5,0)</f>
        <v>Old Bewick Quarry</v>
      </c>
    </row>
    <row r="2944">
      <c r="A2944" s="3">
        <v>1068.0</v>
      </c>
      <c r="B2944" s="3">
        <v>93.0</v>
      </c>
      <c r="C2944" s="3">
        <v>15.0</v>
      </c>
      <c r="D2944" t="str">
        <f>VLOOKUP(B2944,ERA_MOTIF_TYPES.csv!$A$1:$C$119,2,1)</f>
        <v>Midget cup</v>
      </c>
      <c r="E2944" t="str">
        <f>VLOOKUP(A2944,Panels!$A$1:$E$2104,5,0)</f>
        <v>Old Bewick Quarry</v>
      </c>
    </row>
    <row r="2945">
      <c r="A2945" s="3">
        <v>1069.0</v>
      </c>
      <c r="B2945" s="3">
        <v>52.0</v>
      </c>
      <c r="C2945" s="3">
        <v>8.0</v>
      </c>
      <c r="D2945" t="str">
        <f>VLOOKUP(B2945,ERA_MOTIF_TYPES.csv!$A$1:$C$119,2,1)</f>
        <v>Single or multiple cups</v>
      </c>
      <c r="E2945" t="str">
        <f>VLOOKUP(A2945,Panels!$A$1:$E$2104,5,0)</f>
        <v>Alwinton/Newton/Clennell Cottages</v>
      </c>
    </row>
    <row r="2946">
      <c r="A2946" s="3">
        <v>1069.0</v>
      </c>
      <c r="B2946" s="3">
        <v>57.0</v>
      </c>
      <c r="C2946" s="3">
        <v>1.0</v>
      </c>
      <c r="D2946" t="str">
        <f>VLOOKUP(B2946,ERA_MOTIF_TYPES.csv!$A$1:$C$119,2,1)</f>
        <v>Cup and ring</v>
      </c>
      <c r="E2946" t="str">
        <f>VLOOKUP(A2946,Panels!$A$1:$E$2104,5,0)</f>
        <v>Alwinton/Newton/Clennell Cottages</v>
      </c>
    </row>
    <row r="2947">
      <c r="A2947" s="3">
        <v>1069.0</v>
      </c>
      <c r="B2947" s="3">
        <v>60.0</v>
      </c>
      <c r="C2947" s="3">
        <v>1.0</v>
      </c>
      <c r="D2947" t="str">
        <f>VLOOKUP(B2947,ERA_MOTIF_TYPES.csv!$A$1:$C$119,2,1)</f>
        <v>Cup and multiple penannulars</v>
      </c>
      <c r="E2947" t="str">
        <f>VLOOKUP(A2947,Panels!$A$1:$E$2104,5,0)</f>
        <v>Alwinton/Newton/Clennell Cottages</v>
      </c>
    </row>
    <row r="2948">
      <c r="A2948" s="3">
        <v>1069.0</v>
      </c>
      <c r="B2948" s="3">
        <v>87.0</v>
      </c>
      <c r="C2948" s="3">
        <v>2.0</v>
      </c>
      <c r="D2948" t="str">
        <f>VLOOKUP(B2948,ERA_MOTIF_TYPES.csv!$A$1:$C$119,2,1)</f>
        <v>Linear and angular groove</v>
      </c>
      <c r="E2948" t="str">
        <f>VLOOKUP(A2948,Panels!$A$1:$E$2104,5,0)</f>
        <v>Alwinton/Newton/Clennell Cottages</v>
      </c>
    </row>
    <row r="2949">
      <c r="A2949" s="3">
        <v>1069.0</v>
      </c>
      <c r="B2949" s="3">
        <v>103.0</v>
      </c>
      <c r="C2949" s="3">
        <v>1.0</v>
      </c>
      <c r="D2949" t="str">
        <f>VLOOKUP(B2949,ERA_MOTIF_TYPES.csv!$A$1:$C$119,2,1)</f>
        <v>Cup and groove</v>
      </c>
      <c r="E2949" t="str">
        <f>VLOOKUP(A2949,Panels!$A$1:$E$2104,5,0)</f>
        <v>Alwinton/Newton/Clennell Cottages</v>
      </c>
    </row>
    <row r="2950">
      <c r="A2950" s="3">
        <v>1069.0</v>
      </c>
      <c r="B2950" s="3">
        <v>105.0</v>
      </c>
      <c r="C2950" s="3">
        <v>2.0</v>
      </c>
      <c r="D2950" t="str">
        <f>VLOOKUP(B2950,ERA_MOTIF_TYPES.csv!$A$1:$C$119,2,1)</f>
        <v>Two cups linked by a groove</v>
      </c>
      <c r="E2950" t="str">
        <f>VLOOKUP(A2950,Panels!$A$1:$E$2104,5,0)</f>
        <v>Alwinton/Newton/Clennell Cottages</v>
      </c>
    </row>
    <row r="2951">
      <c r="A2951" s="3">
        <v>1070.0</v>
      </c>
      <c r="B2951" s="3">
        <v>1.0</v>
      </c>
      <c r="C2951" s="3">
        <v>6.0</v>
      </c>
      <c r="D2951" t="str">
        <f>VLOOKUP(B2951,ERA_MOTIF_TYPES.csv!$A$1:$C$119,2,1)</f>
        <v>Cups Single</v>
      </c>
      <c r="E2951" t="str">
        <f>VLOOKUP(A2951,Panels!$A$1:$E$2104,5,0)</f>
        <v>Old Bewick</v>
      </c>
    </row>
    <row r="2952">
      <c r="A2952" s="3">
        <v>1070.0</v>
      </c>
      <c r="B2952" s="3">
        <v>13.0</v>
      </c>
      <c r="C2952" s="3">
        <v>1.0</v>
      </c>
      <c r="D2952" t="str">
        <f>VLOOKUP(B2952,ERA_MOTIF_TYPES.csv!$A$1:$C$119,2,1)</f>
        <v>Single Ring + cup</v>
      </c>
      <c r="E2952" t="str">
        <f>VLOOKUP(A2952,Panels!$A$1:$E$2104,5,0)</f>
        <v>Old Bewick</v>
      </c>
    </row>
    <row r="2953">
      <c r="A2953" s="3">
        <v>1070.0</v>
      </c>
      <c r="B2953" s="3">
        <v>25.0</v>
      </c>
      <c r="C2953" s="3">
        <v>2.0</v>
      </c>
      <c r="D2953" t="str">
        <f>VLOOKUP(B2953,ERA_MOTIF_TYPES.csv!$A$1:$C$119,2,1)</f>
        <v>Linear</v>
      </c>
      <c r="E2953" t="str">
        <f>VLOOKUP(A2953,Panels!$A$1:$E$2104,5,0)</f>
        <v>Old Bewick</v>
      </c>
    </row>
    <row r="2954">
      <c r="A2954" s="3">
        <v>1070.0</v>
      </c>
      <c r="B2954" s="3">
        <v>52.0</v>
      </c>
      <c r="C2954" s="3">
        <v>6.0</v>
      </c>
      <c r="D2954" t="str">
        <f>VLOOKUP(B2954,ERA_MOTIF_TYPES.csv!$A$1:$C$119,2,1)</f>
        <v>Single or multiple cups</v>
      </c>
      <c r="E2954" t="str">
        <f>VLOOKUP(A2954,Panels!$A$1:$E$2104,5,0)</f>
        <v>Old Bewick</v>
      </c>
    </row>
    <row r="2955">
      <c r="A2955" s="3">
        <v>1070.0</v>
      </c>
      <c r="B2955" s="3">
        <v>57.0</v>
      </c>
      <c r="C2955" s="3">
        <v>2.0</v>
      </c>
      <c r="D2955" t="str">
        <f>VLOOKUP(B2955,ERA_MOTIF_TYPES.csv!$A$1:$C$119,2,1)</f>
        <v>Cup and ring</v>
      </c>
      <c r="E2955" t="str">
        <f>VLOOKUP(A2955,Panels!$A$1:$E$2104,5,0)</f>
        <v>Old Bewick</v>
      </c>
    </row>
    <row r="2956">
      <c r="A2956" s="3">
        <v>1070.0</v>
      </c>
      <c r="B2956" s="3">
        <v>101.0</v>
      </c>
      <c r="C2956" s="3">
        <v>1.0</v>
      </c>
      <c r="D2956" t="str">
        <f>VLOOKUP(B2956,ERA_MOTIF_TYPES.csv!$A$1:$C$119,2,1)</f>
        <v>Occulus</v>
      </c>
      <c r="E2956" t="str">
        <f>VLOOKUP(A2956,Panels!$A$1:$E$2104,5,0)</f>
        <v>Old Bewick</v>
      </c>
    </row>
    <row r="2957">
      <c r="A2957" s="3">
        <v>1071.0</v>
      </c>
      <c r="B2957" s="3">
        <v>59.0</v>
      </c>
      <c r="C2957" s="3">
        <v>1.0</v>
      </c>
      <c r="D2957" t="str">
        <f>VLOOKUP(B2957,ERA_MOTIF_TYPES.csv!$A$1:$C$119,2,1)</f>
        <v>Cup and penannular</v>
      </c>
      <c r="E2957" t="str">
        <f>VLOOKUP(A2957,Panels!$A$1:$E$2104,5,0)</f>
        <v>Old Bewick</v>
      </c>
    </row>
    <row r="2958">
      <c r="A2958" s="3">
        <v>1071.0</v>
      </c>
      <c r="B2958" s="3">
        <v>61.0</v>
      </c>
      <c r="C2958" s="3">
        <v>1.0</v>
      </c>
      <c r="D2958" t="str">
        <f>VLOOKUP(B2958,ERA_MOTIF_TYPES.csv!$A$1:$C$119,2,1)</f>
        <v>Cup and arc (or semi-ovoid)</v>
      </c>
      <c r="E2958" t="str">
        <f>VLOOKUP(A2958,Panels!$A$1:$E$2104,5,0)</f>
        <v>Old Bewick</v>
      </c>
    </row>
    <row r="2959">
      <c r="A2959" s="3">
        <v>1072.0</v>
      </c>
      <c r="B2959" s="3">
        <v>15.0</v>
      </c>
      <c r="C2959" s="3">
        <v>1.0</v>
      </c>
      <c r="D2959" t="str">
        <f>VLOOKUP(B2959,ERA_MOTIF_TYPES.csv!$A$1:$C$119,2,1)</f>
        <v>Multi Penanular + cup</v>
      </c>
      <c r="E2959" t="str">
        <f>VLOOKUP(A2959,Panels!$A$1:$E$2104,5,0)</f>
        <v>Old Bewick</v>
      </c>
    </row>
    <row r="2960">
      <c r="A2960" s="3">
        <v>1072.0</v>
      </c>
      <c r="B2960" s="3">
        <v>60.0</v>
      </c>
      <c r="C2960" s="3">
        <v>1.0</v>
      </c>
      <c r="D2960" t="str">
        <f>VLOOKUP(B2960,ERA_MOTIF_TYPES.csv!$A$1:$C$119,2,1)</f>
        <v>Cup and multiple penannulars</v>
      </c>
      <c r="E2960" t="str">
        <f>VLOOKUP(A2960,Panels!$A$1:$E$2104,5,0)</f>
        <v>Old Bewick</v>
      </c>
    </row>
    <row r="2961">
      <c r="A2961" s="3">
        <v>1073.0</v>
      </c>
      <c r="B2961" s="3">
        <v>1.0</v>
      </c>
      <c r="C2961" s="3">
        <v>3.0</v>
      </c>
      <c r="D2961" t="str">
        <f>VLOOKUP(B2961,ERA_MOTIF_TYPES.csv!$A$1:$C$119,2,1)</f>
        <v>Cups Single</v>
      </c>
      <c r="E2961" t="str">
        <f>VLOOKUP(A2961,Panels!$A$1:$E$2104,5,0)</f>
        <v>Old Bewick</v>
      </c>
    </row>
    <row r="2962">
      <c r="A2962" s="3">
        <v>1073.0</v>
      </c>
      <c r="B2962" s="3">
        <v>28.0</v>
      </c>
      <c r="C2962" s="3">
        <v>1.0</v>
      </c>
      <c r="D2962" t="str">
        <f>VLOOKUP(B2962,ERA_MOTIF_TYPES.csv!$A$1:$C$119,2,1)</f>
        <v>Chevron</v>
      </c>
      <c r="E2962" t="str">
        <f>VLOOKUP(A2962,Panels!$A$1:$E$2104,5,0)</f>
        <v>Old Bewick</v>
      </c>
    </row>
    <row r="2963">
      <c r="A2963" s="3">
        <v>1073.0</v>
      </c>
      <c r="B2963" s="3">
        <v>57.0</v>
      </c>
      <c r="C2963" s="3">
        <v>3.0</v>
      </c>
      <c r="D2963" t="str">
        <f>VLOOKUP(B2963,ERA_MOTIF_TYPES.csv!$A$1:$C$119,2,1)</f>
        <v>Cup and ring</v>
      </c>
      <c r="E2963" t="str">
        <f>VLOOKUP(A2963,Panels!$A$1:$E$2104,5,0)</f>
        <v>Old Bewick</v>
      </c>
    </row>
    <row r="2964">
      <c r="A2964" s="3">
        <v>1073.0</v>
      </c>
      <c r="B2964" s="3">
        <v>73.0</v>
      </c>
      <c r="C2964" s="3">
        <v>2.0</v>
      </c>
      <c r="D2964" t="str">
        <f>VLOOKUP(B2964,ERA_MOTIF_TYPES.csv!$A$1:$C$119,2,1)</f>
        <v>Arc</v>
      </c>
      <c r="E2964" t="str">
        <f>VLOOKUP(A2964,Panels!$A$1:$E$2104,5,0)</f>
        <v>Old Bewick</v>
      </c>
    </row>
    <row r="2965">
      <c r="A2965" s="3">
        <v>1074.0</v>
      </c>
      <c r="B2965" s="3">
        <v>1.0</v>
      </c>
      <c r="C2965" s="3">
        <v>3.0</v>
      </c>
      <c r="D2965" t="str">
        <f>VLOOKUP(B2965,ERA_MOTIF_TYPES.csv!$A$1:$C$119,2,1)</f>
        <v>Cups Single</v>
      </c>
      <c r="E2965" t="str">
        <f>VLOOKUP(A2965,Panels!$A$1:$E$2104,5,0)</f>
        <v>Old Bewick</v>
      </c>
    </row>
    <row r="2966">
      <c r="A2966" s="3">
        <v>1074.0</v>
      </c>
      <c r="B2966" s="3">
        <v>31.0</v>
      </c>
      <c r="C2966" s="3">
        <v>1.0</v>
      </c>
      <c r="D2966" t="str">
        <f>VLOOKUP(B2966,ERA_MOTIF_TYPES.csv!$A$1:$C$119,2,1)</f>
        <v>Cup and Groove</v>
      </c>
      <c r="E2966" t="str">
        <f>VLOOKUP(A2966,Panels!$A$1:$E$2104,5,0)</f>
        <v>Old Bewick</v>
      </c>
    </row>
    <row r="2967">
      <c r="A2967" s="3">
        <v>1074.0</v>
      </c>
      <c r="B2967" s="3">
        <v>52.0</v>
      </c>
      <c r="C2967" s="3">
        <v>1.0</v>
      </c>
      <c r="D2967" t="str">
        <f>VLOOKUP(B2967,ERA_MOTIF_TYPES.csv!$A$1:$C$119,2,1)</f>
        <v>Single or multiple cups</v>
      </c>
      <c r="E2967" t="str">
        <f>VLOOKUP(A2967,Panels!$A$1:$E$2104,5,0)</f>
        <v>Old Bewick</v>
      </c>
    </row>
    <row r="2968">
      <c r="A2968" s="3">
        <v>1075.0</v>
      </c>
      <c r="B2968" s="3">
        <v>1.0</v>
      </c>
      <c r="C2968" s="3">
        <v>1.0</v>
      </c>
      <c r="D2968" t="str">
        <f>VLOOKUP(B2968,ERA_MOTIF_TYPES.csv!$A$1:$C$119,2,1)</f>
        <v>Cups Single</v>
      </c>
      <c r="E2968" t="str">
        <f>VLOOKUP(A2968,Panels!$A$1:$E$2104,5,0)</f>
        <v>Old Bewick</v>
      </c>
    </row>
    <row r="2969">
      <c r="A2969" s="3">
        <v>1075.0</v>
      </c>
      <c r="B2969" s="3">
        <v>71.0</v>
      </c>
      <c r="C2969" s="3">
        <v>2.0</v>
      </c>
      <c r="D2969" t="str">
        <f>VLOOKUP(B2969,ERA_MOTIF_TYPES.csv!$A$1:$C$119,2,1)</f>
        <v>Penannular</v>
      </c>
      <c r="E2969" t="str">
        <f>VLOOKUP(A2969,Panels!$A$1:$E$2104,5,0)</f>
        <v>Old Bewick</v>
      </c>
    </row>
    <row r="2970">
      <c r="A2970" s="3">
        <v>1075.0</v>
      </c>
      <c r="B2970" s="3">
        <v>87.0</v>
      </c>
      <c r="C2970" s="3">
        <v>1.0</v>
      </c>
      <c r="D2970" t="str">
        <f>VLOOKUP(B2970,ERA_MOTIF_TYPES.csv!$A$1:$C$119,2,1)</f>
        <v>Linear and angular groove</v>
      </c>
      <c r="E2970" t="str">
        <f>VLOOKUP(A2970,Panels!$A$1:$E$2104,5,0)</f>
        <v>Old Bewick</v>
      </c>
    </row>
    <row r="2971">
      <c r="A2971" s="3">
        <v>1076.0</v>
      </c>
      <c r="B2971" s="3">
        <v>1.0</v>
      </c>
      <c r="C2971" s="3">
        <v>1.0</v>
      </c>
      <c r="D2971" t="str">
        <f>VLOOKUP(B2971,ERA_MOTIF_TYPES.csv!$A$1:$C$119,2,1)</f>
        <v>Cups Single</v>
      </c>
      <c r="E2971" t="str">
        <f>VLOOKUP(A2971,Panels!$A$1:$E$2104,5,0)</f>
        <v>Old Bewick</v>
      </c>
    </row>
    <row r="2972">
      <c r="A2972" s="3">
        <v>1076.0</v>
      </c>
      <c r="B2972" s="3">
        <v>57.0</v>
      </c>
      <c r="C2972" s="3">
        <v>1.0</v>
      </c>
      <c r="D2972" t="str">
        <f>VLOOKUP(B2972,ERA_MOTIF_TYPES.csv!$A$1:$C$119,2,1)</f>
        <v>Cup and ring</v>
      </c>
      <c r="E2972" t="str">
        <f>VLOOKUP(A2972,Panels!$A$1:$E$2104,5,0)</f>
        <v>Old Bewick</v>
      </c>
    </row>
    <row r="2973">
      <c r="A2973" s="3">
        <v>1076.0</v>
      </c>
      <c r="B2973" s="3">
        <v>87.0</v>
      </c>
      <c r="C2973" s="3">
        <v>1.0</v>
      </c>
      <c r="D2973" t="str">
        <f>VLOOKUP(B2973,ERA_MOTIF_TYPES.csv!$A$1:$C$119,2,1)</f>
        <v>Linear and angular groove</v>
      </c>
      <c r="E2973" t="str">
        <f>VLOOKUP(A2973,Panels!$A$1:$E$2104,5,0)</f>
        <v>Old Bewick</v>
      </c>
    </row>
    <row r="2974">
      <c r="A2974" s="3">
        <v>1076.0</v>
      </c>
      <c r="B2974" s="3">
        <v>110.0</v>
      </c>
      <c r="C2974" s="3">
        <v>1.0</v>
      </c>
      <c r="D2974" t="str">
        <f>VLOOKUP(B2974,ERA_MOTIF_TYPES.csv!$A$1:$C$119,2,1)</f>
        <v>Curved groove</v>
      </c>
      <c r="E2974" t="str">
        <f>VLOOKUP(A2974,Panels!$A$1:$E$2104,5,0)</f>
        <v>Old Bewick</v>
      </c>
    </row>
    <row r="2975">
      <c r="A2975" s="3">
        <v>1077.0</v>
      </c>
      <c r="B2975" s="3">
        <v>52.0</v>
      </c>
      <c r="C2975" s="3">
        <v>2.0</v>
      </c>
      <c r="D2975" t="str">
        <f>VLOOKUP(B2975,ERA_MOTIF_TYPES.csv!$A$1:$C$119,2,1)</f>
        <v>Single or multiple cups</v>
      </c>
      <c r="E2975" t="str">
        <f>VLOOKUP(A2975,Panels!$A$1:$E$2104,5,0)</f>
        <v>Old Bewick</v>
      </c>
    </row>
    <row r="2976">
      <c r="A2976" s="3">
        <v>1077.0</v>
      </c>
      <c r="B2976" s="3">
        <v>88.0</v>
      </c>
      <c r="C2976" s="3">
        <v>2.0</v>
      </c>
      <c r="D2976" t="str">
        <f>VLOOKUP(B2976,ERA_MOTIF_TYPES.csv!$A$1:$C$119,2,1)</f>
        <v>Parallel grooves</v>
      </c>
      <c r="E2976" t="str">
        <f>VLOOKUP(A2976,Panels!$A$1:$E$2104,5,0)</f>
        <v>Old Bewick</v>
      </c>
    </row>
    <row r="2977">
      <c r="A2977" s="3">
        <v>1079.0</v>
      </c>
      <c r="B2977" s="3">
        <v>1.0</v>
      </c>
      <c r="C2977" s="3">
        <v>1.0</v>
      </c>
      <c r="D2977" t="str">
        <f>VLOOKUP(B2977,ERA_MOTIF_TYPES.csv!$A$1:$C$119,2,1)</f>
        <v>Cups Single</v>
      </c>
      <c r="E2977" t="str">
        <f>VLOOKUP(A2977,Panels!$A$1:$E$2104,5,0)</f>
        <v>Old Bewick</v>
      </c>
    </row>
    <row r="2978">
      <c r="A2978" s="3">
        <v>1079.0</v>
      </c>
      <c r="B2978" s="3">
        <v>50.0</v>
      </c>
      <c r="C2978" s="3">
        <v>2.0</v>
      </c>
      <c r="D2978" t="str">
        <f>VLOOKUP(B2978,ERA_MOTIF_TYPES.csv!$A$1:$C$119,2,1)</f>
        <v>Channels</v>
      </c>
      <c r="E2978" t="str">
        <f>VLOOKUP(A2978,Panels!$A$1:$E$2104,5,0)</f>
        <v>Old Bewick</v>
      </c>
    </row>
    <row r="2979">
      <c r="A2979" s="3">
        <v>1079.0</v>
      </c>
      <c r="B2979" s="3">
        <v>52.0</v>
      </c>
      <c r="C2979" s="3">
        <v>1.0</v>
      </c>
      <c r="D2979" t="str">
        <f>VLOOKUP(B2979,ERA_MOTIF_TYPES.csv!$A$1:$C$119,2,1)</f>
        <v>Single or multiple cups</v>
      </c>
      <c r="E2979" t="str">
        <f>VLOOKUP(A2979,Panels!$A$1:$E$2104,5,0)</f>
        <v>Old Bewick</v>
      </c>
    </row>
    <row r="2980">
      <c r="A2980" s="3">
        <v>1080.0</v>
      </c>
      <c r="B2980" s="3">
        <v>1.0</v>
      </c>
      <c r="C2980" s="3">
        <v>3.0</v>
      </c>
      <c r="D2980" t="str">
        <f>VLOOKUP(B2980,ERA_MOTIF_TYPES.csv!$A$1:$C$119,2,1)</f>
        <v>Cups Single</v>
      </c>
      <c r="E2980" t="str">
        <f>VLOOKUP(A2980,Panels!$A$1:$E$2104,5,0)</f>
        <v>Old Bewick</v>
      </c>
    </row>
    <row r="2981">
      <c r="A2981" s="3">
        <v>1081.0</v>
      </c>
      <c r="B2981" s="3">
        <v>1.0</v>
      </c>
      <c r="C2981" s="3">
        <v>1.0</v>
      </c>
      <c r="D2981" t="str">
        <f>VLOOKUP(B2981,ERA_MOTIF_TYPES.csv!$A$1:$C$119,2,1)</f>
        <v>Cups Single</v>
      </c>
      <c r="E2981" t="str">
        <f>VLOOKUP(A2981,Panels!$A$1:$E$2104,5,0)</f>
        <v>Old Bewick</v>
      </c>
    </row>
    <row r="2982">
      <c r="A2982" s="3">
        <v>1081.0</v>
      </c>
      <c r="B2982" s="3">
        <v>6.0</v>
      </c>
      <c r="C2982" s="3">
        <v>1.0</v>
      </c>
      <c r="D2982" t="str">
        <f>VLOOKUP(B2982,ERA_MOTIF_TYPES.csv!$A$1:$C$119,2,1)</f>
        <v>curved or straight line</v>
      </c>
      <c r="E2982" t="str">
        <f>VLOOKUP(A2982,Panels!$A$1:$E$2104,5,0)</f>
        <v>Old Bewick</v>
      </c>
    </row>
    <row r="2983">
      <c r="A2983" s="3">
        <v>1081.0</v>
      </c>
      <c r="B2983" s="3">
        <v>52.0</v>
      </c>
      <c r="C2983" s="3">
        <v>4.0</v>
      </c>
      <c r="D2983" t="str">
        <f>VLOOKUP(B2983,ERA_MOTIF_TYPES.csv!$A$1:$C$119,2,1)</f>
        <v>Single or multiple cups</v>
      </c>
      <c r="E2983" t="str">
        <f>VLOOKUP(A2983,Panels!$A$1:$E$2104,5,0)</f>
        <v>Old Bewick</v>
      </c>
    </row>
    <row r="2984">
      <c r="A2984" s="3">
        <v>1082.0</v>
      </c>
      <c r="B2984" s="3">
        <v>1.0</v>
      </c>
      <c r="C2984" s="3">
        <v>9.0</v>
      </c>
      <c r="D2984" t="str">
        <f>VLOOKUP(B2984,ERA_MOTIF_TYPES.csv!$A$1:$C$119,2,1)</f>
        <v>Cups Single</v>
      </c>
      <c r="E2984" t="str">
        <f>VLOOKUP(A2984,Panels!$A$1:$E$2104,5,0)</f>
        <v>Old Bewick</v>
      </c>
    </row>
    <row r="2985">
      <c r="A2985" s="3">
        <v>1082.0</v>
      </c>
      <c r="B2985" s="3">
        <v>10.0</v>
      </c>
      <c r="C2985" s="3">
        <v>1.0</v>
      </c>
      <c r="D2985" t="str">
        <f>VLOOKUP(B2985,ERA_MOTIF_TYPES.csv!$A$1:$C$119,2,1)</f>
        <v>Single Arc</v>
      </c>
      <c r="E2985" t="str">
        <f>VLOOKUP(A2985,Panels!$A$1:$E$2104,5,0)</f>
        <v>Old Bewick</v>
      </c>
    </row>
    <row r="2986">
      <c r="A2986" s="3">
        <v>1082.0</v>
      </c>
      <c r="B2986" s="3">
        <v>25.0</v>
      </c>
      <c r="C2986" s="3">
        <v>1.0</v>
      </c>
      <c r="D2986" t="str">
        <f>VLOOKUP(B2986,ERA_MOTIF_TYPES.csv!$A$1:$C$119,2,1)</f>
        <v>Linear</v>
      </c>
      <c r="E2986" t="str">
        <f>VLOOKUP(A2986,Panels!$A$1:$E$2104,5,0)</f>
        <v>Old Bewick</v>
      </c>
    </row>
    <row r="2987">
      <c r="A2987" s="3">
        <v>1082.0</v>
      </c>
      <c r="B2987" s="3">
        <v>27.0</v>
      </c>
      <c r="C2987" s="3">
        <v>1.0</v>
      </c>
      <c r="D2987" t="str">
        <f>VLOOKUP(B2987,ERA_MOTIF_TYPES.csv!$A$1:$C$119,2,1)</f>
        <v>Serpentine</v>
      </c>
      <c r="E2987" t="str">
        <f>VLOOKUP(A2987,Panels!$A$1:$E$2104,5,0)</f>
        <v>Old Bewick</v>
      </c>
    </row>
    <row r="2988">
      <c r="A2988" s="3">
        <v>1082.0</v>
      </c>
      <c r="B2988" s="3">
        <v>31.0</v>
      </c>
      <c r="C2988" s="3">
        <v>2.0</v>
      </c>
      <c r="D2988" t="str">
        <f>VLOOKUP(B2988,ERA_MOTIF_TYPES.csv!$A$1:$C$119,2,1)</f>
        <v>Cup and Groove</v>
      </c>
      <c r="E2988" t="str">
        <f>VLOOKUP(A2988,Panels!$A$1:$E$2104,5,0)</f>
        <v>Old Bewick</v>
      </c>
    </row>
    <row r="2989">
      <c r="A2989" s="3">
        <v>1082.0</v>
      </c>
      <c r="B2989" s="3">
        <v>36.0</v>
      </c>
      <c r="C2989" s="3">
        <v>1.0</v>
      </c>
      <c r="D2989" t="str">
        <f>VLOOKUP(B2989,ERA_MOTIF_TYPES.csv!$A$1:$C$119,2,1)</f>
        <v>Cup Groove and arc</v>
      </c>
      <c r="E2989" t="str">
        <f>VLOOKUP(A2989,Panels!$A$1:$E$2104,5,0)</f>
        <v>Old Bewick</v>
      </c>
    </row>
    <row r="2990">
      <c r="A2990" s="3">
        <v>1082.0</v>
      </c>
      <c r="B2990" s="3">
        <v>52.0</v>
      </c>
      <c r="C2990" s="3">
        <v>15.0</v>
      </c>
      <c r="D2990" t="str">
        <f>VLOOKUP(B2990,ERA_MOTIF_TYPES.csv!$A$1:$C$119,2,1)</f>
        <v>Single or multiple cups</v>
      </c>
      <c r="E2990" t="str">
        <f>VLOOKUP(A2990,Panels!$A$1:$E$2104,5,0)</f>
        <v>Old Bewick</v>
      </c>
    </row>
    <row r="2991">
      <c r="A2991" s="3">
        <v>1082.0</v>
      </c>
      <c r="B2991" s="3">
        <v>59.0</v>
      </c>
      <c r="C2991" s="3">
        <v>1.0</v>
      </c>
      <c r="D2991" t="str">
        <f>VLOOKUP(B2991,ERA_MOTIF_TYPES.csv!$A$1:$C$119,2,1)</f>
        <v>Cup and penannular</v>
      </c>
      <c r="E2991" t="str">
        <f>VLOOKUP(A2991,Panels!$A$1:$E$2104,5,0)</f>
        <v>Old Bewick</v>
      </c>
    </row>
    <row r="2992">
      <c r="A2992" s="3">
        <v>1082.0</v>
      </c>
      <c r="B2992" s="3">
        <v>103.0</v>
      </c>
      <c r="C2992" s="3">
        <v>2.0</v>
      </c>
      <c r="D2992" t="str">
        <f>VLOOKUP(B2992,ERA_MOTIF_TYPES.csv!$A$1:$C$119,2,1)</f>
        <v>Cup and groove</v>
      </c>
      <c r="E2992" t="str">
        <f>VLOOKUP(A2992,Panels!$A$1:$E$2104,5,0)</f>
        <v>Old Bewick</v>
      </c>
    </row>
    <row r="2993">
      <c r="A2993" s="3">
        <v>1083.0</v>
      </c>
      <c r="B2993" s="3">
        <v>1.0</v>
      </c>
      <c r="C2993" s="3">
        <v>2.0</v>
      </c>
      <c r="D2993" t="str">
        <f>VLOOKUP(B2993,ERA_MOTIF_TYPES.csv!$A$1:$C$119,2,1)</f>
        <v>Cups Single</v>
      </c>
      <c r="E2993" t="str">
        <f>VLOOKUP(A2993,Panels!$A$1:$E$2104,5,0)</f>
        <v>Old Bewick</v>
      </c>
    </row>
    <row r="2994">
      <c r="A2994" s="3">
        <v>1083.0</v>
      </c>
      <c r="B2994" s="3">
        <v>27.0</v>
      </c>
      <c r="C2994" s="3">
        <v>1.0</v>
      </c>
      <c r="D2994" t="str">
        <f>VLOOKUP(B2994,ERA_MOTIF_TYPES.csv!$A$1:$C$119,2,1)</f>
        <v>Serpentine</v>
      </c>
      <c r="E2994" t="str">
        <f>VLOOKUP(A2994,Panels!$A$1:$E$2104,5,0)</f>
        <v>Old Bewick</v>
      </c>
    </row>
    <row r="2995">
      <c r="A2995" s="3">
        <v>1083.0</v>
      </c>
      <c r="B2995" s="3">
        <v>52.0</v>
      </c>
      <c r="C2995" s="3">
        <v>1.0</v>
      </c>
      <c r="D2995" t="str">
        <f>VLOOKUP(B2995,ERA_MOTIF_TYPES.csv!$A$1:$C$119,2,1)</f>
        <v>Single or multiple cups</v>
      </c>
      <c r="E2995" t="str">
        <f>VLOOKUP(A2995,Panels!$A$1:$E$2104,5,0)</f>
        <v>Old Bewick</v>
      </c>
    </row>
    <row r="2996">
      <c r="A2996" s="3">
        <v>1083.0</v>
      </c>
      <c r="B2996" s="3">
        <v>90.0</v>
      </c>
      <c r="C2996" s="3">
        <v>1.0</v>
      </c>
      <c r="D2996" t="str">
        <f>VLOOKUP(B2996,ERA_MOTIF_TYPES.csv!$A$1:$C$119,2,1)</f>
        <v>Serpentine groove</v>
      </c>
      <c r="E2996" t="str">
        <f>VLOOKUP(A2996,Panels!$A$1:$E$2104,5,0)</f>
        <v>Old Bewick</v>
      </c>
    </row>
    <row r="2997">
      <c r="A2997" s="3">
        <v>1083.0</v>
      </c>
      <c r="B2997" s="3">
        <v>94.0</v>
      </c>
      <c r="C2997" s="3">
        <v>1.0</v>
      </c>
      <c r="D2997" t="str">
        <f>VLOOKUP(B2997,ERA_MOTIF_TYPES.csv!$A$1:$C$119,2,1)</f>
        <v>Basin</v>
      </c>
      <c r="E2997" t="str">
        <f>VLOOKUP(A2997,Panels!$A$1:$E$2104,5,0)</f>
        <v>Old Bewick</v>
      </c>
    </row>
    <row r="2998">
      <c r="A2998" s="3">
        <v>1084.0</v>
      </c>
      <c r="B2998" s="3">
        <v>1.0</v>
      </c>
      <c r="C2998" s="3">
        <v>3.0</v>
      </c>
      <c r="D2998" t="str">
        <f>VLOOKUP(B2998,ERA_MOTIF_TYPES.csv!$A$1:$C$119,2,1)</f>
        <v>Cups Single</v>
      </c>
      <c r="E2998" t="str">
        <f>VLOOKUP(A2998,Panels!$A$1:$E$2104,5,0)</f>
        <v>Old Bewick</v>
      </c>
    </row>
    <row r="2999">
      <c r="A2999" s="3">
        <v>1085.0</v>
      </c>
      <c r="B2999" s="3">
        <v>1.0</v>
      </c>
      <c r="C2999" s="3">
        <v>1.0</v>
      </c>
      <c r="D2999" t="str">
        <f>VLOOKUP(B2999,ERA_MOTIF_TYPES.csv!$A$1:$C$119,2,1)</f>
        <v>Cups Single</v>
      </c>
      <c r="E2999" t="str">
        <f>VLOOKUP(A2999,Panels!$A$1:$E$2104,5,0)</f>
        <v>Old Bewick</v>
      </c>
    </row>
    <row r="3000">
      <c r="A3000" s="3">
        <v>1085.0</v>
      </c>
      <c r="B3000" s="3">
        <v>50.0</v>
      </c>
      <c r="C3000" s="3">
        <v>5.0</v>
      </c>
      <c r="D3000" t="str">
        <f>VLOOKUP(B3000,ERA_MOTIF_TYPES.csv!$A$1:$C$119,2,1)</f>
        <v>Channels</v>
      </c>
      <c r="E3000" t="str">
        <f>VLOOKUP(A3000,Panels!$A$1:$E$2104,5,0)</f>
        <v>Old Bewick</v>
      </c>
    </row>
    <row r="3001">
      <c r="A3001" s="3">
        <v>1085.0</v>
      </c>
      <c r="B3001" s="3">
        <v>51.0</v>
      </c>
      <c r="C3001" s="3">
        <v>1.0</v>
      </c>
      <c r="D3001" t="str">
        <f>VLOOKUP(B3001,ERA_MOTIF_TYPES.csv!$A$1:$C$119,2,1)</f>
        <v>Bowls</v>
      </c>
      <c r="E3001" t="str">
        <f>VLOOKUP(A3001,Panels!$A$1:$E$2104,5,0)</f>
        <v>Old Bewick</v>
      </c>
    </row>
    <row r="3002">
      <c r="A3002" s="3">
        <v>1085.0</v>
      </c>
      <c r="B3002" s="3">
        <v>52.0</v>
      </c>
      <c r="C3002" s="3">
        <v>5.0</v>
      </c>
      <c r="D3002" t="str">
        <f>VLOOKUP(B3002,ERA_MOTIF_TYPES.csv!$A$1:$C$119,2,1)</f>
        <v>Single or multiple cups</v>
      </c>
      <c r="E3002" t="str">
        <f>VLOOKUP(A3002,Panels!$A$1:$E$2104,5,0)</f>
        <v>Old Bewick</v>
      </c>
    </row>
    <row r="3003">
      <c r="A3003" s="3">
        <v>1086.0</v>
      </c>
      <c r="B3003" s="3">
        <v>9.0</v>
      </c>
      <c r="C3003" s="3">
        <v>1.0</v>
      </c>
      <c r="D3003" t="str">
        <f>VLOOKUP(B3003,ERA_MOTIF_TYPES.csv!$A$1:$C$119,2,1)</f>
        <v>Multi Penanular</v>
      </c>
      <c r="E3003" t="str">
        <f>VLOOKUP(A3003,Panels!$A$1:$E$2104,5,0)</f>
        <v>Old Bewick</v>
      </c>
    </row>
    <row r="3004">
      <c r="A3004" s="3">
        <v>1086.0</v>
      </c>
      <c r="B3004" s="3">
        <v>10.0</v>
      </c>
      <c r="C3004" s="3">
        <v>1.0</v>
      </c>
      <c r="D3004" t="str">
        <f>VLOOKUP(B3004,ERA_MOTIF_TYPES.csv!$A$1:$C$119,2,1)</f>
        <v>Single Arc</v>
      </c>
      <c r="E3004" t="str">
        <f>VLOOKUP(A3004,Panels!$A$1:$E$2104,5,0)</f>
        <v>Old Bewick</v>
      </c>
    </row>
    <row r="3005">
      <c r="A3005" s="3">
        <v>1086.0</v>
      </c>
      <c r="B3005" s="3">
        <v>13.0</v>
      </c>
      <c r="C3005" s="3">
        <v>1.0</v>
      </c>
      <c r="D3005" t="str">
        <f>VLOOKUP(B3005,ERA_MOTIF_TYPES.csv!$A$1:$C$119,2,1)</f>
        <v>Single Ring + cup</v>
      </c>
      <c r="E3005" t="str">
        <f>VLOOKUP(A3005,Panels!$A$1:$E$2104,5,0)</f>
        <v>Old Bewick</v>
      </c>
    </row>
    <row r="3006">
      <c r="A3006" s="3">
        <v>1086.0</v>
      </c>
      <c r="B3006" s="3">
        <v>16.0</v>
      </c>
      <c r="C3006" s="3">
        <v>1.0</v>
      </c>
      <c r="D3006" t="str">
        <f>VLOOKUP(B3006,ERA_MOTIF_TYPES.csv!$A$1:$C$119,2,1)</f>
        <v>Single Arc + cup</v>
      </c>
      <c r="E3006" t="str">
        <f>VLOOKUP(A3006,Panels!$A$1:$E$2104,5,0)</f>
        <v>Old Bewick</v>
      </c>
    </row>
    <row r="3007">
      <c r="A3007" s="3">
        <v>1086.0</v>
      </c>
      <c r="B3007" s="3">
        <v>17.0</v>
      </c>
      <c r="C3007" s="3">
        <v>4.0</v>
      </c>
      <c r="D3007" t="str">
        <f>VLOOKUP(B3007,ERA_MOTIF_TYPES.csv!$A$1:$C$119,2,1)</f>
        <v>Single Penannular + cup</v>
      </c>
      <c r="E3007" t="str">
        <f>VLOOKUP(A3007,Panels!$A$1:$E$2104,5,0)</f>
        <v>Old Bewick</v>
      </c>
    </row>
    <row r="3008">
      <c r="A3008" s="3">
        <v>1086.0</v>
      </c>
      <c r="B3008" s="3">
        <v>27.0</v>
      </c>
      <c r="C3008" s="3">
        <v>2.0</v>
      </c>
      <c r="D3008" t="str">
        <f>VLOOKUP(B3008,ERA_MOTIF_TYPES.csv!$A$1:$C$119,2,1)</f>
        <v>Serpentine</v>
      </c>
      <c r="E3008" t="str">
        <f>VLOOKUP(A3008,Panels!$A$1:$E$2104,5,0)</f>
        <v>Old Bewick</v>
      </c>
    </row>
    <row r="3009">
      <c r="A3009" s="3">
        <v>1086.0</v>
      </c>
      <c r="B3009" s="3">
        <v>57.0</v>
      </c>
      <c r="C3009" s="3">
        <v>1.0</v>
      </c>
      <c r="D3009" t="str">
        <f>VLOOKUP(B3009,ERA_MOTIF_TYPES.csv!$A$1:$C$119,2,1)</f>
        <v>Cup and ring</v>
      </c>
      <c r="E3009" t="str">
        <f>VLOOKUP(A3009,Panels!$A$1:$E$2104,5,0)</f>
        <v>Old Bewick</v>
      </c>
    </row>
    <row r="3010">
      <c r="A3010" s="3">
        <v>1086.0</v>
      </c>
      <c r="B3010" s="3">
        <v>59.0</v>
      </c>
      <c r="C3010" s="3">
        <v>3.0</v>
      </c>
      <c r="D3010" t="str">
        <f>VLOOKUP(B3010,ERA_MOTIF_TYPES.csv!$A$1:$C$119,2,1)</f>
        <v>Cup and penannular</v>
      </c>
      <c r="E3010" t="str">
        <f>VLOOKUP(A3010,Panels!$A$1:$E$2104,5,0)</f>
        <v>Old Bewick</v>
      </c>
    </row>
    <row r="3011">
      <c r="A3011" s="3">
        <v>1086.0</v>
      </c>
      <c r="B3011" s="3">
        <v>60.0</v>
      </c>
      <c r="C3011" s="3">
        <v>1.0</v>
      </c>
      <c r="D3011" t="str">
        <f>VLOOKUP(B3011,ERA_MOTIF_TYPES.csv!$A$1:$C$119,2,1)</f>
        <v>Cup and multiple penannulars</v>
      </c>
      <c r="E3011" t="str">
        <f>VLOOKUP(A3011,Panels!$A$1:$E$2104,5,0)</f>
        <v>Old Bewick</v>
      </c>
    </row>
    <row r="3012">
      <c r="A3012" s="3">
        <v>1086.0</v>
      </c>
      <c r="B3012" s="3">
        <v>61.0</v>
      </c>
      <c r="C3012" s="3">
        <v>2.0</v>
      </c>
      <c r="D3012" t="str">
        <f>VLOOKUP(B3012,ERA_MOTIF_TYPES.csv!$A$1:$C$119,2,1)</f>
        <v>Cup and arc (or semi-ovoid)</v>
      </c>
      <c r="E3012" t="str">
        <f>VLOOKUP(A3012,Panels!$A$1:$E$2104,5,0)</f>
        <v>Old Bewick</v>
      </c>
    </row>
    <row r="3013">
      <c r="A3013" s="3">
        <v>1086.0</v>
      </c>
      <c r="B3013" s="3">
        <v>87.0</v>
      </c>
      <c r="C3013" s="3">
        <v>1.0</v>
      </c>
      <c r="D3013" t="str">
        <f>VLOOKUP(B3013,ERA_MOTIF_TYPES.csv!$A$1:$C$119,2,1)</f>
        <v>Linear and angular groove</v>
      </c>
      <c r="E3013" t="str">
        <f>VLOOKUP(A3013,Panels!$A$1:$E$2104,5,0)</f>
        <v>Old Bewick</v>
      </c>
    </row>
    <row r="3014">
      <c r="A3014" s="3">
        <v>1087.0</v>
      </c>
      <c r="B3014" s="3">
        <v>1.0</v>
      </c>
      <c r="C3014" s="3">
        <v>36.0</v>
      </c>
      <c r="D3014" t="str">
        <f>VLOOKUP(B3014,ERA_MOTIF_TYPES.csv!$A$1:$C$119,2,1)</f>
        <v>Cups Single</v>
      </c>
      <c r="E3014" t="str">
        <f>VLOOKUP(A3014,Panels!$A$1:$E$2104,5,0)</f>
        <v>Old Bewick</v>
      </c>
    </row>
    <row r="3015">
      <c r="A3015" s="3">
        <v>1087.0</v>
      </c>
      <c r="B3015" s="3">
        <v>6.0</v>
      </c>
      <c r="C3015" s="3">
        <v>8.0</v>
      </c>
      <c r="D3015" t="str">
        <f>VLOOKUP(B3015,ERA_MOTIF_TYPES.csv!$A$1:$C$119,2,1)</f>
        <v>curved or straight line</v>
      </c>
      <c r="E3015" t="str">
        <f>VLOOKUP(A3015,Panels!$A$1:$E$2104,5,0)</f>
        <v>Old Bewick</v>
      </c>
    </row>
    <row r="3016">
      <c r="A3016" s="3">
        <v>1087.0</v>
      </c>
      <c r="B3016" s="3">
        <v>13.0</v>
      </c>
      <c r="C3016" s="3">
        <v>4.0</v>
      </c>
      <c r="D3016" t="str">
        <f>VLOOKUP(B3016,ERA_MOTIF_TYPES.csv!$A$1:$C$119,2,1)</f>
        <v>Single Ring + cup</v>
      </c>
      <c r="E3016" t="str">
        <f>VLOOKUP(A3016,Panels!$A$1:$E$2104,5,0)</f>
        <v>Old Bewick</v>
      </c>
    </row>
    <row r="3017">
      <c r="A3017" s="3">
        <v>1087.0</v>
      </c>
      <c r="B3017" s="3">
        <v>25.0</v>
      </c>
      <c r="C3017" s="3">
        <v>2.0</v>
      </c>
      <c r="D3017" t="str">
        <f>VLOOKUP(B3017,ERA_MOTIF_TYPES.csv!$A$1:$C$119,2,1)</f>
        <v>Linear</v>
      </c>
      <c r="E3017" t="str">
        <f>VLOOKUP(A3017,Panels!$A$1:$E$2104,5,0)</f>
        <v>Old Bewick</v>
      </c>
    </row>
    <row r="3018">
      <c r="A3018" s="3">
        <v>1087.0</v>
      </c>
      <c r="B3018" s="3">
        <v>31.0</v>
      </c>
      <c r="C3018" s="3">
        <v>4.0</v>
      </c>
      <c r="D3018" t="str">
        <f>VLOOKUP(B3018,ERA_MOTIF_TYPES.csv!$A$1:$C$119,2,1)</f>
        <v>Cup and Groove</v>
      </c>
      <c r="E3018" t="str">
        <f>VLOOKUP(A3018,Panels!$A$1:$E$2104,5,0)</f>
        <v>Old Bewick</v>
      </c>
    </row>
    <row r="3019">
      <c r="A3019" s="3">
        <v>1087.0</v>
      </c>
      <c r="B3019" s="3">
        <v>33.0</v>
      </c>
      <c r="C3019" s="3">
        <v>6.0</v>
      </c>
      <c r="D3019" t="str">
        <f>VLOOKUP(B3019,ERA_MOTIF_TYPES.csv!$A$1:$C$119,2,1)</f>
        <v>Cup Groove and multi ring</v>
      </c>
      <c r="E3019" t="str">
        <f>VLOOKUP(A3019,Panels!$A$1:$E$2104,5,0)</f>
        <v>Old Bewick</v>
      </c>
    </row>
    <row r="3020">
      <c r="A3020" s="3">
        <v>1087.0</v>
      </c>
      <c r="B3020" s="3">
        <v>51.0</v>
      </c>
      <c r="C3020" s="3">
        <v>1.0</v>
      </c>
      <c r="D3020" t="str">
        <f>VLOOKUP(B3020,ERA_MOTIF_TYPES.csv!$A$1:$C$119,2,1)</f>
        <v>Bowls</v>
      </c>
      <c r="E3020" t="str">
        <f>VLOOKUP(A3020,Panels!$A$1:$E$2104,5,0)</f>
        <v>Old Bewick</v>
      </c>
    </row>
    <row r="3021">
      <c r="A3021" s="3">
        <v>1087.0</v>
      </c>
      <c r="B3021" s="3">
        <v>52.0</v>
      </c>
      <c r="C3021" s="3">
        <v>20.0</v>
      </c>
      <c r="D3021" t="str">
        <f>VLOOKUP(B3021,ERA_MOTIF_TYPES.csv!$A$1:$C$119,2,1)</f>
        <v>Single or multiple cups</v>
      </c>
      <c r="E3021" t="str">
        <f>VLOOKUP(A3021,Panels!$A$1:$E$2104,5,0)</f>
        <v>Old Bewick</v>
      </c>
    </row>
    <row r="3022">
      <c r="A3022" s="3">
        <v>1087.0</v>
      </c>
      <c r="B3022" s="3">
        <v>55.0</v>
      </c>
      <c r="C3022" s="3">
        <v>1.0</v>
      </c>
      <c r="D3022" t="str">
        <f>VLOOKUP(B3022,ERA_MOTIF_TYPES.csv!$A$1:$C$119,2,1)</f>
        <v>Cups in a straight or curved line</v>
      </c>
      <c r="E3022" t="str">
        <f>VLOOKUP(A3022,Panels!$A$1:$E$2104,5,0)</f>
        <v>Old Bewick</v>
      </c>
    </row>
    <row r="3023">
      <c r="A3023" s="3">
        <v>1087.0</v>
      </c>
      <c r="B3023" s="3">
        <v>57.0</v>
      </c>
      <c r="C3023" s="3">
        <v>3.0</v>
      </c>
      <c r="D3023" t="str">
        <f>VLOOKUP(B3023,ERA_MOTIF_TYPES.csv!$A$1:$C$119,2,1)</f>
        <v>Cup and ring</v>
      </c>
      <c r="E3023" t="str">
        <f>VLOOKUP(A3023,Panels!$A$1:$E$2104,5,0)</f>
        <v>Old Bewick</v>
      </c>
    </row>
    <row r="3024">
      <c r="A3024" s="3">
        <v>1087.0</v>
      </c>
      <c r="B3024" s="3">
        <v>58.0</v>
      </c>
      <c r="C3024" s="3">
        <v>1.0</v>
      </c>
      <c r="D3024" t="str">
        <f>VLOOKUP(B3024,ERA_MOTIF_TYPES.csv!$A$1:$C$119,2,1)</f>
        <v>Cup and multiple rings</v>
      </c>
      <c r="E3024" t="str">
        <f>VLOOKUP(A3024,Panels!$A$1:$E$2104,5,0)</f>
        <v>Old Bewick</v>
      </c>
    </row>
    <row r="3025">
      <c r="A3025" s="3">
        <v>1087.0</v>
      </c>
      <c r="B3025" s="3">
        <v>59.0</v>
      </c>
      <c r="C3025" s="3">
        <v>4.0</v>
      </c>
      <c r="D3025" t="str">
        <f>VLOOKUP(B3025,ERA_MOTIF_TYPES.csv!$A$1:$C$119,2,1)</f>
        <v>Cup and penannular</v>
      </c>
      <c r="E3025" t="str">
        <f>VLOOKUP(A3025,Panels!$A$1:$E$2104,5,0)</f>
        <v>Old Bewick</v>
      </c>
    </row>
    <row r="3026">
      <c r="A3026" s="3">
        <v>1087.0</v>
      </c>
      <c r="B3026" s="3">
        <v>61.0</v>
      </c>
      <c r="C3026" s="3">
        <v>7.0</v>
      </c>
      <c r="D3026" t="str">
        <f>VLOOKUP(B3026,ERA_MOTIF_TYPES.csv!$A$1:$C$119,2,1)</f>
        <v>Cup and arc (or semi-ovoid)</v>
      </c>
      <c r="E3026" t="str">
        <f>VLOOKUP(A3026,Panels!$A$1:$E$2104,5,0)</f>
        <v>Old Bewick</v>
      </c>
    </row>
    <row r="3027">
      <c r="A3027" s="3">
        <v>1087.0</v>
      </c>
      <c r="B3027" s="3">
        <v>63.0</v>
      </c>
      <c r="C3027" s="3">
        <v>1.0</v>
      </c>
      <c r="D3027" t="str">
        <f>VLOOKUP(B3027,ERA_MOTIF_TYPES.csv!$A$1:$C$119,2,1)</f>
        <v>Cup with groove cutting through ring</v>
      </c>
      <c r="E3027" t="str">
        <f>VLOOKUP(A3027,Panels!$A$1:$E$2104,5,0)</f>
        <v>Old Bewick</v>
      </c>
    </row>
    <row r="3028">
      <c r="A3028" s="3">
        <v>1087.0</v>
      </c>
      <c r="B3028" s="3">
        <v>64.0</v>
      </c>
      <c r="C3028" s="3">
        <v>3.0</v>
      </c>
      <c r="D3028" t="str">
        <f>VLOOKUP(B3028,ERA_MOTIF_TYPES.csv!$A$1:$C$119,2,1)</f>
        <v>Cup with groove cutting through multiple rings</v>
      </c>
      <c r="E3028" t="str">
        <f>VLOOKUP(A3028,Panels!$A$1:$E$2104,5,0)</f>
        <v>Old Bewick</v>
      </c>
    </row>
    <row r="3029">
      <c r="A3029" s="3">
        <v>1087.0</v>
      </c>
      <c r="B3029" s="3">
        <v>65.0</v>
      </c>
      <c r="C3029" s="3">
        <v>1.0</v>
      </c>
      <c r="D3029" t="str">
        <f>VLOOKUP(B3029,ERA_MOTIF_TYPES.csv!$A$1:$C$119,2,1)</f>
        <v>Cup and groove with penannular</v>
      </c>
      <c r="E3029" t="str">
        <f>VLOOKUP(A3029,Panels!$A$1:$E$2104,5,0)</f>
        <v>Old Bewick</v>
      </c>
    </row>
    <row r="3030">
      <c r="A3030" s="3">
        <v>1087.0</v>
      </c>
      <c r="B3030" s="3">
        <v>66.0</v>
      </c>
      <c r="C3030" s="3">
        <v>3.0</v>
      </c>
      <c r="D3030" t="str">
        <f>VLOOKUP(B3030,ERA_MOTIF_TYPES.csv!$A$1:$C$119,2,1)</f>
        <v>Cup and groove with multiple penannulars</v>
      </c>
      <c r="E3030" t="str">
        <f>VLOOKUP(A3030,Panels!$A$1:$E$2104,5,0)</f>
        <v>Old Bewick</v>
      </c>
    </row>
    <row r="3031">
      <c r="A3031" s="3">
        <v>1087.0</v>
      </c>
      <c r="B3031" s="3">
        <v>68.0</v>
      </c>
      <c r="C3031" s="3">
        <v>2.0</v>
      </c>
      <c r="D3031" t="str">
        <f>VLOOKUP(B3031,ERA_MOTIF_TYPES.csv!$A$1:$C$119,2,1)</f>
        <v>Cup and groove with multiple arcs</v>
      </c>
      <c r="E3031" t="str">
        <f>VLOOKUP(A3031,Panels!$A$1:$E$2104,5,0)</f>
        <v>Old Bewick</v>
      </c>
    </row>
    <row r="3032">
      <c r="A3032" s="3">
        <v>1087.0</v>
      </c>
      <c r="B3032" s="3">
        <v>71.0</v>
      </c>
      <c r="C3032" s="3">
        <v>1.0</v>
      </c>
      <c r="D3032" t="str">
        <f>VLOOKUP(B3032,ERA_MOTIF_TYPES.csv!$A$1:$C$119,2,1)</f>
        <v>Penannular</v>
      </c>
      <c r="E3032" t="str">
        <f>VLOOKUP(A3032,Panels!$A$1:$E$2104,5,0)</f>
        <v>Old Bewick</v>
      </c>
    </row>
    <row r="3033">
      <c r="A3033" s="3">
        <v>1087.0</v>
      </c>
      <c r="B3033" s="3">
        <v>72.0</v>
      </c>
      <c r="C3033" s="3">
        <v>1.0</v>
      </c>
      <c r="D3033" t="str">
        <f>VLOOKUP(B3033,ERA_MOTIF_TYPES.csv!$A$1:$C$119,2,1)</f>
        <v>Multiple penannulars</v>
      </c>
      <c r="E3033" t="str">
        <f>VLOOKUP(A3033,Panels!$A$1:$E$2104,5,0)</f>
        <v>Old Bewick</v>
      </c>
    </row>
    <row r="3034">
      <c r="A3034" s="3">
        <v>1087.0</v>
      </c>
      <c r="B3034" s="3">
        <v>73.0</v>
      </c>
      <c r="C3034" s="3">
        <v>2.0</v>
      </c>
      <c r="D3034" t="str">
        <f>VLOOKUP(B3034,ERA_MOTIF_TYPES.csv!$A$1:$C$119,2,1)</f>
        <v>Arc</v>
      </c>
      <c r="E3034" t="str">
        <f>VLOOKUP(A3034,Panels!$A$1:$E$2104,5,0)</f>
        <v>Old Bewick</v>
      </c>
    </row>
    <row r="3035">
      <c r="A3035" s="3">
        <v>1087.0</v>
      </c>
      <c r="B3035" s="3">
        <v>87.0</v>
      </c>
      <c r="C3035" s="3">
        <v>1.0</v>
      </c>
      <c r="D3035" t="str">
        <f>VLOOKUP(B3035,ERA_MOTIF_TYPES.csv!$A$1:$C$119,2,1)</f>
        <v>Linear and angular groove</v>
      </c>
      <c r="E3035" t="str">
        <f>VLOOKUP(A3035,Panels!$A$1:$E$2104,5,0)</f>
        <v>Old Bewick</v>
      </c>
    </row>
    <row r="3036">
      <c r="A3036" s="3">
        <v>1087.0</v>
      </c>
      <c r="B3036" s="3">
        <v>90.0</v>
      </c>
      <c r="C3036" s="3">
        <v>1.0</v>
      </c>
      <c r="D3036" t="str">
        <f>VLOOKUP(B3036,ERA_MOTIF_TYPES.csv!$A$1:$C$119,2,1)</f>
        <v>Serpentine groove</v>
      </c>
      <c r="E3036" t="str">
        <f>VLOOKUP(A3036,Panels!$A$1:$E$2104,5,0)</f>
        <v>Old Bewick</v>
      </c>
    </row>
    <row r="3037">
      <c r="A3037" s="3">
        <v>1087.0</v>
      </c>
      <c r="B3037" s="3">
        <v>100.0</v>
      </c>
      <c r="C3037" s="3">
        <v>1.0</v>
      </c>
      <c r="D3037" t="str">
        <f>VLOOKUP(B3037,ERA_MOTIF_TYPES.csv!$A$1:$C$119,2,1)</f>
        <v>Pick marks</v>
      </c>
      <c r="E3037" t="str">
        <f>VLOOKUP(A3037,Panels!$A$1:$E$2104,5,0)</f>
        <v>Old Bewick</v>
      </c>
    </row>
    <row r="3038">
      <c r="A3038" s="3">
        <v>1087.0</v>
      </c>
      <c r="B3038" s="3">
        <v>106.0</v>
      </c>
      <c r="C3038" s="3">
        <v>1.0</v>
      </c>
      <c r="D3038" t="str">
        <f>VLOOKUP(B3038,ERA_MOTIF_TYPES.csv!$A$1:$C$119,2,1)</f>
        <v>Long groove</v>
      </c>
      <c r="E3038" t="str">
        <f>VLOOKUP(A3038,Panels!$A$1:$E$2104,5,0)</f>
        <v>Old Bewick</v>
      </c>
    </row>
    <row r="3039">
      <c r="A3039" s="3">
        <v>1087.0</v>
      </c>
      <c r="B3039" s="3">
        <v>107.0</v>
      </c>
      <c r="C3039" s="3">
        <v>3.0</v>
      </c>
      <c r="D3039" t="str">
        <f>VLOOKUP(B3039,ERA_MOTIF_TYPES.csv!$A$1:$C$119,2,1)</f>
        <v>Cup and ring with exterior groove</v>
      </c>
      <c r="E3039" t="str">
        <f>VLOOKUP(A3039,Panels!$A$1:$E$2104,5,0)</f>
        <v>Old Bewick</v>
      </c>
    </row>
    <row r="3040">
      <c r="A3040" s="3">
        <v>1088.0</v>
      </c>
      <c r="B3040" s="3">
        <v>1.0</v>
      </c>
      <c r="C3040" s="3">
        <v>1.0</v>
      </c>
      <c r="D3040" t="str">
        <f>VLOOKUP(B3040,ERA_MOTIF_TYPES.csv!$A$1:$C$119,2,1)</f>
        <v>Cups Single</v>
      </c>
      <c r="E3040" t="str">
        <f>VLOOKUP(A3040,Panels!$A$1:$E$2104,5,0)</f>
        <v>Old Bewick</v>
      </c>
    </row>
    <row r="3041">
      <c r="A3041" s="3">
        <v>1089.0</v>
      </c>
      <c r="B3041" s="3">
        <v>1.0</v>
      </c>
      <c r="C3041" s="3">
        <v>6.0</v>
      </c>
      <c r="D3041" t="str">
        <f>VLOOKUP(B3041,ERA_MOTIF_TYPES.csv!$A$1:$C$119,2,1)</f>
        <v>Cups Single</v>
      </c>
      <c r="E3041" t="str">
        <f>VLOOKUP(A3041,Panels!$A$1:$E$2104,5,0)</f>
        <v>Old Bewick</v>
      </c>
    </row>
    <row r="3042">
      <c r="A3042" s="3">
        <v>1089.0</v>
      </c>
      <c r="B3042" s="3">
        <v>52.0</v>
      </c>
      <c r="C3042" s="3">
        <v>1.0</v>
      </c>
      <c r="D3042" t="str">
        <f>VLOOKUP(B3042,ERA_MOTIF_TYPES.csv!$A$1:$C$119,2,1)</f>
        <v>Single or multiple cups</v>
      </c>
      <c r="E3042" t="str">
        <f>VLOOKUP(A3042,Panels!$A$1:$E$2104,5,0)</f>
        <v>Old Bewick</v>
      </c>
    </row>
    <row r="3043">
      <c r="A3043" s="3">
        <v>1090.0</v>
      </c>
      <c r="B3043" s="3">
        <v>14.0</v>
      </c>
      <c r="C3043" s="3">
        <v>1.0</v>
      </c>
      <c r="D3043" t="str">
        <f>VLOOKUP(B3043,ERA_MOTIF_TYPES.csv!$A$1:$C$119,2,1)</f>
        <v>Multi Ring + cup</v>
      </c>
      <c r="E3043" t="str">
        <f>VLOOKUP(A3043,Panels!$A$1:$E$2104,5,0)</f>
        <v>Old Bewick Camp</v>
      </c>
    </row>
    <row r="3044">
      <c r="A3044" s="3">
        <v>1090.0</v>
      </c>
      <c r="B3044" s="3">
        <v>58.0</v>
      </c>
      <c r="C3044" s="3">
        <v>1.0</v>
      </c>
      <c r="D3044" t="str">
        <f>VLOOKUP(B3044,ERA_MOTIF_TYPES.csv!$A$1:$C$119,2,1)</f>
        <v>Cup and multiple rings</v>
      </c>
      <c r="E3044" t="str">
        <f>VLOOKUP(A3044,Panels!$A$1:$E$2104,5,0)</f>
        <v>Old Bewick Camp</v>
      </c>
    </row>
    <row r="3045">
      <c r="A3045" s="3">
        <v>1091.0</v>
      </c>
      <c r="B3045" s="3">
        <v>13.0</v>
      </c>
      <c r="C3045" s="3">
        <v>1.0</v>
      </c>
      <c r="D3045" t="str">
        <f>VLOOKUP(B3045,ERA_MOTIF_TYPES.csv!$A$1:$C$119,2,1)</f>
        <v>Single Ring + cup</v>
      </c>
      <c r="E3045" t="str">
        <f>VLOOKUP(A3045,Panels!$A$1:$E$2104,5,0)</f>
        <v>Old Bewick</v>
      </c>
    </row>
    <row r="3046">
      <c r="A3046" s="3">
        <v>1091.0</v>
      </c>
      <c r="B3046" s="3">
        <v>14.0</v>
      </c>
      <c r="C3046" s="3">
        <v>1.0</v>
      </c>
      <c r="D3046" t="str">
        <f>VLOOKUP(B3046,ERA_MOTIF_TYPES.csv!$A$1:$C$119,2,1)</f>
        <v>Multi Ring + cup</v>
      </c>
      <c r="E3046" t="str">
        <f>VLOOKUP(A3046,Panels!$A$1:$E$2104,5,0)</f>
        <v>Old Bewick</v>
      </c>
    </row>
    <row r="3047">
      <c r="A3047" s="3">
        <v>1091.0</v>
      </c>
      <c r="B3047" s="3">
        <v>33.0</v>
      </c>
      <c r="C3047" s="3">
        <v>3.0</v>
      </c>
      <c r="D3047" t="str">
        <f>VLOOKUP(B3047,ERA_MOTIF_TYPES.csv!$A$1:$C$119,2,1)</f>
        <v>Cup Groove and multi ring</v>
      </c>
      <c r="E3047" t="str">
        <f>VLOOKUP(A3047,Panels!$A$1:$E$2104,5,0)</f>
        <v>Old Bewick</v>
      </c>
    </row>
    <row r="3048">
      <c r="A3048" s="3">
        <v>1091.0</v>
      </c>
      <c r="B3048" s="3">
        <v>57.0</v>
      </c>
      <c r="C3048" s="3">
        <v>1.0</v>
      </c>
      <c r="D3048" t="str">
        <f>VLOOKUP(B3048,ERA_MOTIF_TYPES.csv!$A$1:$C$119,2,1)</f>
        <v>Cup and ring</v>
      </c>
      <c r="E3048" t="str">
        <f>VLOOKUP(A3048,Panels!$A$1:$E$2104,5,0)</f>
        <v>Old Bewick</v>
      </c>
    </row>
    <row r="3049">
      <c r="A3049" s="3">
        <v>1091.0</v>
      </c>
      <c r="B3049" s="3">
        <v>58.0</v>
      </c>
      <c r="C3049" s="3">
        <v>3.0</v>
      </c>
      <c r="D3049" t="str">
        <f>VLOOKUP(B3049,ERA_MOTIF_TYPES.csv!$A$1:$C$119,2,1)</f>
        <v>Cup and multiple rings</v>
      </c>
      <c r="E3049" t="str">
        <f>VLOOKUP(A3049,Panels!$A$1:$E$2104,5,0)</f>
        <v>Old Bewick</v>
      </c>
    </row>
    <row r="3050">
      <c r="A3050" s="3">
        <v>1091.0</v>
      </c>
      <c r="B3050" s="3">
        <v>63.0</v>
      </c>
      <c r="C3050" s="3">
        <v>1.0</v>
      </c>
      <c r="D3050" t="str">
        <f>VLOOKUP(B3050,ERA_MOTIF_TYPES.csv!$A$1:$C$119,2,1)</f>
        <v>Cup with groove cutting through ring</v>
      </c>
      <c r="E3050" t="str">
        <f>VLOOKUP(A3050,Panels!$A$1:$E$2104,5,0)</f>
        <v>Old Bewick</v>
      </c>
    </row>
    <row r="3051">
      <c r="A3051" s="3">
        <v>1094.0</v>
      </c>
      <c r="B3051" s="3">
        <v>1.0</v>
      </c>
      <c r="C3051" s="3">
        <v>7.0</v>
      </c>
      <c r="D3051" t="str">
        <f>VLOOKUP(B3051,ERA_MOTIF_TYPES.csv!$A$1:$C$119,2,1)</f>
        <v>Cups Single</v>
      </c>
      <c r="E3051" t="str">
        <f>VLOOKUP(A3051,Panels!$A$1:$E$2104,5,0)</f>
        <v>Beanley Moor</v>
      </c>
    </row>
    <row r="3052">
      <c r="A3052" s="3">
        <v>1094.0</v>
      </c>
      <c r="B3052" s="3">
        <v>13.0</v>
      </c>
      <c r="C3052" s="3">
        <v>2.0</v>
      </c>
      <c r="D3052" t="str">
        <f>VLOOKUP(B3052,ERA_MOTIF_TYPES.csv!$A$1:$C$119,2,1)</f>
        <v>Single Ring + cup</v>
      </c>
      <c r="E3052" t="str">
        <f>VLOOKUP(A3052,Panels!$A$1:$E$2104,5,0)</f>
        <v>Beanley Moor</v>
      </c>
    </row>
    <row r="3053">
      <c r="A3053" s="3">
        <v>1094.0</v>
      </c>
      <c r="B3053" s="3">
        <v>51.0</v>
      </c>
      <c r="C3053" s="3">
        <v>1.0</v>
      </c>
      <c r="D3053" t="str">
        <f>VLOOKUP(B3053,ERA_MOTIF_TYPES.csv!$A$1:$C$119,2,1)</f>
        <v>Bowls</v>
      </c>
      <c r="E3053" t="str">
        <f>VLOOKUP(A3053,Panels!$A$1:$E$2104,5,0)</f>
        <v>Beanley Moor</v>
      </c>
    </row>
    <row r="3054">
      <c r="A3054" s="3">
        <v>1095.0</v>
      </c>
      <c r="B3054" s="3">
        <v>1.0</v>
      </c>
      <c r="C3054" s="3">
        <v>4.0</v>
      </c>
      <c r="D3054" t="str">
        <f>VLOOKUP(B3054,ERA_MOTIF_TYPES.csv!$A$1:$C$119,2,1)</f>
        <v>Cups Single</v>
      </c>
      <c r="E3054" t="str">
        <f>VLOOKUP(A3054,Panels!$A$1:$E$2104,5,0)</f>
        <v>Beanley Moor</v>
      </c>
    </row>
    <row r="3055">
      <c r="A3055" s="3">
        <v>1096.0</v>
      </c>
      <c r="B3055" s="3">
        <v>1.0</v>
      </c>
      <c r="C3055" s="3">
        <v>2.0</v>
      </c>
      <c r="D3055" t="str">
        <f>VLOOKUP(B3055,ERA_MOTIF_TYPES.csv!$A$1:$C$119,2,1)</f>
        <v>Cups Single</v>
      </c>
      <c r="E3055" t="str">
        <f>VLOOKUP(A3055,Panels!$A$1:$E$2104,5,0)</f>
        <v>Beanley Moor</v>
      </c>
    </row>
    <row r="3056">
      <c r="A3056" s="3">
        <v>1097.0</v>
      </c>
      <c r="B3056" s="3">
        <v>1.0</v>
      </c>
      <c r="C3056" s="3">
        <v>4.0</v>
      </c>
      <c r="D3056" t="str">
        <f>VLOOKUP(B3056,ERA_MOTIF_TYPES.csv!$A$1:$C$119,2,1)</f>
        <v>Cups Single</v>
      </c>
      <c r="E3056" t="str">
        <f>VLOOKUP(A3056,Panels!$A$1:$E$2104,5,0)</f>
        <v>Beanley Moor</v>
      </c>
    </row>
    <row r="3057">
      <c r="A3057" s="3">
        <v>1097.0</v>
      </c>
      <c r="B3057" s="3">
        <v>13.0</v>
      </c>
      <c r="C3057" s="3">
        <v>1.0</v>
      </c>
      <c r="D3057" t="str">
        <f>VLOOKUP(B3057,ERA_MOTIF_TYPES.csv!$A$1:$C$119,2,1)</f>
        <v>Single Ring + cup</v>
      </c>
      <c r="E3057" t="str">
        <f>VLOOKUP(A3057,Panels!$A$1:$E$2104,5,0)</f>
        <v>Beanley Moor</v>
      </c>
    </row>
    <row r="3058">
      <c r="A3058" s="3">
        <v>1097.0</v>
      </c>
      <c r="B3058" s="3">
        <v>25.0</v>
      </c>
      <c r="C3058" s="3">
        <v>1.0</v>
      </c>
      <c r="D3058" t="str">
        <f>VLOOKUP(B3058,ERA_MOTIF_TYPES.csv!$A$1:$C$119,2,1)</f>
        <v>Linear</v>
      </c>
      <c r="E3058" t="str">
        <f>VLOOKUP(A3058,Panels!$A$1:$E$2104,5,0)</f>
        <v>Beanley Moor</v>
      </c>
    </row>
    <row r="3059">
      <c r="A3059" s="3">
        <v>1097.0</v>
      </c>
      <c r="B3059" s="3">
        <v>35.0</v>
      </c>
      <c r="C3059" s="3">
        <v>1.0</v>
      </c>
      <c r="D3059" t="str">
        <f>VLOOKUP(B3059,ERA_MOTIF_TYPES.csv!$A$1:$C$119,2,1)</f>
        <v>Cup Groove and multi penannular</v>
      </c>
      <c r="E3059" t="str">
        <f>VLOOKUP(A3059,Panels!$A$1:$E$2104,5,0)</f>
        <v>Beanley Moor</v>
      </c>
    </row>
    <row r="3060">
      <c r="A3060" s="3">
        <v>1098.0</v>
      </c>
      <c r="B3060" s="3">
        <v>1.0</v>
      </c>
      <c r="C3060" s="3">
        <v>1.0</v>
      </c>
      <c r="D3060" t="str">
        <f>VLOOKUP(B3060,ERA_MOTIF_TYPES.csv!$A$1:$C$119,2,1)</f>
        <v>Cups Single</v>
      </c>
      <c r="E3060" t="str">
        <f>VLOOKUP(A3060,Panels!$A$1:$E$2104,5,0)</f>
        <v>Beanley Moor</v>
      </c>
    </row>
    <row r="3061">
      <c r="A3061" s="3">
        <v>1099.0</v>
      </c>
      <c r="B3061" s="3">
        <v>1.0</v>
      </c>
      <c r="C3061" s="3">
        <v>2.0</v>
      </c>
      <c r="D3061" t="str">
        <f>VLOOKUP(B3061,ERA_MOTIF_TYPES.csv!$A$1:$C$119,2,1)</f>
        <v>Cups Single</v>
      </c>
      <c r="E3061" t="str">
        <f>VLOOKUP(A3061,Panels!$A$1:$E$2104,5,0)</f>
        <v>Beanley Moor</v>
      </c>
    </row>
    <row r="3062">
      <c r="A3062" s="3">
        <v>1100.0</v>
      </c>
      <c r="B3062" s="3">
        <v>1.0</v>
      </c>
      <c r="C3062" s="3">
        <v>6.0</v>
      </c>
      <c r="D3062" t="str">
        <f>VLOOKUP(B3062,ERA_MOTIF_TYPES.csv!$A$1:$C$119,2,1)</f>
        <v>Cups Single</v>
      </c>
      <c r="E3062" t="str">
        <f>VLOOKUP(A3062,Panels!$A$1:$E$2104,5,0)</f>
        <v>Beanley Moor</v>
      </c>
    </row>
    <row r="3063">
      <c r="A3063" s="3">
        <v>1100.0</v>
      </c>
      <c r="B3063" s="3">
        <v>6.0</v>
      </c>
      <c r="C3063" s="3">
        <v>1.0</v>
      </c>
      <c r="D3063" t="str">
        <f>VLOOKUP(B3063,ERA_MOTIF_TYPES.csv!$A$1:$C$119,2,1)</f>
        <v>curved or straight line</v>
      </c>
      <c r="E3063" t="str">
        <f>VLOOKUP(A3063,Panels!$A$1:$E$2104,5,0)</f>
        <v>Beanley Moor</v>
      </c>
    </row>
    <row r="3064">
      <c r="A3064" s="3">
        <v>1103.0</v>
      </c>
      <c r="B3064" s="3">
        <v>1.0</v>
      </c>
      <c r="C3064" s="3">
        <v>2.0</v>
      </c>
      <c r="D3064" t="str">
        <f>VLOOKUP(B3064,ERA_MOTIF_TYPES.csv!$A$1:$C$119,2,1)</f>
        <v>Cups Single</v>
      </c>
      <c r="E3064" t="str">
        <f>VLOOKUP(A3064,Panels!$A$1:$E$2104,5,0)</f>
        <v>Beanley Moor</v>
      </c>
    </row>
    <row r="3065">
      <c r="A3065" s="3">
        <v>1103.0</v>
      </c>
      <c r="B3065" s="3">
        <v>52.0</v>
      </c>
      <c r="C3065" s="3">
        <v>3.0</v>
      </c>
      <c r="D3065" t="str">
        <f>VLOOKUP(B3065,ERA_MOTIF_TYPES.csv!$A$1:$C$119,2,1)</f>
        <v>Single or multiple cups</v>
      </c>
      <c r="E3065" t="str">
        <f>VLOOKUP(A3065,Panels!$A$1:$E$2104,5,0)</f>
        <v>Beanley Moor</v>
      </c>
    </row>
    <row r="3066">
      <c r="A3066" s="3">
        <v>1103.0</v>
      </c>
      <c r="B3066" s="3">
        <v>73.0</v>
      </c>
      <c r="C3066" s="3">
        <v>1.0</v>
      </c>
      <c r="D3066" t="str">
        <f>VLOOKUP(B3066,ERA_MOTIF_TYPES.csv!$A$1:$C$119,2,1)</f>
        <v>Arc</v>
      </c>
      <c r="E3066" t="str">
        <f>VLOOKUP(A3066,Panels!$A$1:$E$2104,5,0)</f>
        <v>Beanley Moor</v>
      </c>
    </row>
    <row r="3067">
      <c r="A3067" s="3">
        <v>1104.0</v>
      </c>
      <c r="B3067" s="3">
        <v>31.0</v>
      </c>
      <c r="C3067" s="3">
        <v>1.0</v>
      </c>
      <c r="D3067" t="str">
        <f>VLOOKUP(B3067,ERA_MOTIF_TYPES.csv!$A$1:$C$119,2,1)</f>
        <v>Cup and Groove</v>
      </c>
      <c r="E3067" t="str">
        <f>VLOOKUP(A3067,Panels!$A$1:$E$2104,5,0)</f>
        <v>Beanley Moor</v>
      </c>
    </row>
    <row r="3068">
      <c r="A3068" s="3">
        <v>1104.0</v>
      </c>
      <c r="B3068" s="3">
        <v>105.0</v>
      </c>
      <c r="C3068" s="3">
        <v>1.0</v>
      </c>
      <c r="D3068" t="str">
        <f>VLOOKUP(B3068,ERA_MOTIF_TYPES.csv!$A$1:$C$119,2,1)</f>
        <v>Two cups linked by a groove</v>
      </c>
      <c r="E3068" t="str">
        <f>VLOOKUP(A3068,Panels!$A$1:$E$2104,5,0)</f>
        <v>Beanley Moor</v>
      </c>
    </row>
    <row r="3069">
      <c r="A3069" s="3">
        <v>1105.0</v>
      </c>
      <c r="B3069" s="3">
        <v>52.0</v>
      </c>
      <c r="C3069" s="3">
        <v>2.0</v>
      </c>
      <c r="D3069" t="str">
        <f>VLOOKUP(B3069,ERA_MOTIF_TYPES.csv!$A$1:$C$119,2,1)</f>
        <v>Single or multiple cups</v>
      </c>
      <c r="E3069" t="str">
        <f>VLOOKUP(A3069,Panels!$A$1:$E$2104,5,0)</f>
        <v>Brandon Hillhead</v>
      </c>
    </row>
    <row r="3070">
      <c r="A3070" s="3">
        <v>1108.0</v>
      </c>
      <c r="B3070" s="3">
        <v>1.0</v>
      </c>
      <c r="C3070" s="3">
        <v>5.0</v>
      </c>
      <c r="D3070" t="str">
        <f>VLOOKUP(B3070,ERA_MOTIF_TYPES.csv!$A$1:$C$119,2,1)</f>
        <v>Cups Single</v>
      </c>
      <c r="E3070" t="str">
        <f>VLOOKUP(A3070,Panels!$A$1:$E$2104,5,0)</f>
        <v>Alnham Northfield</v>
      </c>
    </row>
    <row r="3071">
      <c r="A3071" s="3">
        <v>1108.0</v>
      </c>
      <c r="B3071" s="3">
        <v>50.0</v>
      </c>
      <c r="C3071" s="3">
        <v>1.0</v>
      </c>
      <c r="D3071" t="str">
        <f>VLOOKUP(B3071,ERA_MOTIF_TYPES.csv!$A$1:$C$119,2,1)</f>
        <v>Channels</v>
      </c>
      <c r="E3071" t="str">
        <f>VLOOKUP(A3071,Panels!$A$1:$E$2104,5,0)</f>
        <v>Alnham Northfield</v>
      </c>
    </row>
    <row r="3072">
      <c r="A3072" s="3">
        <v>1108.0</v>
      </c>
      <c r="B3072" s="3">
        <v>52.0</v>
      </c>
      <c r="C3072" s="3">
        <v>5.0</v>
      </c>
      <c r="D3072" t="str">
        <f>VLOOKUP(B3072,ERA_MOTIF_TYPES.csv!$A$1:$C$119,2,1)</f>
        <v>Single or multiple cups</v>
      </c>
      <c r="E3072" t="str">
        <f>VLOOKUP(A3072,Panels!$A$1:$E$2104,5,0)</f>
        <v>Alnham Northfield</v>
      </c>
    </row>
    <row r="3073">
      <c r="A3073" s="3">
        <v>1108.0</v>
      </c>
      <c r="B3073" s="3">
        <v>100.0</v>
      </c>
      <c r="C3073" s="3">
        <v>1.0</v>
      </c>
      <c r="D3073" t="str">
        <f>VLOOKUP(B3073,ERA_MOTIF_TYPES.csv!$A$1:$C$119,2,1)</f>
        <v>Pick marks</v>
      </c>
      <c r="E3073" t="str">
        <f>VLOOKUP(A3073,Panels!$A$1:$E$2104,5,0)</f>
        <v>Alnham Northfield</v>
      </c>
    </row>
    <row r="3074">
      <c r="A3074" s="3">
        <v>1109.0</v>
      </c>
      <c r="B3074" s="3">
        <v>52.0</v>
      </c>
      <c r="C3074" s="3">
        <v>16.0</v>
      </c>
      <c r="D3074" t="str">
        <f>VLOOKUP(B3074,ERA_MOTIF_TYPES.csv!$A$1:$C$119,2,1)</f>
        <v>Single or multiple cups</v>
      </c>
      <c r="E3074" t="str">
        <f>VLOOKUP(A3074,Panels!$A$1:$E$2104,5,0)</f>
        <v>Alnmouth Wall Rock</v>
      </c>
    </row>
    <row r="3075">
      <c r="A3075" s="3">
        <v>1110.0</v>
      </c>
      <c r="B3075" s="3">
        <v>52.0</v>
      </c>
      <c r="C3075" s="3">
        <v>9.0</v>
      </c>
      <c r="D3075" t="str">
        <f>VLOOKUP(B3075,ERA_MOTIF_TYPES.csv!$A$1:$C$119,2,1)</f>
        <v>Single or multiple cups</v>
      </c>
      <c r="E3075" t="str">
        <f>VLOOKUP(A3075,Panels!$A$1:$E$2104,5,0)</f>
        <v>Alnmouth Wall Rock</v>
      </c>
    </row>
    <row r="3076">
      <c r="A3076" s="3">
        <v>1111.0</v>
      </c>
      <c r="B3076" s="3">
        <v>52.0</v>
      </c>
      <c r="C3076" s="3">
        <v>10.0</v>
      </c>
      <c r="D3076" t="str">
        <f>VLOOKUP(B3076,ERA_MOTIF_TYPES.csv!$A$1:$C$119,2,1)</f>
        <v>Single or multiple cups</v>
      </c>
      <c r="E3076" t="str">
        <f>VLOOKUP(A3076,Panels!$A$1:$E$2104,5,0)</f>
        <v>Alnmouth Wall Rock</v>
      </c>
    </row>
    <row r="3077">
      <c r="A3077" s="3">
        <v>1112.0</v>
      </c>
      <c r="B3077" s="3">
        <v>52.0</v>
      </c>
      <c r="C3077" s="3">
        <v>8.0</v>
      </c>
      <c r="D3077" t="str">
        <f>VLOOKUP(B3077,ERA_MOTIF_TYPES.csv!$A$1:$C$119,2,1)</f>
        <v>Single or multiple cups</v>
      </c>
      <c r="E3077" t="str">
        <f>VLOOKUP(A3077,Panels!$A$1:$E$2104,5,0)</f>
        <v>Alnmouth Wall Rock</v>
      </c>
    </row>
    <row r="3078">
      <c r="A3078" s="3">
        <v>1113.0</v>
      </c>
      <c r="B3078" s="3">
        <v>52.0</v>
      </c>
      <c r="C3078" s="3">
        <v>7.0</v>
      </c>
      <c r="D3078" t="str">
        <f>VLOOKUP(B3078,ERA_MOTIF_TYPES.csv!$A$1:$C$119,2,1)</f>
        <v>Single or multiple cups</v>
      </c>
      <c r="E3078" t="str">
        <f>VLOOKUP(A3078,Panels!$A$1:$E$2104,5,0)</f>
        <v>Alnmouth Wall Rock</v>
      </c>
    </row>
    <row r="3079">
      <c r="A3079" s="3">
        <v>1114.0</v>
      </c>
      <c r="B3079" s="3">
        <v>52.0</v>
      </c>
      <c r="C3079" s="3">
        <v>1.0</v>
      </c>
      <c r="D3079" t="str">
        <f>VLOOKUP(B3079,ERA_MOTIF_TYPES.csv!$A$1:$C$119,2,1)</f>
        <v>Single or multiple cups</v>
      </c>
      <c r="E3079" t="str">
        <f>VLOOKUP(A3079,Panels!$A$1:$E$2104,5,0)</f>
        <v>Alnmouth Wall Rock</v>
      </c>
    </row>
    <row r="3080">
      <c r="A3080" s="3">
        <v>1115.0</v>
      </c>
      <c r="B3080" s="3">
        <v>52.0</v>
      </c>
      <c r="C3080" s="3">
        <v>1.0</v>
      </c>
      <c r="D3080" t="str">
        <f>VLOOKUP(B3080,ERA_MOTIF_TYPES.csv!$A$1:$C$119,2,1)</f>
        <v>Single or multiple cups</v>
      </c>
      <c r="E3080" t="str">
        <f>VLOOKUP(A3080,Panels!$A$1:$E$2104,5,0)</f>
        <v>Alnmouth Wall Rock</v>
      </c>
    </row>
    <row r="3081">
      <c r="A3081" s="3">
        <v>1116.0</v>
      </c>
      <c r="B3081" s="3">
        <v>52.0</v>
      </c>
      <c r="C3081" s="3">
        <v>2.0</v>
      </c>
      <c r="D3081" t="str">
        <f>VLOOKUP(B3081,ERA_MOTIF_TYPES.csv!$A$1:$C$119,2,1)</f>
        <v>Single or multiple cups</v>
      </c>
      <c r="E3081" t="str">
        <f>VLOOKUP(A3081,Panels!$A$1:$E$2104,5,0)</f>
        <v>Alnmouth Wall Rock</v>
      </c>
    </row>
    <row r="3082">
      <c r="A3082" s="3">
        <v>1117.0</v>
      </c>
      <c r="B3082" s="3">
        <v>52.0</v>
      </c>
      <c r="C3082" s="3">
        <v>1.0</v>
      </c>
      <c r="D3082" t="str">
        <f>VLOOKUP(B3082,ERA_MOTIF_TYPES.csv!$A$1:$C$119,2,1)</f>
        <v>Single or multiple cups</v>
      </c>
      <c r="E3082" t="str">
        <f>VLOOKUP(A3082,Panels!$A$1:$E$2104,5,0)</f>
        <v>Alnmouth Wall Rock</v>
      </c>
    </row>
    <row r="3083">
      <c r="A3083" s="3">
        <v>1118.0</v>
      </c>
      <c r="B3083" s="3">
        <v>52.0</v>
      </c>
      <c r="C3083" s="3">
        <v>2.0</v>
      </c>
      <c r="D3083" t="str">
        <f>VLOOKUP(B3083,ERA_MOTIF_TYPES.csv!$A$1:$C$119,2,1)</f>
        <v>Single or multiple cups</v>
      </c>
      <c r="E3083" t="str">
        <f>VLOOKUP(A3083,Panels!$A$1:$E$2104,5,0)</f>
        <v>Alnmouth Wall Rock</v>
      </c>
    </row>
    <row r="3084">
      <c r="A3084" s="3">
        <v>1119.0</v>
      </c>
      <c r="B3084" s="3">
        <v>52.0</v>
      </c>
      <c r="C3084" s="3">
        <v>12.0</v>
      </c>
      <c r="D3084" t="str">
        <f>VLOOKUP(B3084,ERA_MOTIF_TYPES.csv!$A$1:$C$119,2,1)</f>
        <v>Single or multiple cups</v>
      </c>
      <c r="E3084" t="str">
        <f>VLOOKUP(A3084,Panels!$A$1:$E$2104,5,0)</f>
        <v>Alnmouth Wall Rock</v>
      </c>
    </row>
    <row r="3085">
      <c r="A3085" s="3">
        <v>1120.0</v>
      </c>
      <c r="B3085" s="3">
        <v>52.0</v>
      </c>
      <c r="C3085" s="3">
        <v>16.0</v>
      </c>
      <c r="D3085" t="str">
        <f>VLOOKUP(B3085,ERA_MOTIF_TYPES.csv!$A$1:$C$119,2,1)</f>
        <v>Single or multiple cups</v>
      </c>
      <c r="E3085" t="str">
        <f>VLOOKUP(A3085,Panels!$A$1:$E$2104,5,0)</f>
        <v>Alnmouth Wall Rock</v>
      </c>
    </row>
    <row r="3086">
      <c r="A3086" s="3">
        <v>1121.0</v>
      </c>
      <c r="B3086" s="3">
        <v>52.0</v>
      </c>
      <c r="C3086" s="3">
        <v>1.0</v>
      </c>
      <c r="D3086" t="str">
        <f>VLOOKUP(B3086,ERA_MOTIF_TYPES.csv!$A$1:$C$119,2,1)</f>
        <v>Single or multiple cups</v>
      </c>
      <c r="E3086" t="str">
        <f>VLOOKUP(A3086,Panels!$A$1:$E$2104,5,0)</f>
        <v>Alnmouth Wall Rock</v>
      </c>
    </row>
    <row r="3087">
      <c r="A3087" s="3">
        <v>1122.0</v>
      </c>
      <c r="B3087" s="3">
        <v>52.0</v>
      </c>
      <c r="C3087" s="3">
        <v>3.0</v>
      </c>
      <c r="D3087" t="str">
        <f>VLOOKUP(B3087,ERA_MOTIF_TYPES.csv!$A$1:$C$119,2,1)</f>
        <v>Single or multiple cups</v>
      </c>
      <c r="E3087" t="str">
        <f>VLOOKUP(A3087,Panels!$A$1:$E$2104,5,0)</f>
        <v>Alnmouth Wall Rock</v>
      </c>
    </row>
    <row r="3088">
      <c r="A3088" s="3">
        <v>1123.0</v>
      </c>
      <c r="B3088" s="3">
        <v>52.0</v>
      </c>
      <c r="C3088" s="3">
        <v>3.0</v>
      </c>
      <c r="D3088" t="str">
        <f>VLOOKUP(B3088,ERA_MOTIF_TYPES.csv!$A$1:$C$119,2,1)</f>
        <v>Single or multiple cups</v>
      </c>
      <c r="E3088" t="str">
        <f>VLOOKUP(A3088,Panels!$A$1:$E$2104,5,0)</f>
        <v>Alnmouth Wall Rock</v>
      </c>
    </row>
    <row r="3089">
      <c r="A3089" s="3">
        <v>1124.0</v>
      </c>
      <c r="B3089" s="3">
        <v>52.0</v>
      </c>
      <c r="C3089" s="3">
        <v>3.0</v>
      </c>
      <c r="D3089" t="str">
        <f>VLOOKUP(B3089,ERA_MOTIF_TYPES.csv!$A$1:$C$119,2,1)</f>
        <v>Single or multiple cups</v>
      </c>
      <c r="E3089" t="str">
        <f>VLOOKUP(A3089,Panels!$A$1:$E$2104,5,0)</f>
        <v>Alnmouth Wall Rock</v>
      </c>
    </row>
    <row r="3090">
      <c r="A3090" s="3">
        <v>1125.0</v>
      </c>
      <c r="B3090" s="3">
        <v>52.0</v>
      </c>
      <c r="C3090" s="3">
        <v>18.0</v>
      </c>
      <c r="D3090" t="str">
        <f>VLOOKUP(B3090,ERA_MOTIF_TYPES.csv!$A$1:$C$119,2,1)</f>
        <v>Single or multiple cups</v>
      </c>
      <c r="E3090" t="str">
        <f>VLOOKUP(A3090,Panels!$A$1:$E$2104,5,0)</f>
        <v>Alnmouth Wall Rock</v>
      </c>
    </row>
    <row r="3091">
      <c r="A3091" s="3">
        <v>1126.0</v>
      </c>
      <c r="B3091" s="3">
        <v>52.0</v>
      </c>
      <c r="C3091" s="3">
        <v>9.0</v>
      </c>
      <c r="D3091" t="str">
        <f>VLOOKUP(B3091,ERA_MOTIF_TYPES.csv!$A$1:$C$119,2,1)</f>
        <v>Single or multiple cups</v>
      </c>
      <c r="E3091" t="str">
        <f>VLOOKUP(A3091,Panels!$A$1:$E$2104,5,0)</f>
        <v>Alnmouth Wall Rock</v>
      </c>
    </row>
    <row r="3092">
      <c r="A3092" s="3">
        <v>1127.0</v>
      </c>
      <c r="B3092" s="3">
        <v>52.0</v>
      </c>
      <c r="C3092" s="3">
        <v>30.0</v>
      </c>
      <c r="D3092" t="str">
        <f>VLOOKUP(B3092,ERA_MOTIF_TYPES.csv!$A$1:$C$119,2,1)</f>
        <v>Single or multiple cups</v>
      </c>
      <c r="E3092" t="str">
        <f>VLOOKUP(A3092,Panels!$A$1:$E$2104,5,0)</f>
        <v>Alnmouth Wall Rock</v>
      </c>
    </row>
    <row r="3093">
      <c r="A3093" s="3">
        <v>1127.0</v>
      </c>
      <c r="B3093" s="3">
        <v>55.0</v>
      </c>
      <c r="C3093" s="3">
        <v>2.0</v>
      </c>
      <c r="D3093" t="str">
        <f>VLOOKUP(B3093,ERA_MOTIF_TYPES.csv!$A$1:$C$119,2,1)</f>
        <v>Cups in a straight or curved line</v>
      </c>
      <c r="E3093" t="str">
        <f>VLOOKUP(A3093,Panels!$A$1:$E$2104,5,0)</f>
        <v>Alnmouth Wall Rock</v>
      </c>
    </row>
    <row r="3094">
      <c r="A3094" s="3">
        <v>1128.0</v>
      </c>
      <c r="B3094" s="3">
        <v>52.0</v>
      </c>
      <c r="C3094" s="3">
        <v>12.0</v>
      </c>
      <c r="D3094" t="str">
        <f>VLOOKUP(B3094,ERA_MOTIF_TYPES.csv!$A$1:$C$119,2,1)</f>
        <v>Single or multiple cups</v>
      </c>
      <c r="E3094" t="str">
        <f>VLOOKUP(A3094,Panels!$A$1:$E$2104,5,0)</f>
        <v>Alnmouth Wall Rock</v>
      </c>
    </row>
    <row r="3095">
      <c r="A3095" s="3">
        <v>1129.0</v>
      </c>
      <c r="B3095" s="3">
        <v>52.0</v>
      </c>
      <c r="C3095" s="3">
        <v>1.0</v>
      </c>
      <c r="D3095" t="str">
        <f>VLOOKUP(B3095,ERA_MOTIF_TYPES.csv!$A$1:$C$119,2,1)</f>
        <v>Single or multiple cups</v>
      </c>
      <c r="E3095" t="str">
        <f>VLOOKUP(A3095,Panels!$A$1:$E$2104,5,0)</f>
        <v>Alnmouth Wall Rock</v>
      </c>
    </row>
    <row r="3096">
      <c r="A3096" s="3">
        <v>1130.0</v>
      </c>
      <c r="B3096" s="3">
        <v>52.0</v>
      </c>
      <c r="C3096" s="3">
        <v>26.0</v>
      </c>
      <c r="D3096" t="str">
        <f>VLOOKUP(B3096,ERA_MOTIF_TYPES.csv!$A$1:$C$119,2,1)</f>
        <v>Single or multiple cups</v>
      </c>
      <c r="E3096" t="str">
        <f>VLOOKUP(A3096,Panels!$A$1:$E$2104,5,0)</f>
        <v>Alnmouth Wall Rock</v>
      </c>
    </row>
    <row r="3097">
      <c r="A3097" s="3">
        <v>1130.0</v>
      </c>
      <c r="B3097" s="3">
        <v>55.0</v>
      </c>
      <c r="C3097" s="3">
        <v>5.0</v>
      </c>
      <c r="D3097" t="str">
        <f>VLOOKUP(B3097,ERA_MOTIF_TYPES.csv!$A$1:$C$119,2,1)</f>
        <v>Cups in a straight or curved line</v>
      </c>
      <c r="E3097" t="str">
        <f>VLOOKUP(A3097,Panels!$A$1:$E$2104,5,0)</f>
        <v>Alnmouth Wall Rock</v>
      </c>
    </row>
    <row r="3098">
      <c r="A3098" s="3">
        <v>1130.0</v>
      </c>
      <c r="B3098" s="3">
        <v>56.0</v>
      </c>
      <c r="C3098" s="3">
        <v>1.0</v>
      </c>
      <c r="D3098" t="str">
        <f>VLOOKUP(B3098,ERA_MOTIF_TYPES.csv!$A$1:$C$119,2,1)</f>
        <v>Cups countersunk</v>
      </c>
      <c r="E3098" t="str">
        <f>VLOOKUP(A3098,Panels!$A$1:$E$2104,5,0)</f>
        <v>Alnmouth Wall Rock</v>
      </c>
    </row>
    <row r="3099">
      <c r="A3099" s="3">
        <v>1131.0</v>
      </c>
      <c r="B3099" s="3">
        <v>52.0</v>
      </c>
      <c r="C3099" s="3">
        <v>5.0</v>
      </c>
      <c r="D3099" t="str">
        <f>VLOOKUP(B3099,ERA_MOTIF_TYPES.csv!$A$1:$C$119,2,1)</f>
        <v>Single or multiple cups</v>
      </c>
      <c r="E3099" t="str">
        <f>VLOOKUP(A3099,Panels!$A$1:$E$2104,5,0)</f>
        <v>Alnmouth Wall Rock</v>
      </c>
    </row>
    <row r="3100">
      <c r="A3100" s="3">
        <v>1133.0</v>
      </c>
      <c r="B3100" s="3">
        <v>52.0</v>
      </c>
      <c r="C3100" s="3">
        <v>1.0</v>
      </c>
      <c r="D3100" t="str">
        <f>VLOOKUP(B3100,ERA_MOTIF_TYPES.csv!$A$1:$C$119,2,1)</f>
        <v>Single or multiple cups</v>
      </c>
      <c r="E3100" t="str">
        <f>VLOOKUP(A3100,Panels!$A$1:$E$2104,5,0)</f>
        <v>Alnmouth Wall Rock</v>
      </c>
    </row>
    <row r="3101">
      <c r="A3101" s="3">
        <v>1134.0</v>
      </c>
      <c r="B3101" s="3">
        <v>52.0</v>
      </c>
      <c r="C3101" s="3">
        <v>3.0</v>
      </c>
      <c r="D3101" t="str">
        <f>VLOOKUP(B3101,ERA_MOTIF_TYPES.csv!$A$1:$C$119,2,1)</f>
        <v>Single or multiple cups</v>
      </c>
      <c r="E3101" t="str">
        <f>VLOOKUP(A3101,Panels!$A$1:$E$2104,5,0)</f>
        <v>Alnmouth Wall Rock</v>
      </c>
    </row>
    <row r="3102">
      <c r="A3102" s="3">
        <v>1135.0</v>
      </c>
      <c r="B3102" s="3">
        <v>52.0</v>
      </c>
      <c r="C3102" s="3">
        <v>6.0</v>
      </c>
      <c r="D3102" t="str">
        <f>VLOOKUP(B3102,ERA_MOTIF_TYPES.csv!$A$1:$C$119,2,1)</f>
        <v>Single or multiple cups</v>
      </c>
      <c r="E3102" t="str">
        <f>VLOOKUP(A3102,Panels!$A$1:$E$2104,5,0)</f>
        <v>Alnmouth Wall Rock</v>
      </c>
    </row>
    <row r="3103">
      <c r="A3103" s="3">
        <v>1136.0</v>
      </c>
      <c r="B3103" s="3">
        <v>52.0</v>
      </c>
      <c r="C3103" s="3">
        <v>5.0</v>
      </c>
      <c r="D3103" t="str">
        <f>VLOOKUP(B3103,ERA_MOTIF_TYPES.csv!$A$1:$C$119,2,1)</f>
        <v>Single or multiple cups</v>
      </c>
      <c r="E3103" t="str">
        <f>VLOOKUP(A3103,Panels!$A$1:$E$2104,5,0)</f>
        <v>Alnmouth Wall Rock</v>
      </c>
    </row>
    <row r="3104">
      <c r="A3104" s="3">
        <v>1137.0</v>
      </c>
      <c r="B3104" s="3">
        <v>52.0</v>
      </c>
      <c r="C3104" s="3">
        <v>5.0</v>
      </c>
      <c r="D3104" t="str">
        <f>VLOOKUP(B3104,ERA_MOTIF_TYPES.csv!$A$1:$C$119,2,1)</f>
        <v>Single or multiple cups</v>
      </c>
      <c r="E3104" t="str">
        <f>VLOOKUP(A3104,Panels!$A$1:$E$2104,5,0)</f>
        <v>Alnmouth Wall Rock</v>
      </c>
    </row>
    <row r="3105">
      <c r="A3105" s="3">
        <v>1138.0</v>
      </c>
      <c r="B3105" s="3">
        <v>52.0</v>
      </c>
      <c r="C3105" s="3">
        <v>1.0</v>
      </c>
      <c r="D3105" t="str">
        <f>VLOOKUP(B3105,ERA_MOTIF_TYPES.csv!$A$1:$C$119,2,1)</f>
        <v>Single or multiple cups</v>
      </c>
      <c r="E3105" t="str">
        <f>VLOOKUP(A3105,Panels!$A$1:$E$2104,5,0)</f>
        <v>Alnmouth Wall Rock</v>
      </c>
    </row>
    <row r="3106">
      <c r="A3106" s="3">
        <v>1139.0</v>
      </c>
      <c r="B3106" s="3">
        <v>52.0</v>
      </c>
      <c r="C3106" s="3">
        <v>2.0</v>
      </c>
      <c r="D3106" t="str">
        <f>VLOOKUP(B3106,ERA_MOTIF_TYPES.csv!$A$1:$C$119,2,1)</f>
        <v>Single or multiple cups</v>
      </c>
      <c r="E3106" t="str">
        <f>VLOOKUP(A3106,Panels!$A$1:$E$2104,5,0)</f>
        <v>Alnmouth Wall Rock</v>
      </c>
    </row>
    <row r="3107">
      <c r="A3107" s="3">
        <v>1140.0</v>
      </c>
      <c r="B3107" s="3">
        <v>52.0</v>
      </c>
      <c r="C3107" s="3">
        <v>10.0</v>
      </c>
      <c r="D3107" t="str">
        <f>VLOOKUP(B3107,ERA_MOTIF_TYPES.csv!$A$1:$C$119,2,1)</f>
        <v>Single or multiple cups</v>
      </c>
      <c r="E3107" t="str">
        <f>VLOOKUP(A3107,Panels!$A$1:$E$2104,5,0)</f>
        <v>Alnmouth Wall Rock</v>
      </c>
    </row>
    <row r="3108">
      <c r="A3108" s="3">
        <v>1141.0</v>
      </c>
      <c r="B3108" s="3">
        <v>52.0</v>
      </c>
      <c r="C3108" s="3">
        <v>18.0</v>
      </c>
      <c r="D3108" t="str">
        <f>VLOOKUP(B3108,ERA_MOTIF_TYPES.csv!$A$1:$C$119,2,1)</f>
        <v>Single or multiple cups</v>
      </c>
      <c r="E3108" t="str">
        <f>VLOOKUP(A3108,Panels!$A$1:$E$2104,5,0)</f>
        <v>Alnmouth Wall Rock</v>
      </c>
    </row>
    <row r="3109">
      <c r="A3109" s="3">
        <v>1141.0</v>
      </c>
      <c r="B3109" s="3">
        <v>55.0</v>
      </c>
      <c r="C3109" s="3">
        <v>2.0</v>
      </c>
      <c r="D3109" t="str">
        <f>VLOOKUP(B3109,ERA_MOTIF_TYPES.csv!$A$1:$C$119,2,1)</f>
        <v>Cups in a straight or curved line</v>
      </c>
      <c r="E3109" t="str">
        <f>VLOOKUP(A3109,Panels!$A$1:$E$2104,5,0)</f>
        <v>Alnmouth Wall Rock</v>
      </c>
    </row>
    <row r="3110">
      <c r="A3110" s="3">
        <v>1142.0</v>
      </c>
      <c r="B3110" s="3">
        <v>52.0</v>
      </c>
      <c r="C3110" s="3">
        <v>1.0</v>
      </c>
      <c r="D3110" t="str">
        <f>VLOOKUP(B3110,ERA_MOTIF_TYPES.csv!$A$1:$C$119,2,1)</f>
        <v>Single or multiple cups</v>
      </c>
      <c r="E3110" t="str">
        <f>VLOOKUP(A3110,Panels!$A$1:$E$2104,5,0)</f>
        <v>Alnmouth Wall Rock</v>
      </c>
    </row>
    <row r="3111">
      <c r="A3111" s="3">
        <v>1143.0</v>
      </c>
      <c r="B3111" s="3">
        <v>52.0</v>
      </c>
      <c r="C3111" s="3">
        <v>1.0</v>
      </c>
      <c r="D3111" t="str">
        <f>VLOOKUP(B3111,ERA_MOTIF_TYPES.csv!$A$1:$C$119,2,1)</f>
        <v>Single or multiple cups</v>
      </c>
      <c r="E3111" t="str">
        <f>VLOOKUP(A3111,Panels!$A$1:$E$2104,5,0)</f>
        <v>Alnmouth Wall Rock</v>
      </c>
    </row>
    <row r="3112">
      <c r="A3112" s="3">
        <v>1144.0</v>
      </c>
      <c r="B3112" s="3">
        <v>52.0</v>
      </c>
      <c r="C3112" s="3">
        <v>8.0</v>
      </c>
      <c r="D3112" t="str">
        <f>VLOOKUP(B3112,ERA_MOTIF_TYPES.csv!$A$1:$C$119,2,1)</f>
        <v>Single or multiple cups</v>
      </c>
      <c r="E3112" t="str">
        <f>VLOOKUP(A3112,Panels!$A$1:$E$2104,5,0)</f>
        <v>Alnmouth Wall Rock</v>
      </c>
    </row>
    <row r="3113">
      <c r="A3113" s="3">
        <v>1145.0</v>
      </c>
      <c r="B3113" s="3">
        <v>52.0</v>
      </c>
      <c r="C3113" s="3">
        <v>10.0</v>
      </c>
      <c r="D3113" t="str">
        <f>VLOOKUP(B3113,ERA_MOTIF_TYPES.csv!$A$1:$C$119,2,1)</f>
        <v>Single or multiple cups</v>
      </c>
      <c r="E3113" t="str">
        <f>VLOOKUP(A3113,Panels!$A$1:$E$2104,5,0)</f>
        <v>Alnmouth Wall Rock</v>
      </c>
    </row>
    <row r="3114">
      <c r="A3114" s="3">
        <v>1146.0</v>
      </c>
      <c r="B3114" s="3">
        <v>52.0</v>
      </c>
      <c r="C3114" s="3">
        <v>4.0</v>
      </c>
      <c r="D3114" t="str">
        <f>VLOOKUP(B3114,ERA_MOTIF_TYPES.csv!$A$1:$C$119,2,1)</f>
        <v>Single or multiple cups</v>
      </c>
      <c r="E3114" t="str">
        <f>VLOOKUP(A3114,Panels!$A$1:$E$2104,5,0)</f>
        <v>Alnmouth Wall Rock</v>
      </c>
    </row>
    <row r="3115">
      <c r="A3115" s="3">
        <v>1147.0</v>
      </c>
      <c r="B3115" s="3">
        <v>52.0</v>
      </c>
      <c r="C3115" s="3">
        <v>1.0</v>
      </c>
      <c r="D3115" t="str">
        <f>VLOOKUP(B3115,ERA_MOTIF_TYPES.csv!$A$1:$C$119,2,1)</f>
        <v>Single or multiple cups</v>
      </c>
      <c r="E3115" t="str">
        <f>VLOOKUP(A3115,Panels!$A$1:$E$2104,5,0)</f>
        <v>Alnmouth Wall Rock</v>
      </c>
    </row>
    <row r="3116">
      <c r="A3116" s="3">
        <v>1148.0</v>
      </c>
      <c r="B3116" s="3">
        <v>1.0</v>
      </c>
      <c r="C3116" s="3">
        <v>1.0</v>
      </c>
      <c r="D3116" t="str">
        <f>VLOOKUP(B3116,ERA_MOTIF_TYPES.csv!$A$1:$C$119,2,1)</f>
        <v>Cups Single</v>
      </c>
      <c r="E3116" t="str">
        <f>VLOOKUP(A3116,Panels!$A$1:$E$2104,5,0)</f>
        <v>Biddlestone</v>
      </c>
    </row>
    <row r="3117">
      <c r="A3117" s="3">
        <v>1148.0</v>
      </c>
      <c r="B3117" s="3">
        <v>7.0</v>
      </c>
      <c r="C3117" s="3">
        <v>1.0</v>
      </c>
      <c r="D3117" t="str">
        <f>VLOOKUP(B3117,ERA_MOTIF_TYPES.csv!$A$1:$C$119,2,1)</f>
        <v>Single Ring</v>
      </c>
      <c r="E3117" t="str">
        <f>VLOOKUP(A3117,Panels!$A$1:$E$2104,5,0)</f>
        <v>Biddlestone</v>
      </c>
    </row>
    <row r="3118">
      <c r="A3118" s="3">
        <v>1148.0</v>
      </c>
      <c r="B3118" s="3">
        <v>31.0</v>
      </c>
      <c r="C3118" s="3">
        <v>1.0</v>
      </c>
      <c r="D3118" t="str">
        <f>VLOOKUP(B3118,ERA_MOTIF_TYPES.csv!$A$1:$C$119,2,1)</f>
        <v>Cup and Groove</v>
      </c>
      <c r="E3118" t="str">
        <f>VLOOKUP(A3118,Panels!$A$1:$E$2104,5,0)</f>
        <v>Biddlestone</v>
      </c>
    </row>
    <row r="3119">
      <c r="A3119" s="3">
        <v>1149.0</v>
      </c>
      <c r="B3119" s="3">
        <v>1.0</v>
      </c>
      <c r="C3119" s="3">
        <v>5.0</v>
      </c>
      <c r="D3119" t="str">
        <f>VLOOKUP(B3119,ERA_MOTIF_TYPES.csv!$A$1:$C$119,2,1)</f>
        <v>Cups Single</v>
      </c>
      <c r="E3119" t="str">
        <f>VLOOKUP(A3119,Panels!$A$1:$E$2104,5,0)</f>
        <v>Biddlestone</v>
      </c>
    </row>
    <row r="3120">
      <c r="A3120" s="3">
        <v>1149.0</v>
      </c>
      <c r="B3120" s="3">
        <v>13.0</v>
      </c>
      <c r="C3120" s="3">
        <v>1.0</v>
      </c>
      <c r="D3120" t="str">
        <f>VLOOKUP(B3120,ERA_MOTIF_TYPES.csv!$A$1:$C$119,2,1)</f>
        <v>Single Ring + cup</v>
      </c>
      <c r="E3120" t="str">
        <f>VLOOKUP(A3120,Panels!$A$1:$E$2104,5,0)</f>
        <v>Biddlestone</v>
      </c>
    </row>
    <row r="3121">
      <c r="A3121" s="3">
        <v>1149.0</v>
      </c>
      <c r="B3121" s="3">
        <v>16.0</v>
      </c>
      <c r="C3121" s="3">
        <v>1.0</v>
      </c>
      <c r="D3121" t="str">
        <f>VLOOKUP(B3121,ERA_MOTIF_TYPES.csv!$A$1:$C$119,2,1)</f>
        <v>Single Arc + cup</v>
      </c>
      <c r="E3121" t="str">
        <f>VLOOKUP(A3121,Panels!$A$1:$E$2104,5,0)</f>
        <v>Biddlestone</v>
      </c>
    </row>
    <row r="3122">
      <c r="A3122" s="3">
        <v>1149.0</v>
      </c>
      <c r="B3122" s="3">
        <v>52.0</v>
      </c>
      <c r="C3122" s="3">
        <v>11.0</v>
      </c>
      <c r="D3122" t="str">
        <f>VLOOKUP(B3122,ERA_MOTIF_TYPES.csv!$A$1:$C$119,2,1)</f>
        <v>Single or multiple cups</v>
      </c>
      <c r="E3122" t="str">
        <f>VLOOKUP(A3122,Panels!$A$1:$E$2104,5,0)</f>
        <v>Biddlestone</v>
      </c>
    </row>
    <row r="3123">
      <c r="A3123" s="3">
        <v>1149.0</v>
      </c>
      <c r="B3123" s="3">
        <v>57.0</v>
      </c>
      <c r="C3123" s="3">
        <v>1.0</v>
      </c>
      <c r="D3123" t="str">
        <f>VLOOKUP(B3123,ERA_MOTIF_TYPES.csv!$A$1:$C$119,2,1)</f>
        <v>Cup and ring</v>
      </c>
      <c r="E3123" t="str">
        <f>VLOOKUP(A3123,Panels!$A$1:$E$2104,5,0)</f>
        <v>Biddlestone</v>
      </c>
    </row>
    <row r="3124">
      <c r="A3124" s="3">
        <v>1149.0</v>
      </c>
      <c r="B3124" s="3">
        <v>59.0</v>
      </c>
      <c r="C3124" s="3">
        <v>1.0</v>
      </c>
      <c r="D3124" t="str">
        <f>VLOOKUP(B3124,ERA_MOTIF_TYPES.csv!$A$1:$C$119,2,1)</f>
        <v>Cup and penannular</v>
      </c>
      <c r="E3124" t="str">
        <f>VLOOKUP(A3124,Panels!$A$1:$E$2104,5,0)</f>
        <v>Biddlestone</v>
      </c>
    </row>
    <row r="3125">
      <c r="A3125" s="3">
        <v>1150.0</v>
      </c>
      <c r="B3125" s="3">
        <v>1.0</v>
      </c>
      <c r="C3125" s="3">
        <v>3.0</v>
      </c>
      <c r="D3125" t="str">
        <f>VLOOKUP(B3125,ERA_MOTIF_TYPES.csv!$A$1:$C$119,2,1)</f>
        <v>Cups Single</v>
      </c>
      <c r="E3125" t="str">
        <f>VLOOKUP(A3125,Panels!$A$1:$E$2104,5,0)</f>
        <v>Alwinton/Newton/Clennell Cottages</v>
      </c>
    </row>
    <row r="3126">
      <c r="A3126" s="3">
        <v>1150.0</v>
      </c>
      <c r="B3126" s="3">
        <v>31.0</v>
      </c>
      <c r="C3126" s="3">
        <v>1.0</v>
      </c>
      <c r="D3126" t="str">
        <f>VLOOKUP(B3126,ERA_MOTIF_TYPES.csv!$A$1:$C$119,2,1)</f>
        <v>Cup and Groove</v>
      </c>
      <c r="E3126" t="str">
        <f>VLOOKUP(A3126,Panels!$A$1:$E$2104,5,0)</f>
        <v>Alwinton/Newton/Clennell Cottages</v>
      </c>
    </row>
    <row r="3127">
      <c r="A3127" s="3">
        <v>1151.0</v>
      </c>
      <c r="B3127" s="3">
        <v>66.0</v>
      </c>
      <c r="C3127" s="3">
        <v>1.0</v>
      </c>
      <c r="D3127" t="str">
        <f>VLOOKUP(B3127,ERA_MOTIF_TYPES.csv!$A$1:$C$119,2,1)</f>
        <v>Cup and groove with multiple penannulars</v>
      </c>
      <c r="E3127" t="str">
        <f>VLOOKUP(A3127,Panels!$A$1:$E$2104,5,0)</f>
        <v>Alwinton/Newton/Clennell Cottages</v>
      </c>
    </row>
    <row r="3128">
      <c r="A3128" s="3">
        <v>1151.0</v>
      </c>
      <c r="B3128" s="3">
        <v>87.0</v>
      </c>
      <c r="C3128" s="3">
        <v>1.0</v>
      </c>
      <c r="D3128" t="str">
        <f>VLOOKUP(B3128,ERA_MOTIF_TYPES.csv!$A$1:$C$119,2,1)</f>
        <v>Linear and angular groove</v>
      </c>
      <c r="E3128" t="str">
        <f>VLOOKUP(A3128,Panels!$A$1:$E$2104,5,0)</f>
        <v>Alwinton/Newton/Clennell Cottages</v>
      </c>
    </row>
    <row r="3129">
      <c r="A3129" s="3">
        <v>1152.0</v>
      </c>
      <c r="B3129" s="3">
        <v>1.0</v>
      </c>
      <c r="C3129" s="3">
        <v>16.0</v>
      </c>
      <c r="D3129" t="str">
        <f>VLOOKUP(B3129,ERA_MOTIF_TYPES.csv!$A$1:$C$119,2,1)</f>
        <v>Cups Single</v>
      </c>
      <c r="E3129" t="str">
        <f>VLOOKUP(A3129,Panels!$A$1:$E$2104,5,0)</f>
        <v>Alwinton/Newton/Clennell Cottages</v>
      </c>
    </row>
    <row r="3130">
      <c r="A3130" s="3">
        <v>1152.0</v>
      </c>
      <c r="B3130" s="3">
        <v>6.0</v>
      </c>
      <c r="C3130" s="3">
        <v>2.0</v>
      </c>
      <c r="D3130" t="str">
        <f>VLOOKUP(B3130,ERA_MOTIF_TYPES.csv!$A$1:$C$119,2,1)</f>
        <v>curved or straight line</v>
      </c>
      <c r="E3130" t="str">
        <f>VLOOKUP(A3130,Panels!$A$1:$E$2104,5,0)</f>
        <v>Alwinton/Newton/Clennell Cottages</v>
      </c>
    </row>
    <row r="3131">
      <c r="A3131" s="3">
        <v>1152.0</v>
      </c>
      <c r="B3131" s="3">
        <v>13.0</v>
      </c>
      <c r="C3131" s="3">
        <v>1.0</v>
      </c>
      <c r="D3131" t="str">
        <f>VLOOKUP(B3131,ERA_MOTIF_TYPES.csv!$A$1:$C$119,2,1)</f>
        <v>Single Ring + cup</v>
      </c>
      <c r="E3131" t="str">
        <f>VLOOKUP(A3131,Panels!$A$1:$E$2104,5,0)</f>
        <v>Alwinton/Newton/Clennell Cottages</v>
      </c>
    </row>
    <row r="3132">
      <c r="A3132" s="3">
        <v>1152.0</v>
      </c>
      <c r="B3132" s="3">
        <v>25.0</v>
      </c>
      <c r="C3132" s="3">
        <v>6.0</v>
      </c>
      <c r="D3132" t="str">
        <f>VLOOKUP(B3132,ERA_MOTIF_TYPES.csv!$A$1:$C$119,2,1)</f>
        <v>Linear</v>
      </c>
      <c r="E3132" t="str">
        <f>VLOOKUP(A3132,Panels!$A$1:$E$2104,5,0)</f>
        <v>Alwinton/Newton/Clennell Cottages</v>
      </c>
    </row>
    <row r="3133">
      <c r="A3133" s="3">
        <v>1152.0</v>
      </c>
      <c r="B3133" s="3">
        <v>31.0</v>
      </c>
      <c r="C3133" s="3">
        <v>10.0</v>
      </c>
      <c r="D3133" t="str">
        <f>VLOOKUP(B3133,ERA_MOTIF_TYPES.csv!$A$1:$C$119,2,1)</f>
        <v>Cup and Groove</v>
      </c>
      <c r="E3133" t="str">
        <f>VLOOKUP(A3133,Panels!$A$1:$E$2104,5,0)</f>
        <v>Alwinton/Newton/Clennell Cottages</v>
      </c>
    </row>
    <row r="3134">
      <c r="A3134" s="3">
        <v>1152.0</v>
      </c>
      <c r="B3134" s="3">
        <v>33.0</v>
      </c>
      <c r="C3134" s="3">
        <v>3.0</v>
      </c>
      <c r="D3134" t="str">
        <f>VLOOKUP(B3134,ERA_MOTIF_TYPES.csv!$A$1:$C$119,2,1)</f>
        <v>Cup Groove and multi ring</v>
      </c>
      <c r="E3134" t="str">
        <f>VLOOKUP(A3134,Panels!$A$1:$E$2104,5,0)</f>
        <v>Alwinton/Newton/Clennell Cottages</v>
      </c>
    </row>
    <row r="3135">
      <c r="A3135" s="3">
        <v>1152.0</v>
      </c>
      <c r="B3135" s="3">
        <v>52.0</v>
      </c>
      <c r="C3135" s="3">
        <v>11.0</v>
      </c>
      <c r="D3135" t="str">
        <f>VLOOKUP(B3135,ERA_MOTIF_TYPES.csv!$A$1:$C$119,2,1)</f>
        <v>Single or multiple cups</v>
      </c>
      <c r="E3135" t="str">
        <f>VLOOKUP(A3135,Panels!$A$1:$E$2104,5,0)</f>
        <v>Alwinton/Newton/Clennell Cottages</v>
      </c>
    </row>
    <row r="3136">
      <c r="A3136" s="3">
        <v>1152.0</v>
      </c>
      <c r="B3136" s="3">
        <v>55.0</v>
      </c>
      <c r="C3136" s="3">
        <v>1.0</v>
      </c>
      <c r="D3136" t="str">
        <f>VLOOKUP(B3136,ERA_MOTIF_TYPES.csv!$A$1:$C$119,2,1)</f>
        <v>Cups in a straight or curved line</v>
      </c>
      <c r="E3136" t="str">
        <f>VLOOKUP(A3136,Panels!$A$1:$E$2104,5,0)</f>
        <v>Alwinton/Newton/Clennell Cottages</v>
      </c>
    </row>
    <row r="3137">
      <c r="A3137" s="3">
        <v>1152.0</v>
      </c>
      <c r="B3137" s="3">
        <v>57.0</v>
      </c>
      <c r="C3137" s="3">
        <v>1.0</v>
      </c>
      <c r="D3137" t="str">
        <f>VLOOKUP(B3137,ERA_MOTIF_TYPES.csv!$A$1:$C$119,2,1)</f>
        <v>Cup and ring</v>
      </c>
      <c r="E3137" t="str">
        <f>VLOOKUP(A3137,Panels!$A$1:$E$2104,5,0)</f>
        <v>Alwinton/Newton/Clennell Cottages</v>
      </c>
    </row>
    <row r="3138">
      <c r="A3138" s="3">
        <v>1152.0</v>
      </c>
      <c r="B3138" s="3">
        <v>87.0</v>
      </c>
      <c r="C3138" s="3">
        <v>8.0</v>
      </c>
      <c r="D3138" t="str">
        <f>VLOOKUP(B3138,ERA_MOTIF_TYPES.csv!$A$1:$C$119,2,1)</f>
        <v>Linear and angular groove</v>
      </c>
      <c r="E3138" t="str">
        <f>VLOOKUP(A3138,Panels!$A$1:$E$2104,5,0)</f>
        <v>Alwinton/Newton/Clennell Cottages</v>
      </c>
    </row>
    <row r="3139">
      <c r="A3139" s="3">
        <v>1152.0</v>
      </c>
      <c r="B3139" s="3">
        <v>100.0</v>
      </c>
      <c r="C3139" s="3">
        <v>1.0</v>
      </c>
      <c r="D3139" t="str">
        <f>VLOOKUP(B3139,ERA_MOTIF_TYPES.csv!$A$1:$C$119,2,1)</f>
        <v>Pick marks</v>
      </c>
      <c r="E3139" t="str">
        <f>VLOOKUP(A3139,Panels!$A$1:$E$2104,5,0)</f>
        <v>Alwinton/Newton/Clennell Cottages</v>
      </c>
    </row>
    <row r="3140">
      <c r="A3140" s="3">
        <v>1152.0</v>
      </c>
      <c r="B3140" s="3">
        <v>103.0</v>
      </c>
      <c r="C3140" s="3">
        <v>6.0</v>
      </c>
      <c r="D3140" t="str">
        <f>VLOOKUP(B3140,ERA_MOTIF_TYPES.csv!$A$1:$C$119,2,1)</f>
        <v>Cup and groove</v>
      </c>
      <c r="E3140" t="str">
        <f>VLOOKUP(A3140,Panels!$A$1:$E$2104,5,0)</f>
        <v>Alwinton/Newton/Clennell Cottages</v>
      </c>
    </row>
    <row r="3141">
      <c r="A3141" s="3">
        <v>1152.0</v>
      </c>
      <c r="B3141" s="3">
        <v>105.0</v>
      </c>
      <c r="C3141" s="3">
        <v>1.0</v>
      </c>
      <c r="D3141" t="str">
        <f>VLOOKUP(B3141,ERA_MOTIF_TYPES.csv!$A$1:$C$119,2,1)</f>
        <v>Two cups linked by a groove</v>
      </c>
      <c r="E3141" t="str">
        <f>VLOOKUP(A3141,Panels!$A$1:$E$2104,5,0)</f>
        <v>Alwinton/Newton/Clennell Cottages</v>
      </c>
    </row>
    <row r="3142">
      <c r="A3142" s="3">
        <v>1152.0</v>
      </c>
      <c r="B3142" s="3">
        <v>110.0</v>
      </c>
      <c r="C3142" s="3">
        <v>3.0</v>
      </c>
      <c r="D3142" t="str">
        <f>VLOOKUP(B3142,ERA_MOTIF_TYPES.csv!$A$1:$C$119,2,1)</f>
        <v>Curved groove</v>
      </c>
      <c r="E3142" t="str">
        <f>VLOOKUP(A3142,Panels!$A$1:$E$2104,5,0)</f>
        <v>Alwinton/Newton/Clennell Cottages</v>
      </c>
    </row>
    <row r="3143">
      <c r="A3143" s="3">
        <v>1153.0</v>
      </c>
      <c r="B3143" s="3">
        <v>1.0</v>
      </c>
      <c r="C3143" s="3">
        <v>1.0</v>
      </c>
      <c r="D3143" t="str">
        <f>VLOOKUP(B3143,ERA_MOTIF_TYPES.csv!$A$1:$C$119,2,1)</f>
        <v>Cups Single</v>
      </c>
      <c r="E3143" t="str">
        <f>VLOOKUP(A3143,Panels!$A$1:$E$2104,5,0)</f>
        <v>Alwinton/Newton/Clennell Cottages</v>
      </c>
    </row>
    <row r="3144">
      <c r="A3144" s="3">
        <v>1153.0</v>
      </c>
      <c r="B3144" s="3">
        <v>52.0</v>
      </c>
      <c r="C3144" s="3">
        <v>1.0</v>
      </c>
      <c r="D3144" t="str">
        <f>VLOOKUP(B3144,ERA_MOTIF_TYPES.csv!$A$1:$C$119,2,1)</f>
        <v>Single or multiple cups</v>
      </c>
      <c r="E3144" t="str">
        <f>VLOOKUP(A3144,Panels!$A$1:$E$2104,5,0)</f>
        <v>Alwinton/Newton/Clennell Cottages</v>
      </c>
    </row>
    <row r="3145">
      <c r="A3145" s="3">
        <v>1156.0</v>
      </c>
      <c r="B3145" s="3">
        <v>52.0</v>
      </c>
      <c r="C3145" s="3">
        <v>27.0</v>
      </c>
      <c r="D3145" t="str">
        <f>VLOOKUP(B3145,ERA_MOTIF_TYPES.csv!$A$1:$C$119,2,1)</f>
        <v>Single or multiple cups</v>
      </c>
      <c r="E3145" t="str">
        <f>VLOOKUP(A3145,Panels!$A$1:$E$2104,5,0)</f>
        <v>Debdon Whitefield</v>
      </c>
    </row>
    <row r="3146">
      <c r="A3146" s="3">
        <v>1157.0</v>
      </c>
      <c r="B3146" s="3">
        <v>14.0</v>
      </c>
      <c r="C3146" s="3">
        <v>2.0</v>
      </c>
      <c r="D3146" t="str">
        <f>VLOOKUP(B3146,ERA_MOTIF_TYPES.csv!$A$1:$C$119,2,1)</f>
        <v>Multi Ring + cup</v>
      </c>
      <c r="E3146" t="str">
        <f>VLOOKUP(A3146,Panels!$A$1:$E$2104,5,0)</f>
        <v>Football Cairn</v>
      </c>
    </row>
    <row r="3147">
      <c r="A3147" s="3">
        <v>1157.0</v>
      </c>
      <c r="B3147" s="3">
        <v>51.0</v>
      </c>
      <c r="C3147" s="3">
        <v>2.0</v>
      </c>
      <c r="D3147" t="str">
        <f>VLOOKUP(B3147,ERA_MOTIF_TYPES.csv!$A$1:$C$119,2,1)</f>
        <v>Bowls</v>
      </c>
      <c r="E3147" t="str">
        <f>VLOOKUP(A3147,Panels!$A$1:$E$2104,5,0)</f>
        <v>Football Cairn</v>
      </c>
    </row>
    <row r="3148">
      <c r="A3148" s="3">
        <v>1157.0</v>
      </c>
      <c r="B3148" s="3">
        <v>58.0</v>
      </c>
      <c r="C3148" s="3">
        <v>2.0</v>
      </c>
      <c r="D3148" t="str">
        <f>VLOOKUP(B3148,ERA_MOTIF_TYPES.csv!$A$1:$C$119,2,1)</f>
        <v>Cup and multiple rings</v>
      </c>
      <c r="E3148" t="str">
        <f>VLOOKUP(A3148,Panels!$A$1:$E$2104,5,0)</f>
        <v>Football Cairn</v>
      </c>
    </row>
    <row r="3149">
      <c r="A3149" s="3">
        <v>1158.0</v>
      </c>
      <c r="B3149" s="3">
        <v>1.0</v>
      </c>
      <c r="C3149" s="3">
        <v>6.0</v>
      </c>
      <c r="D3149" t="str">
        <f>VLOOKUP(B3149,ERA_MOTIF_TYPES.csv!$A$1:$C$119,2,1)</f>
        <v>Cups Single</v>
      </c>
      <c r="E3149" t="str">
        <f>VLOOKUP(A3149,Panels!$A$1:$E$2104,5,0)</f>
        <v>Football Cairn</v>
      </c>
    </row>
    <row r="3150">
      <c r="A3150" s="3">
        <v>1158.0</v>
      </c>
      <c r="B3150" s="3">
        <v>52.0</v>
      </c>
      <c r="C3150" s="3">
        <v>11.0</v>
      </c>
      <c r="D3150" t="str">
        <f>VLOOKUP(B3150,ERA_MOTIF_TYPES.csv!$A$1:$C$119,2,1)</f>
        <v>Single or multiple cups</v>
      </c>
      <c r="E3150" t="str">
        <f>VLOOKUP(A3150,Panels!$A$1:$E$2104,5,0)</f>
        <v>Football Cairn</v>
      </c>
    </row>
    <row r="3151">
      <c r="A3151" s="3">
        <v>1159.0</v>
      </c>
      <c r="B3151" s="3">
        <v>52.0</v>
      </c>
      <c r="C3151" s="3">
        <v>7.0</v>
      </c>
      <c r="D3151" t="str">
        <f>VLOOKUP(B3151,ERA_MOTIF_TYPES.csv!$A$1:$C$119,2,1)</f>
        <v>Single or multiple cups</v>
      </c>
      <c r="E3151" t="str">
        <f>VLOOKUP(A3151,Panels!$A$1:$E$2104,5,0)</f>
        <v>Football Cairn</v>
      </c>
    </row>
    <row r="3152">
      <c r="A3152" s="3">
        <v>1160.0</v>
      </c>
      <c r="B3152" s="3">
        <v>1.0</v>
      </c>
      <c r="C3152" s="3">
        <v>2.0</v>
      </c>
      <c r="D3152" t="str">
        <f>VLOOKUP(B3152,ERA_MOTIF_TYPES.csv!$A$1:$C$119,2,1)</f>
        <v>Cups Single</v>
      </c>
      <c r="E3152" t="str">
        <f>VLOOKUP(A3152,Panels!$A$1:$E$2104,5,0)</f>
        <v>Football Cairn</v>
      </c>
    </row>
    <row r="3153">
      <c r="A3153" s="3">
        <v>1160.0</v>
      </c>
      <c r="B3153" s="3">
        <v>52.0</v>
      </c>
      <c r="C3153" s="3">
        <v>4.0</v>
      </c>
      <c r="D3153" t="str">
        <f>VLOOKUP(B3153,ERA_MOTIF_TYPES.csv!$A$1:$C$119,2,1)</f>
        <v>Single or multiple cups</v>
      </c>
      <c r="E3153" t="str">
        <f>VLOOKUP(A3153,Panels!$A$1:$E$2104,5,0)</f>
        <v>Football Cairn</v>
      </c>
    </row>
    <row r="3154">
      <c r="A3154" s="3">
        <v>1161.0</v>
      </c>
      <c r="B3154" s="3">
        <v>1.0</v>
      </c>
      <c r="C3154" s="3">
        <v>1.0</v>
      </c>
      <c r="D3154" t="str">
        <f>VLOOKUP(B3154,ERA_MOTIF_TYPES.csv!$A$1:$C$119,2,1)</f>
        <v>Cups Single</v>
      </c>
      <c r="E3154" t="str">
        <f>VLOOKUP(A3154,Panels!$A$1:$E$2104,5,0)</f>
        <v>Football Cairn</v>
      </c>
    </row>
    <row r="3155">
      <c r="A3155" s="3">
        <v>1161.0</v>
      </c>
      <c r="B3155" s="3">
        <v>52.0</v>
      </c>
      <c r="C3155" s="3">
        <v>1.0</v>
      </c>
      <c r="D3155" t="str">
        <f>VLOOKUP(B3155,ERA_MOTIF_TYPES.csv!$A$1:$C$119,2,1)</f>
        <v>Single or multiple cups</v>
      </c>
      <c r="E3155" t="str">
        <f>VLOOKUP(A3155,Panels!$A$1:$E$2104,5,0)</f>
        <v>Football Cairn</v>
      </c>
    </row>
    <row r="3156">
      <c r="A3156" s="3">
        <v>1162.0</v>
      </c>
      <c r="B3156" s="3">
        <v>14.0</v>
      </c>
      <c r="C3156" s="3">
        <v>1.0</v>
      </c>
      <c r="D3156" t="str">
        <f>VLOOKUP(B3156,ERA_MOTIF_TYPES.csv!$A$1:$C$119,2,1)</f>
        <v>Multi Ring + cup</v>
      </c>
      <c r="E3156" t="str">
        <f>VLOOKUP(A3156,Panels!$A$1:$E$2104,5,0)</f>
        <v>Football Cairn</v>
      </c>
    </row>
    <row r="3157">
      <c r="A3157" s="3">
        <v>1162.0</v>
      </c>
      <c r="B3157" s="3">
        <v>25.0</v>
      </c>
      <c r="C3157" s="3">
        <v>1.0</v>
      </c>
      <c r="D3157" t="str">
        <f>VLOOKUP(B3157,ERA_MOTIF_TYPES.csv!$A$1:$C$119,2,1)</f>
        <v>Linear</v>
      </c>
      <c r="E3157" t="str">
        <f>VLOOKUP(A3157,Panels!$A$1:$E$2104,5,0)</f>
        <v>Football Cairn</v>
      </c>
    </row>
    <row r="3158">
      <c r="A3158" s="3">
        <v>1162.0</v>
      </c>
      <c r="B3158" s="3">
        <v>33.0</v>
      </c>
      <c r="C3158" s="3">
        <v>1.0</v>
      </c>
      <c r="D3158" t="str">
        <f>VLOOKUP(B3158,ERA_MOTIF_TYPES.csv!$A$1:$C$119,2,1)</f>
        <v>Cup Groove and multi ring</v>
      </c>
      <c r="E3158" t="str">
        <f>VLOOKUP(A3158,Panels!$A$1:$E$2104,5,0)</f>
        <v>Football Cairn</v>
      </c>
    </row>
    <row r="3159">
      <c r="A3159" s="3">
        <v>1162.0</v>
      </c>
      <c r="B3159" s="3">
        <v>52.0</v>
      </c>
      <c r="C3159" s="3">
        <v>26.0</v>
      </c>
      <c r="D3159" t="str">
        <f>VLOOKUP(B3159,ERA_MOTIF_TYPES.csv!$A$1:$C$119,2,1)</f>
        <v>Single or multiple cups</v>
      </c>
      <c r="E3159" t="str">
        <f>VLOOKUP(A3159,Panels!$A$1:$E$2104,5,0)</f>
        <v>Football Cairn</v>
      </c>
    </row>
    <row r="3160">
      <c r="A3160" s="3">
        <v>1162.0</v>
      </c>
      <c r="B3160" s="3">
        <v>57.0</v>
      </c>
      <c r="C3160" s="3">
        <v>2.0</v>
      </c>
      <c r="D3160" t="str">
        <f>VLOOKUP(B3160,ERA_MOTIF_TYPES.csv!$A$1:$C$119,2,1)</f>
        <v>Cup and ring</v>
      </c>
      <c r="E3160" t="str">
        <f>VLOOKUP(A3160,Panels!$A$1:$E$2104,5,0)</f>
        <v>Football Cairn</v>
      </c>
    </row>
    <row r="3161">
      <c r="A3161" s="3">
        <v>1162.0</v>
      </c>
      <c r="B3161" s="3">
        <v>60.0</v>
      </c>
      <c r="C3161" s="3">
        <v>1.0</v>
      </c>
      <c r="D3161" t="str">
        <f>VLOOKUP(B3161,ERA_MOTIF_TYPES.csv!$A$1:$C$119,2,1)</f>
        <v>Cup and multiple penannulars</v>
      </c>
      <c r="E3161" t="str">
        <f>VLOOKUP(A3161,Panels!$A$1:$E$2104,5,0)</f>
        <v>Football Cairn</v>
      </c>
    </row>
    <row r="3162">
      <c r="A3162" s="3">
        <v>1162.0</v>
      </c>
      <c r="B3162" s="3">
        <v>61.0</v>
      </c>
      <c r="C3162" s="3">
        <v>2.0</v>
      </c>
      <c r="D3162" t="str">
        <f>VLOOKUP(B3162,ERA_MOTIF_TYPES.csv!$A$1:$C$119,2,1)</f>
        <v>Cup and arc (or semi-ovoid)</v>
      </c>
      <c r="E3162" t="str">
        <f>VLOOKUP(A3162,Panels!$A$1:$E$2104,5,0)</f>
        <v>Football Cairn</v>
      </c>
    </row>
    <row r="3163">
      <c r="A3163" s="3">
        <v>1162.0</v>
      </c>
      <c r="B3163" s="3">
        <v>64.0</v>
      </c>
      <c r="C3163" s="3">
        <v>1.0</v>
      </c>
      <c r="D3163" t="str">
        <f>VLOOKUP(B3163,ERA_MOTIF_TYPES.csv!$A$1:$C$119,2,1)</f>
        <v>Cup with groove cutting through multiple rings</v>
      </c>
      <c r="E3163" t="str">
        <f>VLOOKUP(A3163,Panels!$A$1:$E$2104,5,0)</f>
        <v>Football Cairn</v>
      </c>
    </row>
    <row r="3164">
      <c r="A3164" s="3">
        <v>1162.0</v>
      </c>
      <c r="B3164" s="3">
        <v>69.0</v>
      </c>
      <c r="C3164" s="3">
        <v>1.0</v>
      </c>
      <c r="D3164" t="str">
        <f>VLOOKUP(B3164,ERA_MOTIF_TYPES.csv!$A$1:$C$119,2,1)</f>
        <v>Ring</v>
      </c>
      <c r="E3164" t="str">
        <f>VLOOKUP(A3164,Panels!$A$1:$E$2104,5,0)</f>
        <v>Football Cairn</v>
      </c>
    </row>
    <row r="3165">
      <c r="A3165" s="3">
        <v>1162.0</v>
      </c>
      <c r="B3165" s="3">
        <v>73.0</v>
      </c>
      <c r="C3165" s="3">
        <v>1.0</v>
      </c>
      <c r="D3165" t="str">
        <f>VLOOKUP(B3165,ERA_MOTIF_TYPES.csv!$A$1:$C$119,2,1)</f>
        <v>Arc</v>
      </c>
      <c r="E3165" t="str">
        <f>VLOOKUP(A3165,Panels!$A$1:$E$2104,5,0)</f>
        <v>Football Cairn</v>
      </c>
    </row>
    <row r="3166">
      <c r="A3166" s="3">
        <v>1162.0</v>
      </c>
      <c r="B3166" s="3">
        <v>74.0</v>
      </c>
      <c r="C3166" s="3">
        <v>1.0</v>
      </c>
      <c r="D3166" t="str">
        <f>VLOOKUP(B3166,ERA_MOTIF_TYPES.csv!$A$1:$C$119,2,1)</f>
        <v>Multiple arcs</v>
      </c>
      <c r="E3166" t="str">
        <f>VLOOKUP(A3166,Panels!$A$1:$E$2104,5,0)</f>
        <v>Football Cairn</v>
      </c>
    </row>
    <row r="3167">
      <c r="A3167" s="3">
        <v>1162.0</v>
      </c>
      <c r="B3167" s="3">
        <v>93.0</v>
      </c>
      <c r="C3167" s="3">
        <v>6.0</v>
      </c>
      <c r="D3167" t="str">
        <f>VLOOKUP(B3167,ERA_MOTIF_TYPES.csv!$A$1:$C$119,2,1)</f>
        <v>Midget cup</v>
      </c>
      <c r="E3167" t="str">
        <f>VLOOKUP(A3167,Panels!$A$1:$E$2104,5,0)</f>
        <v>Football Cairn</v>
      </c>
    </row>
    <row r="3168">
      <c r="A3168" s="3">
        <v>1162.0</v>
      </c>
      <c r="B3168" s="3">
        <v>103.0</v>
      </c>
      <c r="C3168" s="3">
        <v>4.0</v>
      </c>
      <c r="D3168" t="str">
        <f>VLOOKUP(B3168,ERA_MOTIF_TYPES.csv!$A$1:$C$119,2,1)</f>
        <v>Cup and groove</v>
      </c>
      <c r="E3168" t="str">
        <f>VLOOKUP(A3168,Panels!$A$1:$E$2104,5,0)</f>
        <v>Football Cairn</v>
      </c>
    </row>
    <row r="3169">
      <c r="A3169" s="3">
        <v>1162.0</v>
      </c>
      <c r="B3169" s="3">
        <v>105.0</v>
      </c>
      <c r="C3169" s="3">
        <v>1.0</v>
      </c>
      <c r="D3169" t="str">
        <f>VLOOKUP(B3169,ERA_MOTIF_TYPES.csv!$A$1:$C$119,2,1)</f>
        <v>Two cups linked by a groove</v>
      </c>
      <c r="E3169" t="str">
        <f>VLOOKUP(A3169,Panels!$A$1:$E$2104,5,0)</f>
        <v>Football Cairn</v>
      </c>
    </row>
    <row r="3170">
      <c r="A3170" s="3">
        <v>1162.0</v>
      </c>
      <c r="B3170" s="3">
        <v>110.0</v>
      </c>
      <c r="C3170" s="3">
        <v>1.0</v>
      </c>
      <c r="D3170" t="str">
        <f>VLOOKUP(B3170,ERA_MOTIF_TYPES.csv!$A$1:$C$119,2,1)</f>
        <v>Curved groove</v>
      </c>
      <c r="E3170" t="str">
        <f>VLOOKUP(A3170,Panels!$A$1:$E$2104,5,0)</f>
        <v>Football Cairn</v>
      </c>
    </row>
    <row r="3171">
      <c r="A3171" s="3">
        <v>1163.0</v>
      </c>
      <c r="B3171" s="3">
        <v>1.0</v>
      </c>
      <c r="C3171" s="3">
        <v>2.0</v>
      </c>
      <c r="D3171" t="str">
        <f>VLOOKUP(B3171,ERA_MOTIF_TYPES.csv!$A$1:$C$119,2,1)</f>
        <v>Cups Single</v>
      </c>
      <c r="E3171" t="str">
        <f>VLOOKUP(A3171,Panels!$A$1:$E$2104,5,0)</f>
        <v>Football Cairn</v>
      </c>
    </row>
    <row r="3172">
      <c r="A3172" s="3">
        <v>1163.0</v>
      </c>
      <c r="B3172" s="3">
        <v>52.0</v>
      </c>
      <c r="C3172" s="3">
        <v>4.0</v>
      </c>
      <c r="D3172" t="str">
        <f>VLOOKUP(B3172,ERA_MOTIF_TYPES.csv!$A$1:$C$119,2,1)</f>
        <v>Single or multiple cups</v>
      </c>
      <c r="E3172" t="str">
        <f>VLOOKUP(A3172,Panels!$A$1:$E$2104,5,0)</f>
        <v>Football Cairn</v>
      </c>
    </row>
    <row r="3173">
      <c r="A3173" s="3">
        <v>1164.0</v>
      </c>
      <c r="B3173" s="3">
        <v>1.0</v>
      </c>
      <c r="C3173" s="3">
        <v>1.0</v>
      </c>
      <c r="D3173" t="str">
        <f>VLOOKUP(B3173,ERA_MOTIF_TYPES.csv!$A$1:$C$119,2,1)</f>
        <v>Cups Single</v>
      </c>
      <c r="E3173" t="str">
        <f>VLOOKUP(A3173,Panels!$A$1:$E$2104,5,0)</f>
        <v>Chirnells Moor</v>
      </c>
    </row>
    <row r="3174">
      <c r="A3174" s="3">
        <v>1165.0</v>
      </c>
      <c r="B3174" s="3">
        <v>1.0</v>
      </c>
      <c r="C3174" s="3">
        <v>8.0</v>
      </c>
      <c r="D3174" t="str">
        <f>VLOOKUP(B3174,ERA_MOTIF_TYPES.csv!$A$1:$C$119,2,1)</f>
        <v>Cups Single</v>
      </c>
      <c r="E3174" t="str">
        <f>VLOOKUP(A3174,Panels!$A$1:$E$2104,5,0)</f>
        <v>Addeyheugh</v>
      </c>
    </row>
    <row r="3175">
      <c r="A3175" s="3">
        <v>1165.0</v>
      </c>
      <c r="B3175" s="3">
        <v>16.0</v>
      </c>
      <c r="C3175" s="3">
        <v>1.0</v>
      </c>
      <c r="D3175" t="str">
        <f>VLOOKUP(B3175,ERA_MOTIF_TYPES.csv!$A$1:$C$119,2,1)</f>
        <v>Single Arc + cup</v>
      </c>
      <c r="E3175" t="str">
        <f>VLOOKUP(A3175,Panels!$A$1:$E$2104,5,0)</f>
        <v>Addeyheugh</v>
      </c>
    </row>
    <row r="3176">
      <c r="A3176" s="3">
        <v>1165.0</v>
      </c>
      <c r="B3176" s="3">
        <v>51.0</v>
      </c>
      <c r="C3176" s="3">
        <v>1.0</v>
      </c>
      <c r="D3176" t="str">
        <f>VLOOKUP(B3176,ERA_MOTIF_TYPES.csv!$A$1:$C$119,2,1)</f>
        <v>Bowls</v>
      </c>
      <c r="E3176" t="str">
        <f>VLOOKUP(A3176,Panels!$A$1:$E$2104,5,0)</f>
        <v>Addeyheugh</v>
      </c>
    </row>
    <row r="3177">
      <c r="A3177" s="3">
        <v>1165.0</v>
      </c>
      <c r="B3177" s="3">
        <v>52.0</v>
      </c>
      <c r="C3177" s="3">
        <v>19.0</v>
      </c>
      <c r="D3177" t="str">
        <f>VLOOKUP(B3177,ERA_MOTIF_TYPES.csv!$A$1:$C$119,2,1)</f>
        <v>Single or multiple cups</v>
      </c>
      <c r="E3177" t="str">
        <f>VLOOKUP(A3177,Panels!$A$1:$E$2104,5,0)</f>
        <v>Addeyheugh</v>
      </c>
    </row>
    <row r="3178">
      <c r="A3178" s="3">
        <v>1165.0</v>
      </c>
      <c r="B3178" s="3">
        <v>110.0</v>
      </c>
      <c r="C3178" s="3">
        <v>1.0</v>
      </c>
      <c r="D3178" t="str">
        <f>VLOOKUP(B3178,ERA_MOTIF_TYPES.csv!$A$1:$C$119,2,1)</f>
        <v>Curved groove</v>
      </c>
      <c r="E3178" t="str">
        <f>VLOOKUP(A3178,Panels!$A$1:$E$2104,5,0)</f>
        <v>Addeyheugh</v>
      </c>
    </row>
    <row r="3179">
      <c r="A3179" s="3">
        <v>1166.0</v>
      </c>
      <c r="B3179" s="3">
        <v>52.0</v>
      </c>
      <c r="C3179" s="3">
        <v>6.0</v>
      </c>
      <c r="D3179" t="str">
        <f>VLOOKUP(B3179,ERA_MOTIF_TYPES.csv!$A$1:$C$119,2,1)</f>
        <v>Single or multiple cups</v>
      </c>
      <c r="E3179" t="str">
        <f>VLOOKUP(A3179,Panels!$A$1:$E$2104,5,0)</f>
        <v>Chirnells Moor</v>
      </c>
    </row>
    <row r="3180">
      <c r="A3180" s="3">
        <v>1166.0</v>
      </c>
      <c r="B3180" s="3">
        <v>55.0</v>
      </c>
      <c r="C3180" s="3">
        <v>1.0</v>
      </c>
      <c r="D3180" t="str">
        <f>VLOOKUP(B3180,ERA_MOTIF_TYPES.csv!$A$1:$C$119,2,1)</f>
        <v>Cups in a straight or curved line</v>
      </c>
      <c r="E3180" t="str">
        <f>VLOOKUP(A3180,Panels!$A$1:$E$2104,5,0)</f>
        <v>Chirnells Moor</v>
      </c>
    </row>
    <row r="3181">
      <c r="A3181" s="3">
        <v>1166.0</v>
      </c>
      <c r="B3181" s="3">
        <v>57.0</v>
      </c>
      <c r="C3181" s="3">
        <v>1.0</v>
      </c>
      <c r="D3181" t="str">
        <f>VLOOKUP(B3181,ERA_MOTIF_TYPES.csv!$A$1:$C$119,2,1)</f>
        <v>Cup and ring</v>
      </c>
      <c r="E3181" t="str">
        <f>VLOOKUP(A3181,Panels!$A$1:$E$2104,5,0)</f>
        <v>Chirnells Moor</v>
      </c>
    </row>
    <row r="3182">
      <c r="A3182" s="3">
        <v>1166.0</v>
      </c>
      <c r="B3182" s="3">
        <v>61.0</v>
      </c>
      <c r="C3182" s="3">
        <v>1.0</v>
      </c>
      <c r="D3182" t="str">
        <f>VLOOKUP(B3182,ERA_MOTIF_TYPES.csv!$A$1:$C$119,2,1)</f>
        <v>Cup and arc (or semi-ovoid)</v>
      </c>
      <c r="E3182" t="str">
        <f>VLOOKUP(A3182,Panels!$A$1:$E$2104,5,0)</f>
        <v>Chirnells Moor</v>
      </c>
    </row>
    <row r="3183">
      <c r="A3183" s="3">
        <v>1167.0</v>
      </c>
      <c r="B3183" s="3">
        <v>52.0</v>
      </c>
      <c r="C3183" s="3">
        <v>9.0</v>
      </c>
      <c r="D3183" t="str">
        <f>VLOOKUP(B3183,ERA_MOTIF_TYPES.csv!$A$1:$C$119,2,1)</f>
        <v>Single or multiple cups</v>
      </c>
      <c r="E3183" t="str">
        <f>VLOOKUP(A3183,Panels!$A$1:$E$2104,5,0)</f>
        <v>Chirnells Moor</v>
      </c>
    </row>
    <row r="3184">
      <c r="A3184" s="3">
        <v>1168.0</v>
      </c>
      <c r="B3184" s="3">
        <v>52.0</v>
      </c>
      <c r="C3184" s="3">
        <v>1.0</v>
      </c>
      <c r="D3184" t="str">
        <f>VLOOKUP(B3184,ERA_MOTIF_TYPES.csv!$A$1:$C$119,2,1)</f>
        <v>Single or multiple cups</v>
      </c>
      <c r="E3184" t="str">
        <f>VLOOKUP(A3184,Panels!$A$1:$E$2104,5,0)</f>
        <v>Chirnells Moor</v>
      </c>
    </row>
    <row r="3185">
      <c r="A3185" s="3">
        <v>1168.0</v>
      </c>
      <c r="B3185" s="3">
        <v>57.0</v>
      </c>
      <c r="C3185" s="3">
        <v>1.0</v>
      </c>
      <c r="D3185" t="str">
        <f>VLOOKUP(B3185,ERA_MOTIF_TYPES.csv!$A$1:$C$119,2,1)</f>
        <v>Cup and ring</v>
      </c>
      <c r="E3185" t="str">
        <f>VLOOKUP(A3185,Panels!$A$1:$E$2104,5,0)</f>
        <v>Chirnells Moor</v>
      </c>
    </row>
    <row r="3186">
      <c r="A3186" s="3">
        <v>1168.0</v>
      </c>
      <c r="B3186" s="3">
        <v>59.0</v>
      </c>
      <c r="C3186" s="3">
        <v>2.0</v>
      </c>
      <c r="D3186" t="str">
        <f>VLOOKUP(B3186,ERA_MOTIF_TYPES.csv!$A$1:$C$119,2,1)</f>
        <v>Cup and penannular</v>
      </c>
      <c r="E3186" t="str">
        <f>VLOOKUP(A3186,Panels!$A$1:$E$2104,5,0)</f>
        <v>Chirnells Moor</v>
      </c>
    </row>
    <row r="3187">
      <c r="A3187" s="3">
        <v>1168.0</v>
      </c>
      <c r="B3187" s="3">
        <v>61.0</v>
      </c>
      <c r="C3187" s="3">
        <v>1.0</v>
      </c>
      <c r="D3187" t="str">
        <f>VLOOKUP(B3187,ERA_MOTIF_TYPES.csv!$A$1:$C$119,2,1)</f>
        <v>Cup and arc (or semi-ovoid)</v>
      </c>
      <c r="E3187" t="str">
        <f>VLOOKUP(A3187,Panels!$A$1:$E$2104,5,0)</f>
        <v>Chirnells Moor</v>
      </c>
    </row>
    <row r="3188">
      <c r="A3188" s="3">
        <v>1168.0</v>
      </c>
      <c r="B3188" s="3">
        <v>105.0</v>
      </c>
      <c r="C3188" s="3">
        <v>24.0</v>
      </c>
      <c r="D3188" t="str">
        <f>VLOOKUP(B3188,ERA_MOTIF_TYPES.csv!$A$1:$C$119,2,1)</f>
        <v>Two cups linked by a groove</v>
      </c>
      <c r="E3188" t="str">
        <f>VLOOKUP(A3188,Panels!$A$1:$E$2104,5,0)</f>
        <v>Chirnells Moor</v>
      </c>
    </row>
    <row r="3189">
      <c r="A3189" s="3">
        <v>1168.0</v>
      </c>
      <c r="B3189" s="3">
        <v>107.0</v>
      </c>
      <c r="C3189" s="3">
        <v>1.0</v>
      </c>
      <c r="D3189" t="str">
        <f>VLOOKUP(B3189,ERA_MOTIF_TYPES.csv!$A$1:$C$119,2,1)</f>
        <v>Cup and ring with exterior groove</v>
      </c>
      <c r="E3189" t="str">
        <f>VLOOKUP(A3189,Panels!$A$1:$E$2104,5,0)</f>
        <v>Chirnells Moor</v>
      </c>
    </row>
    <row r="3190">
      <c r="A3190" s="3">
        <v>1169.0</v>
      </c>
      <c r="B3190" s="3">
        <v>1.0</v>
      </c>
      <c r="C3190" s="3">
        <v>4.0</v>
      </c>
      <c r="D3190" t="str">
        <f>VLOOKUP(B3190,ERA_MOTIF_TYPES.csv!$A$1:$C$119,2,1)</f>
        <v>Cups Single</v>
      </c>
      <c r="E3190" t="str">
        <f>VLOOKUP(A3190,Panels!$A$1:$E$2104,5,0)</f>
        <v>Chirnells Moor</v>
      </c>
    </row>
    <row r="3191">
      <c r="A3191" s="3">
        <v>1169.0</v>
      </c>
      <c r="B3191" s="3">
        <v>6.0</v>
      </c>
      <c r="C3191" s="3">
        <v>1.0</v>
      </c>
      <c r="D3191" t="str">
        <f>VLOOKUP(B3191,ERA_MOTIF_TYPES.csv!$A$1:$C$119,2,1)</f>
        <v>curved or straight line</v>
      </c>
      <c r="E3191" t="str">
        <f>VLOOKUP(A3191,Panels!$A$1:$E$2104,5,0)</f>
        <v>Chirnells Moor</v>
      </c>
    </row>
    <row r="3192">
      <c r="A3192" s="3">
        <v>1169.0</v>
      </c>
      <c r="B3192" s="3">
        <v>52.0</v>
      </c>
      <c r="C3192" s="3">
        <v>6.0</v>
      </c>
      <c r="D3192" t="str">
        <f>VLOOKUP(B3192,ERA_MOTIF_TYPES.csv!$A$1:$C$119,2,1)</f>
        <v>Single or multiple cups</v>
      </c>
      <c r="E3192" t="str">
        <f>VLOOKUP(A3192,Panels!$A$1:$E$2104,5,0)</f>
        <v>Chirnells Moor</v>
      </c>
    </row>
    <row r="3193">
      <c r="A3193" s="3">
        <v>1169.0</v>
      </c>
      <c r="B3193" s="3">
        <v>57.0</v>
      </c>
      <c r="C3193" s="3">
        <v>1.0</v>
      </c>
      <c r="D3193" t="str">
        <f>VLOOKUP(B3193,ERA_MOTIF_TYPES.csv!$A$1:$C$119,2,1)</f>
        <v>Cup and ring</v>
      </c>
      <c r="E3193" t="str">
        <f>VLOOKUP(A3193,Panels!$A$1:$E$2104,5,0)</f>
        <v>Chirnells Moor</v>
      </c>
    </row>
    <row r="3194">
      <c r="A3194" s="3">
        <v>1169.0</v>
      </c>
      <c r="B3194" s="3">
        <v>59.0</v>
      </c>
      <c r="C3194" s="3">
        <v>1.0</v>
      </c>
      <c r="D3194" t="str">
        <f>VLOOKUP(B3194,ERA_MOTIF_TYPES.csv!$A$1:$C$119,2,1)</f>
        <v>Cup and penannular</v>
      </c>
      <c r="E3194" t="str">
        <f>VLOOKUP(A3194,Panels!$A$1:$E$2104,5,0)</f>
        <v>Chirnells Moor</v>
      </c>
    </row>
    <row r="3195">
      <c r="A3195" s="3">
        <v>1170.0</v>
      </c>
      <c r="B3195" s="3">
        <v>1.0</v>
      </c>
      <c r="C3195" s="3">
        <v>1.0</v>
      </c>
      <c r="D3195" t="str">
        <f>VLOOKUP(B3195,ERA_MOTIF_TYPES.csv!$A$1:$C$119,2,1)</f>
        <v>Cups Single</v>
      </c>
      <c r="E3195" t="str">
        <f>VLOOKUP(A3195,Panels!$A$1:$E$2104,5,0)</f>
        <v>Chirnells Moor</v>
      </c>
    </row>
    <row r="3196">
      <c r="A3196" s="3">
        <v>1170.0</v>
      </c>
      <c r="B3196" s="3">
        <v>52.0</v>
      </c>
      <c r="C3196" s="3">
        <v>2.0</v>
      </c>
      <c r="D3196" t="str">
        <f>VLOOKUP(B3196,ERA_MOTIF_TYPES.csv!$A$1:$C$119,2,1)</f>
        <v>Single or multiple cups</v>
      </c>
      <c r="E3196" t="str">
        <f>VLOOKUP(A3196,Panels!$A$1:$E$2104,5,0)</f>
        <v>Chirnells Moor</v>
      </c>
    </row>
    <row r="3197">
      <c r="A3197" s="3">
        <v>1171.0</v>
      </c>
      <c r="B3197" s="3">
        <v>1.0</v>
      </c>
      <c r="C3197" s="3">
        <v>12.0</v>
      </c>
      <c r="D3197" t="str">
        <f>VLOOKUP(B3197,ERA_MOTIF_TYPES.csv!$A$1:$C$119,2,1)</f>
        <v>Cups Single</v>
      </c>
      <c r="E3197" t="str">
        <f>VLOOKUP(A3197,Panels!$A$1:$E$2104,5,0)</f>
        <v>Chirnells Moor</v>
      </c>
    </row>
    <row r="3198">
      <c r="A3198" s="3">
        <v>1171.0</v>
      </c>
      <c r="B3198" s="3">
        <v>6.0</v>
      </c>
      <c r="C3198" s="3">
        <v>1.0</v>
      </c>
      <c r="D3198" t="str">
        <f>VLOOKUP(B3198,ERA_MOTIF_TYPES.csv!$A$1:$C$119,2,1)</f>
        <v>curved or straight line</v>
      </c>
      <c r="E3198" t="str">
        <f>VLOOKUP(A3198,Panels!$A$1:$E$2104,5,0)</f>
        <v>Chirnells Moor</v>
      </c>
    </row>
    <row r="3199">
      <c r="A3199" s="3">
        <v>1171.0</v>
      </c>
      <c r="B3199" s="3">
        <v>13.0</v>
      </c>
      <c r="C3199" s="3">
        <v>2.0</v>
      </c>
      <c r="D3199" t="str">
        <f>VLOOKUP(B3199,ERA_MOTIF_TYPES.csv!$A$1:$C$119,2,1)</f>
        <v>Single Ring + cup</v>
      </c>
      <c r="E3199" t="str">
        <f>VLOOKUP(A3199,Panels!$A$1:$E$2104,5,0)</f>
        <v>Chirnells Moor</v>
      </c>
    </row>
    <row r="3200">
      <c r="A3200" s="3">
        <v>1171.0</v>
      </c>
      <c r="B3200" s="3">
        <v>25.0</v>
      </c>
      <c r="C3200" s="3">
        <v>1.0</v>
      </c>
      <c r="D3200" t="str">
        <f>VLOOKUP(B3200,ERA_MOTIF_TYPES.csv!$A$1:$C$119,2,1)</f>
        <v>Linear</v>
      </c>
      <c r="E3200" t="str">
        <f>VLOOKUP(A3200,Panels!$A$1:$E$2104,5,0)</f>
        <v>Chirnells Moor</v>
      </c>
    </row>
    <row r="3201">
      <c r="A3201" s="3">
        <v>1171.0</v>
      </c>
      <c r="B3201" s="3">
        <v>31.0</v>
      </c>
      <c r="C3201" s="3">
        <v>1.0</v>
      </c>
      <c r="D3201" t="str">
        <f>VLOOKUP(B3201,ERA_MOTIF_TYPES.csv!$A$1:$C$119,2,1)</f>
        <v>Cup and Groove</v>
      </c>
      <c r="E3201" t="str">
        <f>VLOOKUP(A3201,Panels!$A$1:$E$2104,5,0)</f>
        <v>Chirnells Moor</v>
      </c>
    </row>
    <row r="3202">
      <c r="A3202" s="3">
        <v>1171.0</v>
      </c>
      <c r="B3202" s="3">
        <v>32.0</v>
      </c>
      <c r="C3202" s="3">
        <v>1.0</v>
      </c>
      <c r="D3202" t="str">
        <f>VLOOKUP(B3202,ERA_MOTIF_TYPES.csv!$A$1:$C$119,2,1)</f>
        <v>Cup Groove and single ring</v>
      </c>
      <c r="E3202" t="str">
        <f>VLOOKUP(A3202,Panels!$A$1:$E$2104,5,0)</f>
        <v>Chirnells Moor</v>
      </c>
    </row>
    <row r="3203">
      <c r="A3203" s="3">
        <v>1171.0</v>
      </c>
      <c r="B3203" s="3">
        <v>52.0</v>
      </c>
      <c r="C3203" s="3">
        <v>13.0</v>
      </c>
      <c r="D3203" t="str">
        <f>VLOOKUP(B3203,ERA_MOTIF_TYPES.csv!$A$1:$C$119,2,1)</f>
        <v>Single or multiple cups</v>
      </c>
      <c r="E3203" t="str">
        <f>VLOOKUP(A3203,Panels!$A$1:$E$2104,5,0)</f>
        <v>Chirnells Moor</v>
      </c>
    </row>
    <row r="3204">
      <c r="A3204" s="3">
        <v>1171.0</v>
      </c>
      <c r="B3204" s="3">
        <v>57.0</v>
      </c>
      <c r="C3204" s="3">
        <v>1.0</v>
      </c>
      <c r="D3204" t="str">
        <f>VLOOKUP(B3204,ERA_MOTIF_TYPES.csv!$A$1:$C$119,2,1)</f>
        <v>Cup and ring</v>
      </c>
      <c r="E3204" t="str">
        <f>VLOOKUP(A3204,Panels!$A$1:$E$2104,5,0)</f>
        <v>Chirnells Moor</v>
      </c>
    </row>
    <row r="3205">
      <c r="A3205" s="3">
        <v>1171.0</v>
      </c>
      <c r="B3205" s="3">
        <v>59.0</v>
      </c>
      <c r="C3205" s="3">
        <v>1.0</v>
      </c>
      <c r="D3205" t="str">
        <f>VLOOKUP(B3205,ERA_MOTIF_TYPES.csv!$A$1:$C$119,2,1)</f>
        <v>Cup and penannular</v>
      </c>
      <c r="E3205" t="str">
        <f>VLOOKUP(A3205,Panels!$A$1:$E$2104,5,0)</f>
        <v>Chirnells Moor</v>
      </c>
    </row>
    <row r="3206">
      <c r="A3206" s="3">
        <v>1171.0</v>
      </c>
      <c r="B3206" s="3">
        <v>61.0</v>
      </c>
      <c r="C3206" s="3">
        <v>1.0</v>
      </c>
      <c r="D3206" t="str">
        <f>VLOOKUP(B3206,ERA_MOTIF_TYPES.csv!$A$1:$C$119,2,1)</f>
        <v>Cup and arc (or semi-ovoid)</v>
      </c>
      <c r="E3206" t="str">
        <f>VLOOKUP(A3206,Panels!$A$1:$E$2104,5,0)</f>
        <v>Chirnells Moor</v>
      </c>
    </row>
    <row r="3207">
      <c r="A3207" s="3">
        <v>1171.0</v>
      </c>
      <c r="B3207" s="3">
        <v>87.0</v>
      </c>
      <c r="C3207" s="3">
        <v>1.0</v>
      </c>
      <c r="D3207" t="str">
        <f>VLOOKUP(B3207,ERA_MOTIF_TYPES.csv!$A$1:$C$119,2,1)</f>
        <v>Linear and angular groove</v>
      </c>
      <c r="E3207" t="str">
        <f>VLOOKUP(A3207,Panels!$A$1:$E$2104,5,0)</f>
        <v>Chirnells Moor</v>
      </c>
    </row>
    <row r="3208">
      <c r="A3208" s="3">
        <v>1171.0</v>
      </c>
      <c r="B3208" s="3">
        <v>103.0</v>
      </c>
      <c r="C3208" s="3">
        <v>2.0</v>
      </c>
      <c r="D3208" t="str">
        <f>VLOOKUP(B3208,ERA_MOTIF_TYPES.csv!$A$1:$C$119,2,1)</f>
        <v>Cup and groove</v>
      </c>
      <c r="E3208" t="str">
        <f>VLOOKUP(A3208,Panels!$A$1:$E$2104,5,0)</f>
        <v>Chirnells Moor</v>
      </c>
    </row>
    <row r="3209">
      <c r="A3209" s="3">
        <v>1172.0</v>
      </c>
      <c r="B3209" s="3">
        <v>1.0</v>
      </c>
      <c r="C3209" s="3">
        <v>10.0</v>
      </c>
      <c r="D3209" t="str">
        <f>VLOOKUP(B3209,ERA_MOTIF_TYPES.csv!$A$1:$C$119,2,1)</f>
        <v>Cups Single</v>
      </c>
      <c r="E3209" t="str">
        <f>VLOOKUP(A3209,Panels!$A$1:$E$2104,5,0)</f>
        <v>Chirnells Moor</v>
      </c>
    </row>
    <row r="3210">
      <c r="A3210" s="3">
        <v>1172.0</v>
      </c>
      <c r="B3210" s="3">
        <v>13.0</v>
      </c>
      <c r="C3210" s="3">
        <v>1.0</v>
      </c>
      <c r="D3210" t="str">
        <f>VLOOKUP(B3210,ERA_MOTIF_TYPES.csv!$A$1:$C$119,2,1)</f>
        <v>Single Ring + cup</v>
      </c>
      <c r="E3210" t="str">
        <f>VLOOKUP(A3210,Panels!$A$1:$E$2104,5,0)</f>
        <v>Chirnells Moor</v>
      </c>
    </row>
    <row r="3211">
      <c r="A3211" s="3">
        <v>1173.0</v>
      </c>
      <c r="B3211" s="3">
        <v>1.0</v>
      </c>
      <c r="C3211" s="3">
        <v>3.0</v>
      </c>
      <c r="D3211" t="str">
        <f>VLOOKUP(B3211,ERA_MOTIF_TYPES.csv!$A$1:$C$119,2,1)</f>
        <v>Cups Single</v>
      </c>
      <c r="E3211" t="str">
        <f>VLOOKUP(A3211,Panels!$A$1:$E$2104,5,0)</f>
        <v>Chirnells Moor</v>
      </c>
    </row>
    <row r="3212">
      <c r="A3212" s="3">
        <v>1173.0</v>
      </c>
      <c r="B3212" s="3">
        <v>50.0</v>
      </c>
      <c r="C3212" s="3">
        <v>4.0</v>
      </c>
      <c r="D3212" t="str">
        <f>VLOOKUP(B3212,ERA_MOTIF_TYPES.csv!$A$1:$C$119,2,1)</f>
        <v>Channels</v>
      </c>
      <c r="E3212" t="str">
        <f>VLOOKUP(A3212,Panels!$A$1:$E$2104,5,0)</f>
        <v>Chirnells Moor</v>
      </c>
    </row>
    <row r="3213">
      <c r="A3213" s="3">
        <v>1174.0</v>
      </c>
      <c r="B3213" s="3">
        <v>1.0</v>
      </c>
      <c r="C3213" s="3">
        <v>9.0</v>
      </c>
      <c r="D3213" t="str">
        <f>VLOOKUP(B3213,ERA_MOTIF_TYPES.csv!$A$1:$C$119,2,1)</f>
        <v>Cups Single</v>
      </c>
      <c r="E3213" t="str">
        <f>VLOOKUP(A3213,Panels!$A$1:$E$2104,5,0)</f>
        <v>Chirnells Moor</v>
      </c>
    </row>
    <row r="3214">
      <c r="A3214" s="3">
        <v>1174.0</v>
      </c>
      <c r="B3214" s="3">
        <v>52.0</v>
      </c>
      <c r="C3214" s="3">
        <v>6.0</v>
      </c>
      <c r="D3214" t="str">
        <f>VLOOKUP(B3214,ERA_MOTIF_TYPES.csv!$A$1:$C$119,2,1)</f>
        <v>Single or multiple cups</v>
      </c>
      <c r="E3214" t="str">
        <f>VLOOKUP(A3214,Panels!$A$1:$E$2104,5,0)</f>
        <v>Chirnells Moor</v>
      </c>
    </row>
    <row r="3215">
      <c r="A3215" s="3">
        <v>1174.0</v>
      </c>
      <c r="B3215" s="3">
        <v>67.0</v>
      </c>
      <c r="C3215" s="3">
        <v>1.0</v>
      </c>
      <c r="D3215" t="str">
        <f>VLOOKUP(B3215,ERA_MOTIF_TYPES.csv!$A$1:$C$119,2,1)</f>
        <v>Cup and groove with arc</v>
      </c>
      <c r="E3215" t="str">
        <f>VLOOKUP(A3215,Panels!$A$1:$E$2104,5,0)</f>
        <v>Chirnells Moor</v>
      </c>
    </row>
    <row r="3216">
      <c r="A3216" s="3">
        <v>1175.0</v>
      </c>
      <c r="B3216" s="3">
        <v>31.0</v>
      </c>
      <c r="C3216" s="3">
        <v>2.0</v>
      </c>
      <c r="D3216" t="str">
        <f>VLOOKUP(B3216,ERA_MOTIF_TYPES.csv!$A$1:$C$119,2,1)</f>
        <v>Cup and Groove</v>
      </c>
      <c r="E3216" t="str">
        <f>VLOOKUP(A3216,Panels!$A$1:$E$2104,5,0)</f>
        <v>Chirnells Moor</v>
      </c>
    </row>
    <row r="3217">
      <c r="A3217" s="3">
        <v>1175.0</v>
      </c>
      <c r="B3217" s="3">
        <v>52.0</v>
      </c>
      <c r="C3217" s="3">
        <v>1.0</v>
      </c>
      <c r="D3217" t="str">
        <f>VLOOKUP(B3217,ERA_MOTIF_TYPES.csv!$A$1:$C$119,2,1)</f>
        <v>Single or multiple cups</v>
      </c>
      <c r="E3217" t="str">
        <f>VLOOKUP(A3217,Panels!$A$1:$E$2104,5,0)</f>
        <v>Chirnells Moor</v>
      </c>
    </row>
    <row r="3218">
      <c r="A3218" s="3">
        <v>1175.0</v>
      </c>
      <c r="B3218" s="3">
        <v>87.0</v>
      </c>
      <c r="C3218" s="3">
        <v>2.0</v>
      </c>
      <c r="D3218" t="str">
        <f>VLOOKUP(B3218,ERA_MOTIF_TYPES.csv!$A$1:$C$119,2,1)</f>
        <v>Linear and angular groove</v>
      </c>
      <c r="E3218" t="str">
        <f>VLOOKUP(A3218,Panels!$A$1:$E$2104,5,0)</f>
        <v>Chirnells Moor</v>
      </c>
    </row>
    <row r="3219">
      <c r="A3219" s="3">
        <v>1175.0</v>
      </c>
      <c r="B3219" s="3">
        <v>107.0</v>
      </c>
      <c r="C3219" s="3">
        <v>1.0</v>
      </c>
      <c r="D3219" t="str">
        <f>VLOOKUP(B3219,ERA_MOTIF_TYPES.csv!$A$1:$C$119,2,1)</f>
        <v>Cup and ring with exterior groove</v>
      </c>
      <c r="E3219" t="str">
        <f>VLOOKUP(A3219,Panels!$A$1:$E$2104,5,0)</f>
        <v>Chirnells Moor</v>
      </c>
    </row>
    <row r="3220">
      <c r="A3220" s="3">
        <v>1176.0</v>
      </c>
      <c r="B3220" s="3">
        <v>1.0</v>
      </c>
      <c r="C3220" s="3">
        <v>4.0</v>
      </c>
      <c r="D3220" t="str">
        <f>VLOOKUP(B3220,ERA_MOTIF_TYPES.csv!$A$1:$C$119,2,1)</f>
        <v>Cups Single</v>
      </c>
      <c r="E3220" t="str">
        <f>VLOOKUP(A3220,Panels!$A$1:$E$2104,5,0)</f>
        <v>Chirnells Moor</v>
      </c>
    </row>
    <row r="3221">
      <c r="A3221" s="3">
        <v>1176.0</v>
      </c>
      <c r="B3221" s="3">
        <v>52.0</v>
      </c>
      <c r="C3221" s="3">
        <v>4.0</v>
      </c>
      <c r="D3221" t="str">
        <f>VLOOKUP(B3221,ERA_MOTIF_TYPES.csv!$A$1:$C$119,2,1)</f>
        <v>Single or multiple cups</v>
      </c>
      <c r="E3221" t="str">
        <f>VLOOKUP(A3221,Panels!$A$1:$E$2104,5,0)</f>
        <v>Chirnells Moor</v>
      </c>
    </row>
    <row r="3222">
      <c r="A3222" s="3">
        <v>1177.0</v>
      </c>
      <c r="B3222" s="3">
        <v>52.0</v>
      </c>
      <c r="C3222" s="3">
        <v>35.0</v>
      </c>
      <c r="D3222" t="str">
        <f>VLOOKUP(B3222,ERA_MOTIF_TYPES.csv!$A$1:$C$119,2,1)</f>
        <v>Single or multiple cups</v>
      </c>
      <c r="E3222" t="str">
        <f>VLOOKUP(A3222,Panels!$A$1:$E$2104,5,0)</f>
        <v>Chirnells Moor</v>
      </c>
    </row>
    <row r="3223">
      <c r="A3223" s="3">
        <v>1177.0</v>
      </c>
      <c r="B3223" s="3">
        <v>57.0</v>
      </c>
      <c r="C3223" s="3">
        <v>3.0</v>
      </c>
      <c r="D3223" t="str">
        <f>VLOOKUP(B3223,ERA_MOTIF_TYPES.csv!$A$1:$C$119,2,1)</f>
        <v>Cup and ring</v>
      </c>
      <c r="E3223" t="str">
        <f>VLOOKUP(A3223,Panels!$A$1:$E$2104,5,0)</f>
        <v>Chirnells Moor</v>
      </c>
    </row>
    <row r="3224">
      <c r="A3224" s="3">
        <v>1177.0</v>
      </c>
      <c r="B3224" s="3">
        <v>58.0</v>
      </c>
      <c r="C3224" s="3">
        <v>1.0</v>
      </c>
      <c r="D3224" t="str">
        <f>VLOOKUP(B3224,ERA_MOTIF_TYPES.csv!$A$1:$C$119,2,1)</f>
        <v>Cup and multiple rings</v>
      </c>
      <c r="E3224" t="str">
        <f>VLOOKUP(A3224,Panels!$A$1:$E$2104,5,0)</f>
        <v>Chirnells Moor</v>
      </c>
    </row>
    <row r="3225">
      <c r="A3225" s="3">
        <v>1177.0</v>
      </c>
      <c r="B3225" s="3">
        <v>59.0</v>
      </c>
      <c r="C3225" s="3">
        <v>3.0</v>
      </c>
      <c r="D3225" t="str">
        <f>VLOOKUP(B3225,ERA_MOTIF_TYPES.csv!$A$1:$C$119,2,1)</f>
        <v>Cup and penannular</v>
      </c>
      <c r="E3225" t="str">
        <f>VLOOKUP(A3225,Panels!$A$1:$E$2104,5,0)</f>
        <v>Chirnells Moor</v>
      </c>
    </row>
    <row r="3226">
      <c r="A3226" s="3">
        <v>1177.0</v>
      </c>
      <c r="B3226" s="3">
        <v>60.0</v>
      </c>
      <c r="C3226" s="3">
        <v>1.0</v>
      </c>
      <c r="D3226" t="str">
        <f>VLOOKUP(B3226,ERA_MOTIF_TYPES.csv!$A$1:$C$119,2,1)</f>
        <v>Cup and multiple penannulars</v>
      </c>
      <c r="E3226" t="str">
        <f>VLOOKUP(A3226,Panels!$A$1:$E$2104,5,0)</f>
        <v>Chirnells Moor</v>
      </c>
    </row>
    <row r="3227">
      <c r="A3227" s="3">
        <v>1177.0</v>
      </c>
      <c r="B3227" s="3">
        <v>61.0</v>
      </c>
      <c r="C3227" s="3">
        <v>1.0</v>
      </c>
      <c r="D3227" t="str">
        <f>VLOOKUP(B3227,ERA_MOTIF_TYPES.csv!$A$1:$C$119,2,1)</f>
        <v>Cup and arc (or semi-ovoid)</v>
      </c>
      <c r="E3227" t="str">
        <f>VLOOKUP(A3227,Panels!$A$1:$E$2104,5,0)</f>
        <v>Chirnells Moor</v>
      </c>
    </row>
    <row r="3228">
      <c r="A3228" s="3">
        <v>1177.0</v>
      </c>
      <c r="B3228" s="3">
        <v>70.0</v>
      </c>
      <c r="C3228" s="3">
        <v>1.0</v>
      </c>
      <c r="D3228" t="str">
        <f>VLOOKUP(B3228,ERA_MOTIF_TYPES.csv!$A$1:$C$119,2,1)</f>
        <v>Concentric rings</v>
      </c>
      <c r="E3228" t="str">
        <f>VLOOKUP(A3228,Panels!$A$1:$E$2104,5,0)</f>
        <v>Chirnells Moor</v>
      </c>
    </row>
    <row r="3229">
      <c r="A3229" s="3">
        <v>1177.0</v>
      </c>
      <c r="B3229" s="3">
        <v>87.0</v>
      </c>
      <c r="C3229" s="3">
        <v>1.0</v>
      </c>
      <c r="D3229" t="str">
        <f>VLOOKUP(B3229,ERA_MOTIF_TYPES.csv!$A$1:$C$119,2,1)</f>
        <v>Linear and angular groove</v>
      </c>
      <c r="E3229" t="str">
        <f>VLOOKUP(A3229,Panels!$A$1:$E$2104,5,0)</f>
        <v>Chirnells Moor</v>
      </c>
    </row>
    <row r="3230">
      <c r="A3230" s="3">
        <v>1177.0</v>
      </c>
      <c r="B3230" s="3">
        <v>103.0</v>
      </c>
      <c r="C3230" s="3">
        <v>1.0</v>
      </c>
      <c r="D3230" t="str">
        <f>VLOOKUP(B3230,ERA_MOTIF_TYPES.csv!$A$1:$C$119,2,1)</f>
        <v>Cup and groove</v>
      </c>
      <c r="E3230" t="str">
        <f>VLOOKUP(A3230,Panels!$A$1:$E$2104,5,0)</f>
        <v>Chirnells Moor</v>
      </c>
    </row>
    <row r="3231">
      <c r="A3231" s="3">
        <v>1177.0</v>
      </c>
      <c r="B3231" s="3">
        <v>104.0</v>
      </c>
      <c r="C3231" s="3">
        <v>1.0</v>
      </c>
      <c r="D3231" t="str">
        <f>VLOOKUP(B3231,ERA_MOTIF_TYPES.csv!$A$1:$C$119,2,1)</f>
        <v>Angular groove around a cup</v>
      </c>
      <c r="E3231" t="str">
        <f>VLOOKUP(A3231,Panels!$A$1:$E$2104,5,0)</f>
        <v>Chirnells Moor</v>
      </c>
    </row>
    <row r="3232">
      <c r="A3232" s="3">
        <v>1178.0</v>
      </c>
      <c r="B3232" s="3">
        <v>1.0</v>
      </c>
      <c r="C3232" s="3">
        <v>1.0</v>
      </c>
      <c r="D3232" t="str">
        <f>VLOOKUP(B3232,ERA_MOTIF_TYPES.csv!$A$1:$C$119,2,1)</f>
        <v>Cups Single</v>
      </c>
      <c r="E3232" t="str">
        <f>VLOOKUP(A3232,Panels!$A$1:$E$2104,5,0)</f>
        <v>Chirnells Moor</v>
      </c>
    </row>
    <row r="3233">
      <c r="A3233" s="3">
        <v>1179.0</v>
      </c>
      <c r="B3233" s="3">
        <v>1.0</v>
      </c>
      <c r="C3233" s="3">
        <v>5.0</v>
      </c>
      <c r="D3233" t="str">
        <f>VLOOKUP(B3233,ERA_MOTIF_TYPES.csv!$A$1:$C$119,2,1)</f>
        <v>Cups Single</v>
      </c>
      <c r="E3233" t="str">
        <f>VLOOKUP(A3233,Panels!$A$1:$E$2104,5,0)</f>
        <v>Chirnells Moor</v>
      </c>
    </row>
    <row r="3234">
      <c r="A3234" s="3">
        <v>1179.0</v>
      </c>
      <c r="B3234" s="3">
        <v>52.0</v>
      </c>
      <c r="C3234" s="3">
        <v>9.0</v>
      </c>
      <c r="D3234" t="str">
        <f>VLOOKUP(B3234,ERA_MOTIF_TYPES.csv!$A$1:$C$119,2,1)</f>
        <v>Single or multiple cups</v>
      </c>
      <c r="E3234" t="str">
        <f>VLOOKUP(A3234,Panels!$A$1:$E$2104,5,0)</f>
        <v>Chirnells Moor</v>
      </c>
    </row>
    <row r="3235">
      <c r="A3235" s="3">
        <v>1180.0</v>
      </c>
      <c r="B3235" s="3">
        <v>1.0</v>
      </c>
      <c r="C3235" s="3">
        <v>50.0</v>
      </c>
      <c r="D3235" t="str">
        <f>VLOOKUP(B3235,ERA_MOTIF_TYPES.csv!$A$1:$C$119,2,1)</f>
        <v>Cups Single</v>
      </c>
      <c r="E3235" t="str">
        <f>VLOOKUP(A3235,Panels!$A$1:$E$2104,5,0)</f>
        <v>Chirnells Moor</v>
      </c>
    </row>
    <row r="3236">
      <c r="A3236" s="3">
        <v>1180.0</v>
      </c>
      <c r="B3236" s="3">
        <v>13.0</v>
      </c>
      <c r="C3236" s="3">
        <v>1.0</v>
      </c>
      <c r="D3236" t="str">
        <f>VLOOKUP(B3236,ERA_MOTIF_TYPES.csv!$A$1:$C$119,2,1)</f>
        <v>Single Ring + cup</v>
      </c>
      <c r="E3236" t="str">
        <f>VLOOKUP(A3236,Panels!$A$1:$E$2104,5,0)</f>
        <v>Chirnells Moor</v>
      </c>
    </row>
    <row r="3237">
      <c r="A3237" s="3">
        <v>1180.0</v>
      </c>
      <c r="B3237" s="3">
        <v>52.0</v>
      </c>
      <c r="C3237" s="3">
        <v>76.0</v>
      </c>
      <c r="D3237" t="str">
        <f>VLOOKUP(B3237,ERA_MOTIF_TYPES.csv!$A$1:$C$119,2,1)</f>
        <v>Single or multiple cups</v>
      </c>
      <c r="E3237" t="str">
        <f>VLOOKUP(A3237,Panels!$A$1:$E$2104,5,0)</f>
        <v>Chirnells Moor</v>
      </c>
    </row>
    <row r="3238">
      <c r="A3238" s="3">
        <v>1180.0</v>
      </c>
      <c r="B3238" s="3">
        <v>57.0</v>
      </c>
      <c r="C3238" s="3">
        <v>1.0</v>
      </c>
      <c r="D3238" t="str">
        <f>VLOOKUP(B3238,ERA_MOTIF_TYPES.csv!$A$1:$C$119,2,1)</f>
        <v>Cup and ring</v>
      </c>
      <c r="E3238" t="str">
        <f>VLOOKUP(A3238,Panels!$A$1:$E$2104,5,0)</f>
        <v>Chirnells Moor</v>
      </c>
    </row>
    <row r="3239">
      <c r="A3239" s="3">
        <v>1180.0</v>
      </c>
      <c r="B3239" s="3">
        <v>59.0</v>
      </c>
      <c r="C3239" s="3">
        <v>1.0</v>
      </c>
      <c r="D3239" t="str">
        <f>VLOOKUP(B3239,ERA_MOTIF_TYPES.csv!$A$1:$C$119,2,1)</f>
        <v>Cup and penannular</v>
      </c>
      <c r="E3239" t="str">
        <f>VLOOKUP(A3239,Panels!$A$1:$E$2104,5,0)</f>
        <v>Chirnells Moor</v>
      </c>
    </row>
    <row r="3240">
      <c r="A3240" s="3">
        <v>1180.0</v>
      </c>
      <c r="B3240" s="3">
        <v>94.0</v>
      </c>
      <c r="C3240" s="3">
        <v>2.0</v>
      </c>
      <c r="D3240" t="str">
        <f>VLOOKUP(B3240,ERA_MOTIF_TYPES.csv!$A$1:$C$119,2,1)</f>
        <v>Basin</v>
      </c>
      <c r="E3240" t="str">
        <f>VLOOKUP(A3240,Panels!$A$1:$E$2104,5,0)</f>
        <v>Chirnells Moor</v>
      </c>
    </row>
    <row r="3241">
      <c r="A3241" s="3">
        <v>1181.0</v>
      </c>
      <c r="B3241" s="3">
        <v>1.0</v>
      </c>
      <c r="C3241" s="3">
        <v>8.0</v>
      </c>
      <c r="D3241" t="str">
        <f>VLOOKUP(B3241,ERA_MOTIF_TYPES.csv!$A$1:$C$119,2,1)</f>
        <v>Cups Single</v>
      </c>
      <c r="E3241" t="str">
        <f>VLOOKUP(A3241,Panels!$A$1:$E$2104,5,0)</f>
        <v>Chirnells Moor</v>
      </c>
    </row>
    <row r="3242">
      <c r="A3242" s="3">
        <v>1181.0</v>
      </c>
      <c r="B3242" s="3">
        <v>52.0</v>
      </c>
      <c r="C3242" s="3">
        <v>10.0</v>
      </c>
      <c r="D3242" t="str">
        <f>VLOOKUP(B3242,ERA_MOTIF_TYPES.csv!$A$1:$C$119,2,1)</f>
        <v>Single or multiple cups</v>
      </c>
      <c r="E3242" t="str">
        <f>VLOOKUP(A3242,Panels!$A$1:$E$2104,5,0)</f>
        <v>Chirnells Moor</v>
      </c>
    </row>
    <row r="3243">
      <c r="A3243" s="3">
        <v>1182.0</v>
      </c>
      <c r="B3243" s="3">
        <v>1.0</v>
      </c>
      <c r="C3243" s="3">
        <v>1.0</v>
      </c>
      <c r="D3243" t="str">
        <f>VLOOKUP(B3243,ERA_MOTIF_TYPES.csv!$A$1:$C$119,2,1)</f>
        <v>Cups Single</v>
      </c>
      <c r="E3243" t="str">
        <f>VLOOKUP(A3243,Panels!$A$1:$E$2104,5,0)</f>
        <v>Chirnells Moor</v>
      </c>
    </row>
    <row r="3244">
      <c r="A3244" s="3">
        <v>1182.0</v>
      </c>
      <c r="B3244" s="3">
        <v>6.0</v>
      </c>
      <c r="C3244" s="3">
        <v>3.0</v>
      </c>
      <c r="D3244" t="str">
        <f>VLOOKUP(B3244,ERA_MOTIF_TYPES.csv!$A$1:$C$119,2,1)</f>
        <v>curved or straight line</v>
      </c>
      <c r="E3244" t="str">
        <f>VLOOKUP(A3244,Panels!$A$1:$E$2104,5,0)</f>
        <v>Chirnells Moor</v>
      </c>
    </row>
    <row r="3245">
      <c r="A3245" s="3">
        <v>1183.0</v>
      </c>
      <c r="B3245" s="3">
        <v>51.0</v>
      </c>
      <c r="C3245" s="3">
        <v>4.0</v>
      </c>
      <c r="D3245" t="str">
        <f>VLOOKUP(B3245,ERA_MOTIF_TYPES.csv!$A$1:$C$119,2,1)</f>
        <v>Bowls</v>
      </c>
      <c r="E3245" t="str">
        <f>VLOOKUP(A3245,Panels!$A$1:$E$2104,5,0)</f>
        <v>Chirnells Moor</v>
      </c>
    </row>
    <row r="3246">
      <c r="A3246" s="3">
        <v>1184.0</v>
      </c>
      <c r="B3246" s="3">
        <v>1.0</v>
      </c>
      <c r="C3246" s="3">
        <v>21.0</v>
      </c>
      <c r="D3246" t="str">
        <f>VLOOKUP(B3246,ERA_MOTIF_TYPES.csv!$A$1:$C$119,2,1)</f>
        <v>Cups Single</v>
      </c>
      <c r="E3246" t="str">
        <f>VLOOKUP(A3246,Panels!$A$1:$E$2104,5,0)</f>
        <v>Chirnells Moor</v>
      </c>
    </row>
    <row r="3247">
      <c r="A3247" s="3">
        <v>1185.0</v>
      </c>
      <c r="B3247" s="3">
        <v>1.0</v>
      </c>
      <c r="C3247" s="3">
        <v>13.0</v>
      </c>
      <c r="D3247" t="str">
        <f>VLOOKUP(B3247,ERA_MOTIF_TYPES.csv!$A$1:$C$119,2,1)</f>
        <v>Cups Single</v>
      </c>
      <c r="E3247" t="str">
        <f>VLOOKUP(A3247,Panels!$A$1:$E$2104,5,0)</f>
        <v>Chirnells Moor</v>
      </c>
    </row>
    <row r="3248">
      <c r="A3248" s="3">
        <v>1185.0</v>
      </c>
      <c r="B3248" s="3">
        <v>13.0</v>
      </c>
      <c r="C3248" s="3">
        <v>2.0</v>
      </c>
      <c r="D3248" t="str">
        <f>VLOOKUP(B3248,ERA_MOTIF_TYPES.csv!$A$1:$C$119,2,1)</f>
        <v>Single Ring + cup</v>
      </c>
      <c r="E3248" t="str">
        <f>VLOOKUP(A3248,Panels!$A$1:$E$2104,5,0)</f>
        <v>Chirnells Moor</v>
      </c>
    </row>
    <row r="3249">
      <c r="A3249" s="3">
        <v>1185.0</v>
      </c>
      <c r="B3249" s="3">
        <v>16.0</v>
      </c>
      <c r="C3249" s="3">
        <v>2.0</v>
      </c>
      <c r="D3249" t="str">
        <f>VLOOKUP(B3249,ERA_MOTIF_TYPES.csv!$A$1:$C$119,2,1)</f>
        <v>Single Arc + cup</v>
      </c>
      <c r="E3249" t="str">
        <f>VLOOKUP(A3249,Panels!$A$1:$E$2104,5,0)</f>
        <v>Chirnells Moor</v>
      </c>
    </row>
    <row r="3250">
      <c r="A3250" s="3">
        <v>1185.0</v>
      </c>
      <c r="B3250" s="3">
        <v>17.0</v>
      </c>
      <c r="C3250" s="3">
        <v>2.0</v>
      </c>
      <c r="D3250" t="str">
        <f>VLOOKUP(B3250,ERA_MOTIF_TYPES.csv!$A$1:$C$119,2,1)</f>
        <v>Single Penannular + cup</v>
      </c>
      <c r="E3250" t="str">
        <f>VLOOKUP(A3250,Panels!$A$1:$E$2104,5,0)</f>
        <v>Chirnells Moor</v>
      </c>
    </row>
    <row r="3251">
      <c r="A3251" s="3">
        <v>1185.0</v>
      </c>
      <c r="B3251" s="3">
        <v>36.0</v>
      </c>
      <c r="C3251" s="3">
        <v>1.0</v>
      </c>
      <c r="D3251" t="str">
        <f>VLOOKUP(B3251,ERA_MOTIF_TYPES.csv!$A$1:$C$119,2,1)</f>
        <v>Cup Groove and arc</v>
      </c>
      <c r="E3251" t="str">
        <f>VLOOKUP(A3251,Panels!$A$1:$E$2104,5,0)</f>
        <v>Chirnells Moor</v>
      </c>
    </row>
    <row r="3252">
      <c r="A3252" s="3">
        <v>1185.0</v>
      </c>
      <c r="B3252" s="3">
        <v>52.0</v>
      </c>
      <c r="C3252" s="3">
        <v>13.0</v>
      </c>
      <c r="D3252" t="str">
        <f>VLOOKUP(B3252,ERA_MOTIF_TYPES.csv!$A$1:$C$119,2,1)</f>
        <v>Single or multiple cups</v>
      </c>
      <c r="E3252" t="str">
        <f>VLOOKUP(A3252,Panels!$A$1:$E$2104,5,0)</f>
        <v>Chirnells Moor</v>
      </c>
    </row>
    <row r="3253">
      <c r="A3253" s="3">
        <v>1185.0</v>
      </c>
      <c r="B3253" s="3">
        <v>57.0</v>
      </c>
      <c r="C3253" s="3">
        <v>1.0</v>
      </c>
      <c r="D3253" t="str">
        <f>VLOOKUP(B3253,ERA_MOTIF_TYPES.csv!$A$1:$C$119,2,1)</f>
        <v>Cup and ring</v>
      </c>
      <c r="E3253" t="str">
        <f>VLOOKUP(A3253,Panels!$A$1:$E$2104,5,0)</f>
        <v>Chirnells Moor</v>
      </c>
    </row>
    <row r="3254">
      <c r="A3254" s="3">
        <v>1185.0</v>
      </c>
      <c r="B3254" s="3">
        <v>59.0</v>
      </c>
      <c r="C3254" s="3">
        <v>1.0</v>
      </c>
      <c r="D3254" t="str">
        <f>VLOOKUP(B3254,ERA_MOTIF_TYPES.csv!$A$1:$C$119,2,1)</f>
        <v>Cup and penannular</v>
      </c>
      <c r="E3254" t="str">
        <f>VLOOKUP(A3254,Panels!$A$1:$E$2104,5,0)</f>
        <v>Chirnells Moor</v>
      </c>
    </row>
    <row r="3255">
      <c r="A3255" s="3">
        <v>1185.0</v>
      </c>
      <c r="B3255" s="3">
        <v>61.0</v>
      </c>
      <c r="C3255" s="3">
        <v>1.0</v>
      </c>
      <c r="D3255" t="str">
        <f>VLOOKUP(B3255,ERA_MOTIF_TYPES.csv!$A$1:$C$119,2,1)</f>
        <v>Cup and arc (or semi-ovoid)</v>
      </c>
      <c r="E3255" t="str">
        <f>VLOOKUP(A3255,Panels!$A$1:$E$2104,5,0)</f>
        <v>Chirnells Moor</v>
      </c>
    </row>
    <row r="3256">
      <c r="A3256" s="3">
        <v>1185.0</v>
      </c>
      <c r="B3256" s="3">
        <v>103.0</v>
      </c>
      <c r="C3256" s="3">
        <v>2.0</v>
      </c>
      <c r="D3256" t="str">
        <f>VLOOKUP(B3256,ERA_MOTIF_TYPES.csv!$A$1:$C$119,2,1)</f>
        <v>Cup and groove</v>
      </c>
      <c r="E3256" t="str">
        <f>VLOOKUP(A3256,Panels!$A$1:$E$2104,5,0)</f>
        <v>Chirnells Moor</v>
      </c>
    </row>
    <row r="3257">
      <c r="A3257" s="3">
        <v>1186.0</v>
      </c>
      <c r="B3257" s="3">
        <v>1.0</v>
      </c>
      <c r="C3257" s="3">
        <v>3.0</v>
      </c>
      <c r="D3257" t="str">
        <f>VLOOKUP(B3257,ERA_MOTIF_TYPES.csv!$A$1:$C$119,2,1)</f>
        <v>Cups Single</v>
      </c>
      <c r="E3257" t="str">
        <f>VLOOKUP(A3257,Panels!$A$1:$E$2104,5,0)</f>
        <v>Cartington Carriageway</v>
      </c>
    </row>
    <row r="3258">
      <c r="A3258" s="3">
        <v>1186.0</v>
      </c>
      <c r="B3258" s="3">
        <v>52.0</v>
      </c>
      <c r="C3258" s="3">
        <v>20.0</v>
      </c>
      <c r="D3258" t="str">
        <f>VLOOKUP(B3258,ERA_MOTIF_TYPES.csv!$A$1:$C$119,2,1)</f>
        <v>Single or multiple cups</v>
      </c>
      <c r="E3258" t="str">
        <f>VLOOKUP(A3258,Panels!$A$1:$E$2104,5,0)</f>
        <v>Cartington Carriageway</v>
      </c>
    </row>
    <row r="3259">
      <c r="A3259" s="3">
        <v>1186.0</v>
      </c>
      <c r="B3259" s="3">
        <v>93.0</v>
      </c>
      <c r="C3259" s="3">
        <v>11.0</v>
      </c>
      <c r="D3259" t="str">
        <f>VLOOKUP(B3259,ERA_MOTIF_TYPES.csv!$A$1:$C$119,2,1)</f>
        <v>Midget cup</v>
      </c>
      <c r="E3259" t="str">
        <f>VLOOKUP(A3259,Panels!$A$1:$E$2104,5,0)</f>
        <v>Cartington Carriageway</v>
      </c>
    </row>
    <row r="3260">
      <c r="A3260" s="3">
        <v>1187.0</v>
      </c>
      <c r="B3260" s="3">
        <v>52.0</v>
      </c>
      <c r="C3260" s="3">
        <v>9.0</v>
      </c>
      <c r="D3260" t="str">
        <f>VLOOKUP(B3260,ERA_MOTIF_TYPES.csv!$A$1:$C$119,2,1)</f>
        <v>Single or multiple cups</v>
      </c>
      <c r="E3260" t="str">
        <f>VLOOKUP(A3260,Panels!$A$1:$E$2104,5,0)</f>
        <v>West Hills (Bracken Wood)</v>
      </c>
    </row>
    <row r="3261">
      <c r="A3261" s="3">
        <v>1188.0</v>
      </c>
      <c r="B3261" s="3">
        <v>57.0</v>
      </c>
      <c r="C3261" s="3">
        <v>2.0</v>
      </c>
      <c r="D3261" t="str">
        <f>VLOOKUP(B3261,ERA_MOTIF_TYPES.csv!$A$1:$C$119,2,1)</f>
        <v>Cup and ring</v>
      </c>
      <c r="E3261" t="str">
        <f>VLOOKUP(A3261,Panels!$A$1:$E$2104,5,0)</f>
        <v>West Hills (Bracken Wood)</v>
      </c>
    </row>
    <row r="3262">
      <c r="A3262" s="3">
        <v>1189.0</v>
      </c>
      <c r="B3262" s="3">
        <v>1.0</v>
      </c>
      <c r="C3262" s="3">
        <v>1.0</v>
      </c>
      <c r="D3262" t="str">
        <f>VLOOKUP(B3262,ERA_MOTIF_TYPES.csv!$A$1:$C$119,2,1)</f>
        <v>Cups Single</v>
      </c>
      <c r="E3262" t="str">
        <f>VLOOKUP(A3262,Panels!$A$1:$E$2104,5,0)</f>
        <v>Cartington Carriageway</v>
      </c>
    </row>
    <row r="3263">
      <c r="A3263" s="3">
        <v>1189.0</v>
      </c>
      <c r="B3263" s="3">
        <v>52.0</v>
      </c>
      <c r="C3263" s="3">
        <v>1.0</v>
      </c>
      <c r="D3263" t="str">
        <f>VLOOKUP(B3263,ERA_MOTIF_TYPES.csv!$A$1:$C$119,2,1)</f>
        <v>Single or multiple cups</v>
      </c>
      <c r="E3263" t="str">
        <f>VLOOKUP(A3263,Panels!$A$1:$E$2104,5,0)</f>
        <v>Cartington Carriageway</v>
      </c>
    </row>
    <row r="3264">
      <c r="A3264" s="3">
        <v>1190.0</v>
      </c>
      <c r="B3264" s="3">
        <v>52.0</v>
      </c>
      <c r="C3264" s="3">
        <v>7.0</v>
      </c>
      <c r="D3264" t="str">
        <f>VLOOKUP(B3264,ERA_MOTIF_TYPES.csv!$A$1:$C$119,2,1)</f>
        <v>Single or multiple cups</v>
      </c>
      <c r="E3264" t="str">
        <f>VLOOKUP(A3264,Panels!$A$1:$E$2104,5,0)</f>
        <v>Cartington Carriageway</v>
      </c>
    </row>
    <row r="3265">
      <c r="A3265" s="3">
        <v>1190.0</v>
      </c>
      <c r="B3265" s="3">
        <v>54.0</v>
      </c>
      <c r="C3265" s="3">
        <v>1.0</v>
      </c>
      <c r="D3265" t="str">
        <f>VLOOKUP(B3265,ERA_MOTIF_TYPES.csv!$A$1:$C$119,2,1)</f>
        <v>Rosette</v>
      </c>
      <c r="E3265" t="str">
        <f>VLOOKUP(A3265,Panels!$A$1:$E$2104,5,0)</f>
        <v>Cartington Carriageway</v>
      </c>
    </row>
    <row r="3266">
      <c r="A3266" s="3">
        <v>1190.0</v>
      </c>
      <c r="B3266" s="3">
        <v>55.0</v>
      </c>
      <c r="C3266" s="3">
        <v>1.0</v>
      </c>
      <c r="D3266" t="str">
        <f>VLOOKUP(B3266,ERA_MOTIF_TYPES.csv!$A$1:$C$119,2,1)</f>
        <v>Cups in a straight or curved line</v>
      </c>
      <c r="E3266" t="str">
        <f>VLOOKUP(A3266,Panels!$A$1:$E$2104,5,0)</f>
        <v>Cartington Carriageway</v>
      </c>
    </row>
    <row r="3267">
      <c r="A3267" s="3">
        <v>1190.0</v>
      </c>
      <c r="B3267" s="3">
        <v>57.0</v>
      </c>
      <c r="C3267" s="3">
        <v>6.0</v>
      </c>
      <c r="D3267" t="str">
        <f>VLOOKUP(B3267,ERA_MOTIF_TYPES.csv!$A$1:$C$119,2,1)</f>
        <v>Cup and ring</v>
      </c>
      <c r="E3267" t="str">
        <f>VLOOKUP(A3267,Panels!$A$1:$E$2104,5,0)</f>
        <v>Cartington Carriageway</v>
      </c>
    </row>
    <row r="3268">
      <c r="A3268" s="3">
        <v>1190.0</v>
      </c>
      <c r="B3268" s="3">
        <v>58.0</v>
      </c>
      <c r="C3268" s="3">
        <v>2.0</v>
      </c>
      <c r="D3268" t="str">
        <f>VLOOKUP(B3268,ERA_MOTIF_TYPES.csv!$A$1:$C$119,2,1)</f>
        <v>Cup and multiple rings</v>
      </c>
      <c r="E3268" t="str">
        <f>VLOOKUP(A3268,Panels!$A$1:$E$2104,5,0)</f>
        <v>Cartington Carriageway</v>
      </c>
    </row>
    <row r="3269">
      <c r="A3269" s="3">
        <v>1190.0</v>
      </c>
      <c r="B3269" s="3">
        <v>59.0</v>
      </c>
      <c r="C3269" s="3">
        <v>2.0</v>
      </c>
      <c r="D3269" t="str">
        <f>VLOOKUP(B3269,ERA_MOTIF_TYPES.csv!$A$1:$C$119,2,1)</f>
        <v>Cup and penannular</v>
      </c>
      <c r="E3269" t="str">
        <f>VLOOKUP(A3269,Panels!$A$1:$E$2104,5,0)</f>
        <v>Cartington Carriageway</v>
      </c>
    </row>
    <row r="3270">
      <c r="A3270" s="3">
        <v>1190.0</v>
      </c>
      <c r="B3270" s="3">
        <v>61.0</v>
      </c>
      <c r="C3270" s="3">
        <v>4.0</v>
      </c>
      <c r="D3270" t="str">
        <f>VLOOKUP(B3270,ERA_MOTIF_TYPES.csv!$A$1:$C$119,2,1)</f>
        <v>Cup and arc (or semi-ovoid)</v>
      </c>
      <c r="E3270" t="str">
        <f>VLOOKUP(A3270,Panels!$A$1:$E$2104,5,0)</f>
        <v>Cartington Carriageway</v>
      </c>
    </row>
    <row r="3271">
      <c r="A3271" s="3">
        <v>1190.0</v>
      </c>
      <c r="B3271" s="3">
        <v>69.0</v>
      </c>
      <c r="C3271" s="3">
        <v>1.0</v>
      </c>
      <c r="D3271" t="str">
        <f>VLOOKUP(B3271,ERA_MOTIF_TYPES.csv!$A$1:$C$119,2,1)</f>
        <v>Ring</v>
      </c>
      <c r="E3271" t="str">
        <f>VLOOKUP(A3271,Panels!$A$1:$E$2104,5,0)</f>
        <v>Cartington Carriageway</v>
      </c>
    </row>
    <row r="3272">
      <c r="A3272" s="3">
        <v>1190.0</v>
      </c>
      <c r="B3272" s="3">
        <v>82.0</v>
      </c>
      <c r="C3272" s="3">
        <v>2.0</v>
      </c>
      <c r="D3272" t="str">
        <f>VLOOKUP(B3272,ERA_MOTIF_TYPES.csv!$A$1:$C$119,2,1)</f>
        <v>Rosette enclosed by a ring</v>
      </c>
      <c r="E3272" t="str">
        <f>VLOOKUP(A3272,Panels!$A$1:$E$2104,5,0)</f>
        <v>Cartington Carriageway</v>
      </c>
    </row>
    <row r="3273">
      <c r="A3273" s="3">
        <v>1190.0</v>
      </c>
      <c r="B3273" s="3">
        <v>87.0</v>
      </c>
      <c r="C3273" s="3">
        <v>1.0</v>
      </c>
      <c r="D3273" t="str">
        <f>VLOOKUP(B3273,ERA_MOTIF_TYPES.csv!$A$1:$C$119,2,1)</f>
        <v>Linear and angular groove</v>
      </c>
      <c r="E3273" t="str">
        <f>VLOOKUP(A3273,Panels!$A$1:$E$2104,5,0)</f>
        <v>Cartington Carriageway</v>
      </c>
    </row>
    <row r="3274">
      <c r="A3274" s="3">
        <v>1190.0</v>
      </c>
      <c r="B3274" s="3">
        <v>107.0</v>
      </c>
      <c r="C3274" s="3">
        <v>2.0</v>
      </c>
      <c r="D3274" t="str">
        <f>VLOOKUP(B3274,ERA_MOTIF_TYPES.csv!$A$1:$C$119,2,1)</f>
        <v>Cup and ring with exterior groove</v>
      </c>
      <c r="E3274" t="str">
        <f>VLOOKUP(A3274,Panels!$A$1:$E$2104,5,0)</f>
        <v>Cartington Carriageway</v>
      </c>
    </row>
    <row r="3275">
      <c r="A3275" s="3">
        <v>1191.0</v>
      </c>
      <c r="B3275" s="3">
        <v>61.0</v>
      </c>
      <c r="C3275" s="3">
        <v>1.0</v>
      </c>
      <c r="D3275" t="str">
        <f>VLOOKUP(B3275,ERA_MOTIF_TYPES.csv!$A$1:$C$119,2,1)</f>
        <v>Cup and arc (or semi-ovoid)</v>
      </c>
      <c r="E3275" t="str">
        <f>VLOOKUP(A3275,Panels!$A$1:$E$2104,5,0)</f>
        <v>Cartington Carriageway</v>
      </c>
    </row>
    <row r="3276">
      <c r="A3276" s="3">
        <v>1192.0</v>
      </c>
      <c r="B3276" s="3">
        <v>1.0</v>
      </c>
      <c r="C3276" s="3">
        <v>2.0</v>
      </c>
      <c r="D3276" t="str">
        <f>VLOOKUP(B3276,ERA_MOTIF_TYPES.csv!$A$1:$C$119,2,1)</f>
        <v>Cups Single</v>
      </c>
      <c r="E3276" t="str">
        <f>VLOOKUP(A3276,Panels!$A$1:$E$2104,5,0)</f>
        <v>Cartington Carriageway</v>
      </c>
    </row>
    <row r="3277">
      <c r="A3277" s="3">
        <v>1192.0</v>
      </c>
      <c r="B3277" s="3">
        <v>50.0</v>
      </c>
      <c r="C3277" s="3">
        <v>4.0</v>
      </c>
      <c r="D3277" t="str">
        <f>VLOOKUP(B3277,ERA_MOTIF_TYPES.csv!$A$1:$C$119,2,1)</f>
        <v>Channels</v>
      </c>
      <c r="E3277" t="str">
        <f>VLOOKUP(A3277,Panels!$A$1:$E$2104,5,0)</f>
        <v>Cartington Carriageway</v>
      </c>
    </row>
    <row r="3278">
      <c r="A3278" s="3">
        <v>1192.0</v>
      </c>
      <c r="B3278" s="3">
        <v>52.0</v>
      </c>
      <c r="C3278" s="3">
        <v>2.0</v>
      </c>
      <c r="D3278" t="str">
        <f>VLOOKUP(B3278,ERA_MOTIF_TYPES.csv!$A$1:$C$119,2,1)</f>
        <v>Single or multiple cups</v>
      </c>
      <c r="E3278" t="str">
        <f>VLOOKUP(A3278,Panels!$A$1:$E$2104,5,0)</f>
        <v>Cartington Carriageway</v>
      </c>
    </row>
    <row r="3279">
      <c r="A3279" s="3">
        <v>1193.0</v>
      </c>
      <c r="B3279" s="3">
        <v>52.0</v>
      </c>
      <c r="C3279" s="3">
        <v>2.0</v>
      </c>
      <c r="D3279" t="str">
        <f>VLOOKUP(B3279,ERA_MOTIF_TYPES.csv!$A$1:$C$119,2,1)</f>
        <v>Single or multiple cups</v>
      </c>
      <c r="E3279" t="str">
        <f>VLOOKUP(A3279,Panels!$A$1:$E$2104,5,0)</f>
        <v>Cartington Carriageway</v>
      </c>
    </row>
    <row r="3280">
      <c r="A3280" s="3">
        <v>1194.0</v>
      </c>
      <c r="B3280" s="3">
        <v>1.0</v>
      </c>
      <c r="C3280" s="3">
        <v>1.0</v>
      </c>
      <c r="D3280" t="str">
        <f>VLOOKUP(B3280,ERA_MOTIF_TYPES.csv!$A$1:$C$119,2,1)</f>
        <v>Cups Single</v>
      </c>
      <c r="E3280" t="str">
        <f>VLOOKUP(A3280,Panels!$A$1:$E$2104,5,0)</f>
        <v>West Hills</v>
      </c>
    </row>
    <row r="3281">
      <c r="A3281" s="3">
        <v>1194.0</v>
      </c>
      <c r="B3281" s="3">
        <v>16.0</v>
      </c>
      <c r="C3281" s="3">
        <v>1.0</v>
      </c>
      <c r="D3281" t="str">
        <f>VLOOKUP(B3281,ERA_MOTIF_TYPES.csv!$A$1:$C$119,2,1)</f>
        <v>Single Arc + cup</v>
      </c>
      <c r="E3281" t="str">
        <f>VLOOKUP(A3281,Panels!$A$1:$E$2104,5,0)</f>
        <v>West Hills</v>
      </c>
    </row>
    <row r="3282">
      <c r="A3282" s="3">
        <v>1194.0</v>
      </c>
      <c r="B3282" s="3">
        <v>17.0</v>
      </c>
      <c r="C3282" s="3">
        <v>1.0</v>
      </c>
      <c r="D3282" t="str">
        <f>VLOOKUP(B3282,ERA_MOTIF_TYPES.csv!$A$1:$C$119,2,1)</f>
        <v>Single Penannular + cup</v>
      </c>
      <c r="E3282" t="str">
        <f>VLOOKUP(A3282,Panels!$A$1:$E$2104,5,0)</f>
        <v>West Hills</v>
      </c>
    </row>
    <row r="3283">
      <c r="A3283" s="3">
        <v>1194.0</v>
      </c>
      <c r="B3283" s="3">
        <v>52.0</v>
      </c>
      <c r="C3283" s="3">
        <v>1.0</v>
      </c>
      <c r="D3283" t="str">
        <f>VLOOKUP(B3283,ERA_MOTIF_TYPES.csv!$A$1:$C$119,2,1)</f>
        <v>Single or multiple cups</v>
      </c>
      <c r="E3283" t="str">
        <f>VLOOKUP(A3283,Panels!$A$1:$E$2104,5,0)</f>
        <v>West Hills</v>
      </c>
    </row>
    <row r="3284">
      <c r="A3284" s="3">
        <v>1194.0</v>
      </c>
      <c r="B3284" s="3">
        <v>57.0</v>
      </c>
      <c r="C3284" s="3">
        <v>1.0</v>
      </c>
      <c r="D3284" t="str">
        <f>VLOOKUP(B3284,ERA_MOTIF_TYPES.csv!$A$1:$C$119,2,1)</f>
        <v>Cup and ring</v>
      </c>
      <c r="E3284" t="str">
        <f>VLOOKUP(A3284,Panels!$A$1:$E$2104,5,0)</f>
        <v>West Hills</v>
      </c>
    </row>
    <row r="3285">
      <c r="A3285" s="3">
        <v>1194.0</v>
      </c>
      <c r="B3285" s="3">
        <v>104.0</v>
      </c>
      <c r="C3285" s="3">
        <v>1.0</v>
      </c>
      <c r="D3285" t="str">
        <f>VLOOKUP(B3285,ERA_MOTIF_TYPES.csv!$A$1:$C$119,2,1)</f>
        <v>Angular groove around a cup</v>
      </c>
      <c r="E3285" t="str">
        <f>VLOOKUP(A3285,Panels!$A$1:$E$2104,5,0)</f>
        <v>West Hills</v>
      </c>
    </row>
    <row r="3286">
      <c r="A3286" s="3">
        <v>1195.0</v>
      </c>
      <c r="B3286" s="3">
        <v>1.0</v>
      </c>
      <c r="C3286" s="3">
        <v>3.0</v>
      </c>
      <c r="D3286" t="str">
        <f>VLOOKUP(B3286,ERA_MOTIF_TYPES.csv!$A$1:$C$119,2,1)</f>
        <v>Cups Single</v>
      </c>
      <c r="E3286" t="str">
        <f>VLOOKUP(A3286,Panels!$A$1:$E$2104,5,0)</f>
        <v>West Hills</v>
      </c>
    </row>
    <row r="3287">
      <c r="A3287" s="3">
        <v>1195.0</v>
      </c>
      <c r="B3287" s="3">
        <v>2.0</v>
      </c>
      <c r="C3287" s="3">
        <v>2.0</v>
      </c>
      <c r="D3287" t="str">
        <f>VLOOKUP(B3287,ERA_MOTIF_TYPES.csv!$A$1:$C$119,2,1)</f>
        <v>Random Cluster</v>
      </c>
      <c r="E3287" t="str">
        <f>VLOOKUP(A3287,Panels!$A$1:$E$2104,5,0)</f>
        <v>West Hills</v>
      </c>
    </row>
    <row r="3288">
      <c r="A3288" s="3">
        <v>1195.0</v>
      </c>
      <c r="B3288" s="3">
        <v>52.0</v>
      </c>
      <c r="C3288" s="3">
        <v>3.0</v>
      </c>
      <c r="D3288" t="str">
        <f>VLOOKUP(B3288,ERA_MOTIF_TYPES.csv!$A$1:$C$119,2,1)</f>
        <v>Single or multiple cups</v>
      </c>
      <c r="E3288" t="str">
        <f>VLOOKUP(A3288,Panels!$A$1:$E$2104,5,0)</f>
        <v>West Hills</v>
      </c>
    </row>
    <row r="3289">
      <c r="A3289" s="3">
        <v>1196.0</v>
      </c>
      <c r="B3289" s="3">
        <v>52.0</v>
      </c>
      <c r="C3289" s="3">
        <v>1.0</v>
      </c>
      <c r="D3289" t="str">
        <f>VLOOKUP(B3289,ERA_MOTIF_TYPES.csv!$A$1:$C$119,2,1)</f>
        <v>Single or multiple cups</v>
      </c>
      <c r="E3289" t="str">
        <f>VLOOKUP(A3289,Panels!$A$1:$E$2104,5,0)</f>
        <v>West Hills</v>
      </c>
    </row>
    <row r="3290">
      <c r="A3290" s="3">
        <v>1196.0</v>
      </c>
      <c r="B3290" s="3">
        <v>87.0</v>
      </c>
      <c r="C3290" s="3">
        <v>3.0</v>
      </c>
      <c r="D3290" t="str">
        <f>VLOOKUP(B3290,ERA_MOTIF_TYPES.csv!$A$1:$C$119,2,1)</f>
        <v>Linear and angular groove</v>
      </c>
      <c r="E3290" t="str">
        <f>VLOOKUP(A3290,Panels!$A$1:$E$2104,5,0)</f>
        <v>West Hills</v>
      </c>
    </row>
    <row r="3291">
      <c r="A3291" s="3">
        <v>1196.0</v>
      </c>
      <c r="B3291" s="3">
        <v>110.0</v>
      </c>
      <c r="C3291" s="3">
        <v>1.0</v>
      </c>
      <c r="D3291" t="str">
        <f>VLOOKUP(B3291,ERA_MOTIF_TYPES.csv!$A$1:$C$119,2,1)</f>
        <v>Curved groove</v>
      </c>
      <c r="E3291" t="str">
        <f>VLOOKUP(A3291,Panels!$A$1:$E$2104,5,0)</f>
        <v>West Hills</v>
      </c>
    </row>
    <row r="3292">
      <c r="A3292" s="3">
        <v>1197.0</v>
      </c>
      <c r="B3292" s="3">
        <v>52.0</v>
      </c>
      <c r="C3292" s="3">
        <v>1.0</v>
      </c>
      <c r="D3292" t="str">
        <f>VLOOKUP(B3292,ERA_MOTIF_TYPES.csv!$A$1:$C$119,2,1)</f>
        <v>Single or multiple cups</v>
      </c>
      <c r="E3292" t="str">
        <f>VLOOKUP(A3292,Panels!$A$1:$E$2104,5,0)</f>
        <v>West Hills</v>
      </c>
    </row>
    <row r="3293">
      <c r="A3293" s="3">
        <v>1198.0</v>
      </c>
      <c r="B3293" s="3">
        <v>1.0</v>
      </c>
      <c r="C3293" s="3">
        <v>11.0</v>
      </c>
      <c r="D3293" t="str">
        <f>VLOOKUP(B3293,ERA_MOTIF_TYPES.csv!$A$1:$C$119,2,1)</f>
        <v>Cups Single</v>
      </c>
      <c r="E3293" t="str">
        <f>VLOOKUP(A3293,Panels!$A$1:$E$2104,5,0)</f>
        <v>West Hills</v>
      </c>
    </row>
    <row r="3294">
      <c r="A3294" s="3">
        <v>1198.0</v>
      </c>
      <c r="B3294" s="3">
        <v>50.0</v>
      </c>
      <c r="C3294" s="3">
        <v>9.0</v>
      </c>
      <c r="D3294" t="str">
        <f>VLOOKUP(B3294,ERA_MOTIF_TYPES.csv!$A$1:$C$119,2,1)</f>
        <v>Channels</v>
      </c>
      <c r="E3294" t="str">
        <f>VLOOKUP(A3294,Panels!$A$1:$E$2104,5,0)</f>
        <v>West Hills</v>
      </c>
    </row>
    <row r="3295">
      <c r="A3295" s="3">
        <v>1198.0</v>
      </c>
      <c r="B3295" s="3">
        <v>52.0</v>
      </c>
      <c r="C3295" s="3">
        <v>29.0</v>
      </c>
      <c r="D3295" t="str">
        <f>VLOOKUP(B3295,ERA_MOTIF_TYPES.csv!$A$1:$C$119,2,1)</f>
        <v>Single or multiple cups</v>
      </c>
      <c r="E3295" t="str">
        <f>VLOOKUP(A3295,Panels!$A$1:$E$2104,5,0)</f>
        <v>West Hills</v>
      </c>
    </row>
    <row r="3296">
      <c r="A3296" s="3">
        <v>1198.0</v>
      </c>
      <c r="B3296" s="3">
        <v>105.0</v>
      </c>
      <c r="C3296" s="3">
        <v>1.0</v>
      </c>
      <c r="D3296" t="str">
        <f>VLOOKUP(B3296,ERA_MOTIF_TYPES.csv!$A$1:$C$119,2,1)</f>
        <v>Two cups linked by a groove</v>
      </c>
      <c r="E3296" t="str">
        <f>VLOOKUP(A3296,Panels!$A$1:$E$2104,5,0)</f>
        <v>West Hills</v>
      </c>
    </row>
    <row r="3297">
      <c r="A3297" s="3">
        <v>1199.0</v>
      </c>
      <c r="B3297" s="3">
        <v>1.0</v>
      </c>
      <c r="C3297" s="3">
        <v>1.0</v>
      </c>
      <c r="D3297" t="str">
        <f>VLOOKUP(B3297,ERA_MOTIF_TYPES.csv!$A$1:$C$119,2,1)</f>
        <v>Cups Single</v>
      </c>
      <c r="E3297" t="str">
        <f>VLOOKUP(A3297,Panels!$A$1:$E$2104,5,0)</f>
        <v>West Hills</v>
      </c>
    </row>
    <row r="3298">
      <c r="A3298" s="3">
        <v>1199.0</v>
      </c>
      <c r="B3298" s="3">
        <v>52.0</v>
      </c>
      <c r="C3298" s="3">
        <v>1.0</v>
      </c>
      <c r="D3298" t="str">
        <f>VLOOKUP(B3298,ERA_MOTIF_TYPES.csv!$A$1:$C$119,2,1)</f>
        <v>Single or multiple cups</v>
      </c>
      <c r="E3298" t="str">
        <f>VLOOKUP(A3298,Panels!$A$1:$E$2104,5,0)</f>
        <v>West Hills</v>
      </c>
    </row>
    <row r="3299">
      <c r="A3299" s="3">
        <v>1201.0</v>
      </c>
      <c r="B3299" s="3">
        <v>61.0</v>
      </c>
      <c r="C3299" s="3">
        <v>1.0</v>
      </c>
      <c r="D3299" t="str">
        <f>VLOOKUP(B3299,ERA_MOTIF_TYPES.csv!$A$1:$C$119,2,1)</f>
        <v>Cup and arc (or semi-ovoid)</v>
      </c>
      <c r="E3299" t="str">
        <f>VLOOKUP(A3299,Panels!$A$1:$E$2104,5,0)</f>
        <v>West Hills</v>
      </c>
    </row>
    <row r="3300">
      <c r="A3300" s="3">
        <v>1201.0</v>
      </c>
      <c r="B3300" s="3">
        <v>100.0</v>
      </c>
      <c r="C3300" s="3">
        <v>1.0</v>
      </c>
      <c r="D3300" t="str">
        <f>VLOOKUP(B3300,ERA_MOTIF_TYPES.csv!$A$1:$C$119,2,1)</f>
        <v>Pick marks</v>
      </c>
      <c r="E3300" t="str">
        <f>VLOOKUP(A3300,Panels!$A$1:$E$2104,5,0)</f>
        <v>West Hills</v>
      </c>
    </row>
    <row r="3301">
      <c r="A3301" s="3">
        <v>1201.0</v>
      </c>
      <c r="B3301" s="3">
        <v>110.0</v>
      </c>
      <c r="C3301" s="3">
        <v>1.0</v>
      </c>
      <c r="D3301" t="str">
        <f>VLOOKUP(B3301,ERA_MOTIF_TYPES.csv!$A$1:$C$119,2,1)</f>
        <v>Curved groove</v>
      </c>
      <c r="E3301" t="str">
        <f>VLOOKUP(A3301,Panels!$A$1:$E$2104,5,0)</f>
        <v>West Hills</v>
      </c>
    </row>
    <row r="3302">
      <c r="A3302" s="3">
        <v>1204.0</v>
      </c>
      <c r="B3302" s="3">
        <v>1.0</v>
      </c>
      <c r="C3302" s="3">
        <v>1.0</v>
      </c>
      <c r="D3302" t="str">
        <f>VLOOKUP(B3302,ERA_MOTIF_TYPES.csv!$A$1:$C$119,2,1)</f>
        <v>Cups Single</v>
      </c>
      <c r="E3302" t="str">
        <f>VLOOKUP(A3302,Panels!$A$1:$E$2104,5,0)</f>
        <v>Westcliffe House</v>
      </c>
    </row>
    <row r="3303">
      <c r="A3303" s="3">
        <v>1205.0</v>
      </c>
      <c r="B3303" s="3">
        <v>52.0</v>
      </c>
      <c r="C3303" s="3">
        <v>1.0</v>
      </c>
      <c r="D3303" t="str">
        <f>VLOOKUP(B3303,ERA_MOTIF_TYPES.csv!$A$1:$C$119,2,1)</f>
        <v>Single or multiple cups</v>
      </c>
      <c r="E3303" t="str">
        <f>VLOOKUP(A3303,Panels!$A$1:$E$2104,5,0)</f>
        <v>Westcliffe House</v>
      </c>
    </row>
    <row r="3304">
      <c r="A3304" s="3">
        <v>1205.0</v>
      </c>
      <c r="B3304" s="3">
        <v>57.0</v>
      </c>
      <c r="C3304" s="3">
        <v>1.0</v>
      </c>
      <c r="D3304" t="str">
        <f>VLOOKUP(B3304,ERA_MOTIF_TYPES.csv!$A$1:$C$119,2,1)</f>
        <v>Cup and ring</v>
      </c>
      <c r="E3304" t="str">
        <f>VLOOKUP(A3304,Panels!$A$1:$E$2104,5,0)</f>
        <v>Westcliffe House</v>
      </c>
    </row>
    <row r="3305">
      <c r="A3305" s="3">
        <v>1206.0</v>
      </c>
      <c r="B3305" s="3">
        <v>1.0</v>
      </c>
      <c r="C3305" s="3">
        <v>19.0</v>
      </c>
      <c r="D3305" t="str">
        <f>VLOOKUP(B3305,ERA_MOTIF_TYPES.csv!$A$1:$C$119,2,1)</f>
        <v>Cups Single</v>
      </c>
      <c r="E3305" t="str">
        <f>VLOOKUP(A3305,Panels!$A$1:$E$2104,5,0)</f>
        <v>Westcliffe House</v>
      </c>
    </row>
    <row r="3306">
      <c r="A3306" s="3">
        <v>1206.0</v>
      </c>
      <c r="B3306" s="3">
        <v>13.0</v>
      </c>
      <c r="C3306" s="3">
        <v>2.0</v>
      </c>
      <c r="D3306" t="str">
        <f>VLOOKUP(B3306,ERA_MOTIF_TYPES.csv!$A$1:$C$119,2,1)</f>
        <v>Single Ring + cup</v>
      </c>
      <c r="E3306" t="str">
        <f>VLOOKUP(A3306,Panels!$A$1:$E$2104,5,0)</f>
        <v>Westcliffe House</v>
      </c>
    </row>
    <row r="3307">
      <c r="A3307" s="3">
        <v>1206.0</v>
      </c>
      <c r="B3307" s="3">
        <v>25.0</v>
      </c>
      <c r="C3307" s="3">
        <v>1.0</v>
      </c>
      <c r="D3307" t="str">
        <f>VLOOKUP(B3307,ERA_MOTIF_TYPES.csv!$A$1:$C$119,2,1)</f>
        <v>Linear</v>
      </c>
      <c r="E3307" t="str">
        <f>VLOOKUP(A3307,Panels!$A$1:$E$2104,5,0)</f>
        <v>Westcliffe House</v>
      </c>
    </row>
    <row r="3308">
      <c r="A3308" s="3">
        <v>1206.0</v>
      </c>
      <c r="B3308" s="3">
        <v>51.0</v>
      </c>
      <c r="C3308" s="3">
        <v>1.0</v>
      </c>
      <c r="D3308" t="str">
        <f>VLOOKUP(B3308,ERA_MOTIF_TYPES.csv!$A$1:$C$119,2,1)</f>
        <v>Bowls</v>
      </c>
      <c r="E3308" t="str">
        <f>VLOOKUP(A3308,Panels!$A$1:$E$2104,5,0)</f>
        <v>Westcliffe House</v>
      </c>
    </row>
    <row r="3309">
      <c r="A3309" s="3">
        <v>1206.0</v>
      </c>
      <c r="B3309" s="3">
        <v>52.0</v>
      </c>
      <c r="C3309" s="3">
        <v>20.0</v>
      </c>
      <c r="D3309" t="str">
        <f>VLOOKUP(B3309,ERA_MOTIF_TYPES.csv!$A$1:$C$119,2,1)</f>
        <v>Single or multiple cups</v>
      </c>
      <c r="E3309" t="str">
        <f>VLOOKUP(A3309,Panels!$A$1:$E$2104,5,0)</f>
        <v>Westcliffe House</v>
      </c>
    </row>
    <row r="3310">
      <c r="A3310" s="3">
        <v>1206.0</v>
      </c>
      <c r="B3310" s="3">
        <v>57.0</v>
      </c>
      <c r="C3310" s="3">
        <v>2.0</v>
      </c>
      <c r="D3310" t="str">
        <f>VLOOKUP(B3310,ERA_MOTIF_TYPES.csv!$A$1:$C$119,2,1)</f>
        <v>Cup and ring</v>
      </c>
      <c r="E3310" t="str">
        <f>VLOOKUP(A3310,Panels!$A$1:$E$2104,5,0)</f>
        <v>Westcliffe House</v>
      </c>
    </row>
    <row r="3311">
      <c r="A3311" s="3">
        <v>1206.0</v>
      </c>
      <c r="B3311" s="3">
        <v>61.0</v>
      </c>
      <c r="C3311" s="3">
        <v>1.0</v>
      </c>
      <c r="D3311" t="str">
        <f>VLOOKUP(B3311,ERA_MOTIF_TYPES.csv!$A$1:$C$119,2,1)</f>
        <v>Cup and arc (or semi-ovoid)</v>
      </c>
      <c r="E3311" t="str">
        <f>VLOOKUP(A3311,Panels!$A$1:$E$2104,5,0)</f>
        <v>Westcliffe House</v>
      </c>
    </row>
    <row r="3312">
      <c r="A3312" s="3">
        <v>1206.0</v>
      </c>
      <c r="B3312" s="3">
        <v>100.0</v>
      </c>
      <c r="C3312" s="3">
        <v>1.0</v>
      </c>
      <c r="D3312" t="str">
        <f>VLOOKUP(B3312,ERA_MOTIF_TYPES.csv!$A$1:$C$119,2,1)</f>
        <v>Pick marks</v>
      </c>
      <c r="E3312" t="str">
        <f>VLOOKUP(A3312,Panels!$A$1:$E$2104,5,0)</f>
        <v>Westcliffe House</v>
      </c>
    </row>
    <row r="3313">
      <c r="A3313" s="3">
        <v>1206.0</v>
      </c>
      <c r="B3313" s="3">
        <v>105.0</v>
      </c>
      <c r="C3313" s="3">
        <v>1.0</v>
      </c>
      <c r="D3313" t="str">
        <f>VLOOKUP(B3313,ERA_MOTIF_TYPES.csv!$A$1:$C$119,2,1)</f>
        <v>Two cups linked by a groove</v>
      </c>
      <c r="E3313" t="str">
        <f>VLOOKUP(A3313,Panels!$A$1:$E$2104,5,0)</f>
        <v>Westcliffe House</v>
      </c>
    </row>
    <row r="3314">
      <c r="A3314" s="3">
        <v>1207.0</v>
      </c>
      <c r="B3314" s="3">
        <v>1.0</v>
      </c>
      <c r="C3314" s="3">
        <v>1.0</v>
      </c>
      <c r="D3314" t="str">
        <f>VLOOKUP(B3314,ERA_MOTIF_TYPES.csv!$A$1:$C$119,2,1)</f>
        <v>Cups Single</v>
      </c>
      <c r="E3314" t="str">
        <f>VLOOKUP(A3314,Panels!$A$1:$E$2104,5,0)</f>
        <v>Westcliffe House</v>
      </c>
    </row>
    <row r="3315">
      <c r="A3315" s="3">
        <v>1208.0</v>
      </c>
      <c r="B3315" s="3">
        <v>1.0</v>
      </c>
      <c r="C3315" s="3">
        <v>3.0</v>
      </c>
      <c r="D3315" t="str">
        <f>VLOOKUP(B3315,ERA_MOTIF_TYPES.csv!$A$1:$C$119,2,1)</f>
        <v>Cups Single</v>
      </c>
      <c r="E3315" t="str">
        <f>VLOOKUP(A3315,Panels!$A$1:$E$2104,5,0)</f>
        <v>Whitton Burn</v>
      </c>
    </row>
    <row r="3316">
      <c r="A3316" s="3">
        <v>1209.0</v>
      </c>
      <c r="B3316" s="3">
        <v>1.0</v>
      </c>
      <c r="C3316" s="3">
        <v>12.0</v>
      </c>
      <c r="D3316" t="str">
        <f>VLOOKUP(B3316,ERA_MOTIF_TYPES.csv!$A$1:$C$119,2,1)</f>
        <v>Cups Single</v>
      </c>
      <c r="E3316" t="str">
        <f>VLOOKUP(A3316,Panels!$A$1:$E$2104,5,0)</f>
        <v>Whitton Burn</v>
      </c>
    </row>
    <row r="3317">
      <c r="A3317" s="3">
        <v>1209.0</v>
      </c>
      <c r="B3317" s="3">
        <v>52.0</v>
      </c>
      <c r="C3317" s="3">
        <v>9.0</v>
      </c>
      <c r="D3317" t="str">
        <f>VLOOKUP(B3317,ERA_MOTIF_TYPES.csv!$A$1:$C$119,2,1)</f>
        <v>Single or multiple cups</v>
      </c>
      <c r="E3317" t="str">
        <f>VLOOKUP(A3317,Panels!$A$1:$E$2104,5,0)</f>
        <v>Whitton Burn</v>
      </c>
    </row>
    <row r="3318">
      <c r="A3318" s="3">
        <v>1209.0</v>
      </c>
      <c r="B3318" s="3">
        <v>94.0</v>
      </c>
      <c r="C3318" s="3">
        <v>3.0</v>
      </c>
      <c r="D3318" t="str">
        <f>VLOOKUP(B3318,ERA_MOTIF_TYPES.csv!$A$1:$C$119,2,1)</f>
        <v>Basin</v>
      </c>
      <c r="E3318" t="str">
        <f>VLOOKUP(A3318,Panels!$A$1:$E$2104,5,0)</f>
        <v>Whitton Burn</v>
      </c>
    </row>
    <row r="3319">
      <c r="A3319" s="3">
        <v>1210.0</v>
      </c>
      <c r="B3319" s="3">
        <v>1.0</v>
      </c>
      <c r="C3319" s="3">
        <v>1.0</v>
      </c>
      <c r="D3319" t="str">
        <f>VLOOKUP(B3319,ERA_MOTIF_TYPES.csv!$A$1:$C$119,2,1)</f>
        <v>Cups Single</v>
      </c>
      <c r="E3319" t="str">
        <f>VLOOKUP(A3319,Panels!$A$1:$E$2104,5,0)</f>
        <v>Whitton Burn</v>
      </c>
    </row>
    <row r="3320">
      <c r="A3320" s="3">
        <v>1210.0</v>
      </c>
      <c r="B3320" s="3">
        <v>52.0</v>
      </c>
      <c r="C3320" s="3">
        <v>1.0</v>
      </c>
      <c r="D3320" t="str">
        <f>VLOOKUP(B3320,ERA_MOTIF_TYPES.csv!$A$1:$C$119,2,1)</f>
        <v>Single or multiple cups</v>
      </c>
      <c r="E3320" t="str">
        <f>VLOOKUP(A3320,Panels!$A$1:$E$2104,5,0)</f>
        <v>Whitton Burn</v>
      </c>
    </row>
    <row r="3321">
      <c r="A3321" s="3">
        <v>1211.0</v>
      </c>
      <c r="B3321" s="3">
        <v>1.0</v>
      </c>
      <c r="C3321" s="3">
        <v>6.0</v>
      </c>
      <c r="D3321" t="str">
        <f>VLOOKUP(B3321,ERA_MOTIF_TYPES.csv!$A$1:$C$119,2,1)</f>
        <v>Cups Single</v>
      </c>
      <c r="E3321" t="str">
        <f>VLOOKUP(A3321,Panels!$A$1:$E$2104,5,0)</f>
        <v>Whitton Burn</v>
      </c>
    </row>
    <row r="3322">
      <c r="A3322" s="3">
        <v>1211.0</v>
      </c>
      <c r="B3322" s="3">
        <v>52.0</v>
      </c>
      <c r="C3322" s="3">
        <v>7.0</v>
      </c>
      <c r="D3322" t="str">
        <f>VLOOKUP(B3322,ERA_MOTIF_TYPES.csv!$A$1:$C$119,2,1)</f>
        <v>Single or multiple cups</v>
      </c>
      <c r="E3322" t="str">
        <f>VLOOKUP(A3322,Panels!$A$1:$E$2104,5,0)</f>
        <v>Whitton Burn</v>
      </c>
    </row>
    <row r="3323">
      <c r="A3323" s="3">
        <v>1213.0</v>
      </c>
      <c r="B3323" s="3">
        <v>103.0</v>
      </c>
      <c r="C3323" s="3">
        <v>1.0</v>
      </c>
      <c r="D3323" t="str">
        <f>VLOOKUP(B3323,ERA_MOTIF_TYPES.csv!$A$1:$C$119,2,1)</f>
        <v>Cup and groove</v>
      </c>
      <c r="E3323" t="str">
        <f>VLOOKUP(A3323,Panels!$A$1:$E$2104,5,0)</f>
        <v>North Lordenshaw</v>
      </c>
    </row>
    <row r="3324">
      <c r="A3324" s="3">
        <v>1214.0</v>
      </c>
      <c r="B3324" s="3">
        <v>1.0</v>
      </c>
      <c r="C3324" s="3">
        <v>6.0</v>
      </c>
      <c r="D3324" t="str">
        <f>VLOOKUP(B3324,ERA_MOTIF_TYPES.csv!$A$1:$C$119,2,1)</f>
        <v>Cups Single</v>
      </c>
      <c r="E3324" t="str">
        <f>VLOOKUP(A3324,Panels!$A$1:$E$2104,5,0)</f>
        <v>North Lordenshaw</v>
      </c>
    </row>
    <row r="3325">
      <c r="A3325" s="3">
        <v>1214.0</v>
      </c>
      <c r="B3325" s="3">
        <v>55.0</v>
      </c>
      <c r="C3325" s="3">
        <v>2.0</v>
      </c>
      <c r="D3325" t="str">
        <f>VLOOKUP(B3325,ERA_MOTIF_TYPES.csv!$A$1:$C$119,2,1)</f>
        <v>Cups in a straight or curved line</v>
      </c>
      <c r="E3325" t="str">
        <f>VLOOKUP(A3325,Panels!$A$1:$E$2104,5,0)</f>
        <v>North Lordenshaw</v>
      </c>
    </row>
    <row r="3326">
      <c r="A3326" s="3">
        <v>1215.0</v>
      </c>
      <c r="B3326" s="3">
        <v>25.0</v>
      </c>
      <c r="C3326" s="3">
        <v>3.0</v>
      </c>
      <c r="D3326" t="str">
        <f>VLOOKUP(B3326,ERA_MOTIF_TYPES.csv!$A$1:$C$119,2,1)</f>
        <v>Linear</v>
      </c>
      <c r="E3326" t="str">
        <f>VLOOKUP(A3326,Panels!$A$1:$E$2104,5,0)</f>
        <v>North Lordenshaw</v>
      </c>
    </row>
    <row r="3327">
      <c r="A3327" s="3">
        <v>1215.0</v>
      </c>
      <c r="B3327" s="3">
        <v>106.0</v>
      </c>
      <c r="C3327" s="3">
        <v>3.0</v>
      </c>
      <c r="D3327" t="str">
        <f>VLOOKUP(B3327,ERA_MOTIF_TYPES.csv!$A$1:$C$119,2,1)</f>
        <v>Long groove</v>
      </c>
      <c r="E3327" t="str">
        <f>VLOOKUP(A3327,Panels!$A$1:$E$2104,5,0)</f>
        <v>North Lordenshaw</v>
      </c>
    </row>
    <row r="3328">
      <c r="A3328" s="3">
        <v>1216.0</v>
      </c>
      <c r="B3328" s="3">
        <v>1.0</v>
      </c>
      <c r="C3328" s="3">
        <v>8.0</v>
      </c>
      <c r="D3328" t="str">
        <f>VLOOKUP(B3328,ERA_MOTIF_TYPES.csv!$A$1:$C$119,2,1)</f>
        <v>Cups Single</v>
      </c>
      <c r="E3328" t="str">
        <f>VLOOKUP(A3328,Panels!$A$1:$E$2104,5,0)</f>
        <v>North Lordenshaw</v>
      </c>
    </row>
    <row r="3329">
      <c r="A3329" s="3">
        <v>1216.0</v>
      </c>
      <c r="B3329" s="3">
        <v>27.0</v>
      </c>
      <c r="C3329" s="3">
        <v>1.0</v>
      </c>
      <c r="D3329" t="str">
        <f>VLOOKUP(B3329,ERA_MOTIF_TYPES.csv!$A$1:$C$119,2,1)</f>
        <v>Serpentine</v>
      </c>
      <c r="E3329" t="str">
        <f>VLOOKUP(A3329,Panels!$A$1:$E$2104,5,0)</f>
        <v>North Lordenshaw</v>
      </c>
    </row>
    <row r="3330">
      <c r="A3330" s="3">
        <v>1216.0</v>
      </c>
      <c r="B3330" s="3">
        <v>52.0</v>
      </c>
      <c r="C3330" s="3">
        <v>8.0</v>
      </c>
      <c r="D3330" t="str">
        <f>VLOOKUP(B3330,ERA_MOTIF_TYPES.csv!$A$1:$C$119,2,1)</f>
        <v>Single or multiple cups</v>
      </c>
      <c r="E3330" t="str">
        <f>VLOOKUP(A3330,Panels!$A$1:$E$2104,5,0)</f>
        <v>North Lordenshaw</v>
      </c>
    </row>
    <row r="3331">
      <c r="A3331" s="3">
        <v>1216.0</v>
      </c>
      <c r="B3331" s="3">
        <v>106.0</v>
      </c>
      <c r="C3331" s="3">
        <v>1.0</v>
      </c>
      <c r="D3331" t="str">
        <f>VLOOKUP(B3331,ERA_MOTIF_TYPES.csv!$A$1:$C$119,2,1)</f>
        <v>Long groove</v>
      </c>
      <c r="E3331" t="str">
        <f>VLOOKUP(A3331,Panels!$A$1:$E$2104,5,0)</f>
        <v>North Lordenshaw</v>
      </c>
    </row>
    <row r="3332">
      <c r="A3332" s="3">
        <v>1217.0</v>
      </c>
      <c r="B3332" s="3">
        <v>1.0</v>
      </c>
      <c r="C3332" s="3">
        <v>2.0</v>
      </c>
      <c r="D3332" t="str">
        <f>VLOOKUP(B3332,ERA_MOTIF_TYPES.csv!$A$1:$C$119,2,1)</f>
        <v>Cups Single</v>
      </c>
      <c r="E3332" t="str">
        <f>VLOOKUP(A3332,Panels!$A$1:$E$2104,5,0)</f>
        <v>North Lordenshaw</v>
      </c>
    </row>
    <row r="3333">
      <c r="A3333" s="3">
        <v>1217.0</v>
      </c>
      <c r="B3333" s="3">
        <v>52.0</v>
      </c>
      <c r="C3333" s="3">
        <v>2.0</v>
      </c>
      <c r="D3333" t="str">
        <f>VLOOKUP(B3333,ERA_MOTIF_TYPES.csv!$A$1:$C$119,2,1)</f>
        <v>Single or multiple cups</v>
      </c>
      <c r="E3333" t="str">
        <f>VLOOKUP(A3333,Panels!$A$1:$E$2104,5,0)</f>
        <v>North Lordenshaw</v>
      </c>
    </row>
    <row r="3334">
      <c r="A3334" s="3">
        <v>1218.0</v>
      </c>
      <c r="B3334" s="3">
        <v>51.0</v>
      </c>
      <c r="C3334" s="3">
        <v>2.0</v>
      </c>
      <c r="D3334" t="str">
        <f>VLOOKUP(B3334,ERA_MOTIF_TYPES.csv!$A$1:$C$119,2,1)</f>
        <v>Bowls</v>
      </c>
      <c r="E3334" t="str">
        <f>VLOOKUP(A3334,Panels!$A$1:$E$2104,5,0)</f>
        <v>North Lordenshaw</v>
      </c>
    </row>
    <row r="3335">
      <c r="A3335" s="3">
        <v>1218.0</v>
      </c>
      <c r="B3335" s="3">
        <v>58.0</v>
      </c>
      <c r="C3335" s="3">
        <v>1.0</v>
      </c>
      <c r="D3335" t="str">
        <f>VLOOKUP(B3335,ERA_MOTIF_TYPES.csv!$A$1:$C$119,2,1)</f>
        <v>Cup and multiple rings</v>
      </c>
      <c r="E3335" t="str">
        <f>VLOOKUP(A3335,Panels!$A$1:$E$2104,5,0)</f>
        <v>North Lordenshaw</v>
      </c>
    </row>
    <row r="3336">
      <c r="A3336" s="3">
        <v>1219.0</v>
      </c>
      <c r="B3336" s="3">
        <v>1.0</v>
      </c>
      <c r="C3336" s="3">
        <v>1.0</v>
      </c>
      <c r="D3336" t="str">
        <f>VLOOKUP(B3336,ERA_MOTIF_TYPES.csv!$A$1:$C$119,2,1)</f>
        <v>Cups Single</v>
      </c>
      <c r="E3336" t="str">
        <f>VLOOKUP(A3336,Panels!$A$1:$E$2104,5,0)</f>
        <v>North Lordenshaw</v>
      </c>
    </row>
    <row r="3337">
      <c r="A3337" s="3">
        <v>1219.0</v>
      </c>
      <c r="B3337" s="3">
        <v>52.0</v>
      </c>
      <c r="C3337" s="3">
        <v>1.0</v>
      </c>
      <c r="D3337" t="str">
        <f>VLOOKUP(B3337,ERA_MOTIF_TYPES.csv!$A$1:$C$119,2,1)</f>
        <v>Single or multiple cups</v>
      </c>
      <c r="E3337" t="str">
        <f>VLOOKUP(A3337,Panels!$A$1:$E$2104,5,0)</f>
        <v>North Lordenshaw</v>
      </c>
    </row>
    <row r="3338">
      <c r="A3338" s="3">
        <v>1220.0</v>
      </c>
      <c r="B3338" s="3">
        <v>50.0</v>
      </c>
      <c r="C3338" s="3">
        <v>1.0</v>
      </c>
      <c r="D3338" t="str">
        <f>VLOOKUP(B3338,ERA_MOTIF_TYPES.csv!$A$1:$C$119,2,1)</f>
        <v>Channels</v>
      </c>
      <c r="E3338" t="str">
        <f>VLOOKUP(A3338,Panels!$A$1:$E$2104,5,0)</f>
        <v>Whitton Burn/North Lordenshaw</v>
      </c>
    </row>
    <row r="3339">
      <c r="A3339" s="3">
        <v>1220.0</v>
      </c>
      <c r="B3339" s="3">
        <v>51.0</v>
      </c>
      <c r="C3339" s="3">
        <v>1.0</v>
      </c>
      <c r="D3339" t="str">
        <f>VLOOKUP(B3339,ERA_MOTIF_TYPES.csv!$A$1:$C$119,2,1)</f>
        <v>Bowls</v>
      </c>
      <c r="E3339" t="str">
        <f>VLOOKUP(A3339,Panels!$A$1:$E$2104,5,0)</f>
        <v>Whitton Burn/North Lordenshaw</v>
      </c>
    </row>
    <row r="3340">
      <c r="A3340" s="3">
        <v>1221.0</v>
      </c>
      <c r="B3340" s="3">
        <v>1.0</v>
      </c>
      <c r="C3340" s="3">
        <v>1.0</v>
      </c>
      <c r="D3340" t="str">
        <f>VLOOKUP(B3340,ERA_MOTIF_TYPES.csv!$A$1:$C$119,2,1)</f>
        <v>Cups Single</v>
      </c>
      <c r="E3340" t="str">
        <f>VLOOKUP(A3340,Panels!$A$1:$E$2104,5,0)</f>
        <v>North Lordenshaw</v>
      </c>
    </row>
    <row r="3341">
      <c r="A3341" s="3">
        <v>1221.0</v>
      </c>
      <c r="B3341" s="3">
        <v>52.0</v>
      </c>
      <c r="C3341" s="3">
        <v>5.0</v>
      </c>
      <c r="D3341" t="str">
        <f>VLOOKUP(B3341,ERA_MOTIF_TYPES.csv!$A$1:$C$119,2,1)</f>
        <v>Single or multiple cups</v>
      </c>
      <c r="E3341" t="str">
        <f>VLOOKUP(A3341,Panels!$A$1:$E$2104,5,0)</f>
        <v>North Lordenshaw</v>
      </c>
    </row>
    <row r="3342">
      <c r="A3342" s="3">
        <v>1222.0</v>
      </c>
      <c r="B3342" s="3">
        <v>1.0</v>
      </c>
      <c r="C3342" s="3">
        <v>2.0</v>
      </c>
      <c r="D3342" t="str">
        <f>VLOOKUP(B3342,ERA_MOTIF_TYPES.csv!$A$1:$C$119,2,1)</f>
        <v>Cups Single</v>
      </c>
      <c r="E3342" t="str">
        <f>VLOOKUP(A3342,Panels!$A$1:$E$2104,5,0)</f>
        <v>North Lordenshaw</v>
      </c>
    </row>
    <row r="3343">
      <c r="A3343" s="3">
        <v>1222.0</v>
      </c>
      <c r="B3343" s="3">
        <v>52.0</v>
      </c>
      <c r="C3343" s="3">
        <v>2.0</v>
      </c>
      <c r="D3343" t="str">
        <f>VLOOKUP(B3343,ERA_MOTIF_TYPES.csv!$A$1:$C$119,2,1)</f>
        <v>Single or multiple cups</v>
      </c>
      <c r="E3343" t="str">
        <f>VLOOKUP(A3343,Panels!$A$1:$E$2104,5,0)</f>
        <v>North Lordenshaw</v>
      </c>
    </row>
    <row r="3344">
      <c r="A3344" s="3">
        <v>1223.0</v>
      </c>
      <c r="B3344" s="3">
        <v>1.0</v>
      </c>
      <c r="C3344" s="3">
        <v>1.0</v>
      </c>
      <c r="D3344" t="str">
        <f>VLOOKUP(B3344,ERA_MOTIF_TYPES.csv!$A$1:$C$119,2,1)</f>
        <v>Cups Single</v>
      </c>
      <c r="E3344" t="str">
        <f>VLOOKUP(A3344,Panels!$A$1:$E$2104,5,0)</f>
        <v>North Lordenshaw</v>
      </c>
    </row>
    <row r="3345">
      <c r="A3345" s="3">
        <v>1223.0</v>
      </c>
      <c r="B3345" s="3">
        <v>25.0</v>
      </c>
      <c r="C3345" s="3">
        <v>1.0</v>
      </c>
      <c r="D3345" t="str">
        <f>VLOOKUP(B3345,ERA_MOTIF_TYPES.csv!$A$1:$C$119,2,1)</f>
        <v>Linear</v>
      </c>
      <c r="E3345" t="str">
        <f>VLOOKUP(A3345,Panels!$A$1:$E$2104,5,0)</f>
        <v>North Lordenshaw</v>
      </c>
    </row>
    <row r="3346">
      <c r="A3346" s="3">
        <v>1223.0</v>
      </c>
      <c r="B3346" s="3">
        <v>31.0</v>
      </c>
      <c r="C3346" s="3">
        <v>1.0</v>
      </c>
      <c r="D3346" t="str">
        <f>VLOOKUP(B3346,ERA_MOTIF_TYPES.csv!$A$1:$C$119,2,1)</f>
        <v>Cup and Groove</v>
      </c>
      <c r="E3346" t="str">
        <f>VLOOKUP(A3346,Panels!$A$1:$E$2104,5,0)</f>
        <v>North Lordenshaw</v>
      </c>
    </row>
    <row r="3347">
      <c r="A3347" s="3">
        <v>1223.0</v>
      </c>
      <c r="B3347" s="3">
        <v>52.0</v>
      </c>
      <c r="C3347" s="3">
        <v>1.0</v>
      </c>
      <c r="D3347" t="str">
        <f>VLOOKUP(B3347,ERA_MOTIF_TYPES.csv!$A$1:$C$119,2,1)</f>
        <v>Single or multiple cups</v>
      </c>
      <c r="E3347" t="str">
        <f>VLOOKUP(A3347,Panels!$A$1:$E$2104,5,0)</f>
        <v>North Lordenshaw</v>
      </c>
    </row>
    <row r="3348">
      <c r="A3348" s="3">
        <v>1223.0</v>
      </c>
      <c r="B3348" s="3">
        <v>110.0</v>
      </c>
      <c r="C3348" s="3">
        <v>1.0</v>
      </c>
      <c r="D3348" t="str">
        <f>VLOOKUP(B3348,ERA_MOTIF_TYPES.csv!$A$1:$C$119,2,1)</f>
        <v>Curved groove</v>
      </c>
      <c r="E3348" t="str">
        <f>VLOOKUP(A3348,Panels!$A$1:$E$2104,5,0)</f>
        <v>North Lordenshaw</v>
      </c>
    </row>
    <row r="3349">
      <c r="A3349" s="3">
        <v>1224.0</v>
      </c>
      <c r="B3349" s="3">
        <v>1.0</v>
      </c>
      <c r="C3349" s="3">
        <v>1.0</v>
      </c>
      <c r="D3349" t="str">
        <f>VLOOKUP(B3349,ERA_MOTIF_TYPES.csv!$A$1:$C$119,2,1)</f>
        <v>Cups Single</v>
      </c>
      <c r="E3349" t="str">
        <f>VLOOKUP(A3349,Panels!$A$1:$E$2104,5,0)</f>
        <v>North Lordenshaw</v>
      </c>
    </row>
    <row r="3350">
      <c r="A3350" s="3">
        <v>1224.0</v>
      </c>
      <c r="B3350" s="3">
        <v>13.0</v>
      </c>
      <c r="C3350" s="3">
        <v>1.0</v>
      </c>
      <c r="D3350" t="str">
        <f>VLOOKUP(B3350,ERA_MOTIF_TYPES.csv!$A$1:$C$119,2,1)</f>
        <v>Single Ring + cup</v>
      </c>
      <c r="E3350" t="str">
        <f>VLOOKUP(A3350,Panels!$A$1:$E$2104,5,0)</f>
        <v>North Lordenshaw</v>
      </c>
    </row>
    <row r="3351">
      <c r="A3351" s="3">
        <v>1224.0</v>
      </c>
      <c r="B3351" s="3">
        <v>16.0</v>
      </c>
      <c r="C3351" s="3">
        <v>1.0</v>
      </c>
      <c r="D3351" t="str">
        <f>VLOOKUP(B3351,ERA_MOTIF_TYPES.csv!$A$1:$C$119,2,1)</f>
        <v>Single Arc + cup</v>
      </c>
      <c r="E3351" t="str">
        <f>VLOOKUP(A3351,Panels!$A$1:$E$2104,5,0)</f>
        <v>North Lordenshaw</v>
      </c>
    </row>
    <row r="3352">
      <c r="A3352" s="3">
        <v>1224.0</v>
      </c>
      <c r="B3352" s="3">
        <v>50.0</v>
      </c>
      <c r="C3352" s="3">
        <v>1.0</v>
      </c>
      <c r="D3352" t="str">
        <f>VLOOKUP(B3352,ERA_MOTIF_TYPES.csv!$A$1:$C$119,2,1)</f>
        <v>Channels</v>
      </c>
      <c r="E3352" t="str">
        <f>VLOOKUP(A3352,Panels!$A$1:$E$2104,5,0)</f>
        <v>North Lordenshaw</v>
      </c>
    </row>
    <row r="3353">
      <c r="A3353" s="3">
        <v>1224.0</v>
      </c>
      <c r="B3353" s="3">
        <v>51.0</v>
      </c>
      <c r="C3353" s="3">
        <v>1.0</v>
      </c>
      <c r="D3353" t="str">
        <f>VLOOKUP(B3353,ERA_MOTIF_TYPES.csv!$A$1:$C$119,2,1)</f>
        <v>Bowls</v>
      </c>
      <c r="E3353" t="str">
        <f>VLOOKUP(A3353,Panels!$A$1:$E$2104,5,0)</f>
        <v>North Lordenshaw</v>
      </c>
    </row>
    <row r="3354">
      <c r="A3354" s="3">
        <v>1224.0</v>
      </c>
      <c r="B3354" s="3">
        <v>52.0</v>
      </c>
      <c r="C3354" s="3">
        <v>1.0</v>
      </c>
      <c r="D3354" t="str">
        <f>VLOOKUP(B3354,ERA_MOTIF_TYPES.csv!$A$1:$C$119,2,1)</f>
        <v>Single or multiple cups</v>
      </c>
      <c r="E3354" t="str">
        <f>VLOOKUP(A3354,Panels!$A$1:$E$2104,5,0)</f>
        <v>North Lordenshaw</v>
      </c>
    </row>
    <row r="3355">
      <c r="A3355" s="3">
        <v>1224.0</v>
      </c>
      <c r="B3355" s="3">
        <v>57.0</v>
      </c>
      <c r="C3355" s="3">
        <v>1.0</v>
      </c>
      <c r="D3355" t="str">
        <f>VLOOKUP(B3355,ERA_MOTIF_TYPES.csv!$A$1:$C$119,2,1)</f>
        <v>Cup and ring</v>
      </c>
      <c r="E3355" t="str">
        <f>VLOOKUP(A3355,Panels!$A$1:$E$2104,5,0)</f>
        <v>North Lordenshaw</v>
      </c>
    </row>
    <row r="3356">
      <c r="A3356" s="3">
        <v>1224.0</v>
      </c>
      <c r="B3356" s="3">
        <v>61.0</v>
      </c>
      <c r="C3356" s="3">
        <v>1.0</v>
      </c>
      <c r="D3356" t="str">
        <f>VLOOKUP(B3356,ERA_MOTIF_TYPES.csv!$A$1:$C$119,2,1)</f>
        <v>Cup and arc (or semi-ovoid)</v>
      </c>
      <c r="E3356" t="str">
        <f>VLOOKUP(A3356,Panels!$A$1:$E$2104,5,0)</f>
        <v>North Lordenshaw</v>
      </c>
    </row>
    <row r="3357">
      <c r="A3357" s="3">
        <v>1224.0</v>
      </c>
      <c r="B3357" s="3">
        <v>87.0</v>
      </c>
      <c r="C3357" s="3">
        <v>1.0</v>
      </c>
      <c r="D3357" t="str">
        <f>VLOOKUP(B3357,ERA_MOTIF_TYPES.csv!$A$1:$C$119,2,1)</f>
        <v>Linear and angular groove</v>
      </c>
      <c r="E3357" t="str">
        <f>VLOOKUP(A3357,Panels!$A$1:$E$2104,5,0)</f>
        <v>North Lordenshaw</v>
      </c>
    </row>
    <row r="3358">
      <c r="A3358" s="3">
        <v>1224.0</v>
      </c>
      <c r="B3358" s="3">
        <v>94.0</v>
      </c>
      <c r="C3358" s="3">
        <v>1.0</v>
      </c>
      <c r="D3358" t="str">
        <f>VLOOKUP(B3358,ERA_MOTIF_TYPES.csv!$A$1:$C$119,2,1)</f>
        <v>Basin</v>
      </c>
      <c r="E3358" t="str">
        <f>VLOOKUP(A3358,Panels!$A$1:$E$2104,5,0)</f>
        <v>North Lordenshaw</v>
      </c>
    </row>
    <row r="3359">
      <c r="A3359" s="3">
        <v>1225.0</v>
      </c>
      <c r="B3359" s="3">
        <v>1.0</v>
      </c>
      <c r="C3359" s="3">
        <v>2.0</v>
      </c>
      <c r="D3359" t="str">
        <f>VLOOKUP(B3359,ERA_MOTIF_TYPES.csv!$A$1:$C$119,2,1)</f>
        <v>Cups Single</v>
      </c>
      <c r="E3359" t="str">
        <f>VLOOKUP(A3359,Panels!$A$1:$E$2104,5,0)</f>
        <v>North Lordenshaw</v>
      </c>
    </row>
    <row r="3360">
      <c r="A3360" s="3">
        <v>1225.0</v>
      </c>
      <c r="B3360" s="3">
        <v>25.0</v>
      </c>
      <c r="C3360" s="3">
        <v>1.0</v>
      </c>
      <c r="D3360" t="str">
        <f>VLOOKUP(B3360,ERA_MOTIF_TYPES.csv!$A$1:$C$119,2,1)</f>
        <v>Linear</v>
      </c>
      <c r="E3360" t="str">
        <f>VLOOKUP(A3360,Panels!$A$1:$E$2104,5,0)</f>
        <v>North Lordenshaw</v>
      </c>
    </row>
    <row r="3361">
      <c r="A3361" s="3">
        <v>1225.0</v>
      </c>
      <c r="B3361" s="3">
        <v>52.0</v>
      </c>
      <c r="C3361" s="3">
        <v>2.0</v>
      </c>
      <c r="D3361" t="str">
        <f>VLOOKUP(B3361,ERA_MOTIF_TYPES.csv!$A$1:$C$119,2,1)</f>
        <v>Single or multiple cups</v>
      </c>
      <c r="E3361" t="str">
        <f>VLOOKUP(A3361,Panels!$A$1:$E$2104,5,0)</f>
        <v>North Lordenshaw</v>
      </c>
    </row>
    <row r="3362">
      <c r="A3362" s="3">
        <v>1226.0</v>
      </c>
      <c r="B3362" s="3">
        <v>1.0</v>
      </c>
      <c r="C3362" s="3">
        <v>2.0</v>
      </c>
      <c r="D3362" t="str">
        <f>VLOOKUP(B3362,ERA_MOTIF_TYPES.csv!$A$1:$C$119,2,1)</f>
        <v>Cups Single</v>
      </c>
      <c r="E3362" t="str">
        <f>VLOOKUP(A3362,Panels!$A$1:$E$2104,5,0)</f>
        <v>North Lordenshaw</v>
      </c>
    </row>
    <row r="3363">
      <c r="A3363" s="3">
        <v>1226.0</v>
      </c>
      <c r="B3363" s="3">
        <v>51.0</v>
      </c>
      <c r="C3363" s="3">
        <v>1.0</v>
      </c>
      <c r="D3363" t="str">
        <f>VLOOKUP(B3363,ERA_MOTIF_TYPES.csv!$A$1:$C$119,2,1)</f>
        <v>Bowls</v>
      </c>
      <c r="E3363" t="str">
        <f>VLOOKUP(A3363,Panels!$A$1:$E$2104,5,0)</f>
        <v>North Lordenshaw</v>
      </c>
    </row>
    <row r="3364">
      <c r="A3364" s="3">
        <v>1226.0</v>
      </c>
      <c r="B3364" s="3">
        <v>52.0</v>
      </c>
      <c r="C3364" s="3">
        <v>2.0</v>
      </c>
      <c r="D3364" t="str">
        <f>VLOOKUP(B3364,ERA_MOTIF_TYPES.csv!$A$1:$C$119,2,1)</f>
        <v>Single or multiple cups</v>
      </c>
      <c r="E3364" t="str">
        <f>VLOOKUP(A3364,Panels!$A$1:$E$2104,5,0)</f>
        <v>North Lordenshaw</v>
      </c>
    </row>
    <row r="3365">
      <c r="A3365" s="3">
        <v>1227.0</v>
      </c>
      <c r="B3365" s="3">
        <v>1.0</v>
      </c>
      <c r="C3365" s="3">
        <v>7.0</v>
      </c>
      <c r="D3365" t="str">
        <f>VLOOKUP(B3365,ERA_MOTIF_TYPES.csv!$A$1:$C$119,2,1)</f>
        <v>Cups Single</v>
      </c>
      <c r="E3365" t="str">
        <f>VLOOKUP(A3365,Panels!$A$1:$E$2104,5,0)</f>
        <v>North Lordenshaw</v>
      </c>
    </row>
    <row r="3366">
      <c r="A3366" s="3">
        <v>1227.0</v>
      </c>
      <c r="B3366" s="3">
        <v>52.0</v>
      </c>
      <c r="C3366" s="3">
        <v>6.0</v>
      </c>
      <c r="D3366" t="str">
        <f>VLOOKUP(B3366,ERA_MOTIF_TYPES.csv!$A$1:$C$119,2,1)</f>
        <v>Single or multiple cups</v>
      </c>
      <c r="E3366" t="str">
        <f>VLOOKUP(A3366,Panels!$A$1:$E$2104,5,0)</f>
        <v>North Lordenshaw</v>
      </c>
    </row>
    <row r="3367">
      <c r="A3367" s="3">
        <v>1228.0</v>
      </c>
      <c r="B3367" s="3">
        <v>1.0</v>
      </c>
      <c r="C3367" s="3">
        <v>4.0</v>
      </c>
      <c r="D3367" t="str">
        <f>VLOOKUP(B3367,ERA_MOTIF_TYPES.csv!$A$1:$C$119,2,1)</f>
        <v>Cups Single</v>
      </c>
      <c r="E3367" t="str">
        <f>VLOOKUP(A3367,Panels!$A$1:$E$2104,5,0)</f>
        <v>North Lordenshaw</v>
      </c>
    </row>
    <row r="3368">
      <c r="A3368" s="3">
        <v>1228.0</v>
      </c>
      <c r="B3368" s="3">
        <v>52.0</v>
      </c>
      <c r="C3368" s="3">
        <v>4.0</v>
      </c>
      <c r="D3368" t="str">
        <f>VLOOKUP(B3368,ERA_MOTIF_TYPES.csv!$A$1:$C$119,2,1)</f>
        <v>Single or multiple cups</v>
      </c>
      <c r="E3368" t="str">
        <f>VLOOKUP(A3368,Panels!$A$1:$E$2104,5,0)</f>
        <v>North Lordenshaw</v>
      </c>
    </row>
    <row r="3369">
      <c r="A3369" s="3">
        <v>1229.0</v>
      </c>
      <c r="B3369" s="3">
        <v>1.0</v>
      </c>
      <c r="C3369" s="3">
        <v>2.0</v>
      </c>
      <c r="D3369" t="str">
        <f>VLOOKUP(B3369,ERA_MOTIF_TYPES.csv!$A$1:$C$119,2,1)</f>
        <v>Cups Single</v>
      </c>
      <c r="E3369" t="str">
        <f>VLOOKUP(A3369,Panels!$A$1:$E$2104,5,0)</f>
        <v>North Lordenshaw</v>
      </c>
    </row>
    <row r="3370">
      <c r="A3370" s="3">
        <v>1229.0</v>
      </c>
      <c r="B3370" s="3">
        <v>52.0</v>
      </c>
      <c r="C3370" s="3">
        <v>1.0</v>
      </c>
      <c r="D3370" t="str">
        <f>VLOOKUP(B3370,ERA_MOTIF_TYPES.csv!$A$1:$C$119,2,1)</f>
        <v>Single or multiple cups</v>
      </c>
      <c r="E3370" t="str">
        <f>VLOOKUP(A3370,Panels!$A$1:$E$2104,5,0)</f>
        <v>North Lordenshaw</v>
      </c>
    </row>
    <row r="3371">
      <c r="A3371" s="3">
        <v>1230.0</v>
      </c>
      <c r="B3371" s="3">
        <v>1.0</v>
      </c>
      <c r="C3371" s="3">
        <v>2.0</v>
      </c>
      <c r="D3371" t="str">
        <f>VLOOKUP(B3371,ERA_MOTIF_TYPES.csv!$A$1:$C$119,2,1)</f>
        <v>Cups Single</v>
      </c>
      <c r="E3371" t="str">
        <f>VLOOKUP(A3371,Panels!$A$1:$E$2104,5,0)</f>
        <v>North Lordenshaw</v>
      </c>
    </row>
    <row r="3372">
      <c r="A3372" s="3">
        <v>1231.0</v>
      </c>
      <c r="B3372" s="3">
        <v>1.0</v>
      </c>
      <c r="C3372" s="3">
        <v>2.0</v>
      </c>
      <c r="D3372" t="str">
        <f>VLOOKUP(B3372,ERA_MOTIF_TYPES.csv!$A$1:$C$119,2,1)</f>
        <v>Cups Single</v>
      </c>
      <c r="E3372" t="str">
        <f>VLOOKUP(A3372,Panels!$A$1:$E$2104,5,0)</f>
        <v>North Lordenshaw</v>
      </c>
    </row>
    <row r="3373">
      <c r="A3373" s="3">
        <v>1232.0</v>
      </c>
      <c r="B3373" s="3">
        <v>1.0</v>
      </c>
      <c r="C3373" s="3">
        <v>8.0</v>
      </c>
      <c r="D3373" t="str">
        <f>VLOOKUP(B3373,ERA_MOTIF_TYPES.csv!$A$1:$C$119,2,1)</f>
        <v>Cups Single</v>
      </c>
      <c r="E3373" t="str">
        <f>VLOOKUP(A3373,Panels!$A$1:$E$2104,5,0)</f>
        <v>North Lordenshaw</v>
      </c>
    </row>
    <row r="3374">
      <c r="A3374" s="3">
        <v>1232.0</v>
      </c>
      <c r="B3374" s="3">
        <v>16.0</v>
      </c>
      <c r="C3374" s="3">
        <v>1.0</v>
      </c>
      <c r="D3374" t="str">
        <f>VLOOKUP(B3374,ERA_MOTIF_TYPES.csv!$A$1:$C$119,2,1)</f>
        <v>Single Arc + cup</v>
      </c>
      <c r="E3374" t="str">
        <f>VLOOKUP(A3374,Panels!$A$1:$E$2104,5,0)</f>
        <v>North Lordenshaw</v>
      </c>
    </row>
    <row r="3375">
      <c r="A3375" s="3">
        <v>1232.0</v>
      </c>
      <c r="B3375" s="3">
        <v>50.0</v>
      </c>
      <c r="C3375" s="3">
        <v>1.0</v>
      </c>
      <c r="D3375" t="str">
        <f>VLOOKUP(B3375,ERA_MOTIF_TYPES.csv!$A$1:$C$119,2,1)</f>
        <v>Channels</v>
      </c>
      <c r="E3375" t="str">
        <f>VLOOKUP(A3375,Panels!$A$1:$E$2104,5,0)</f>
        <v>North Lordenshaw</v>
      </c>
    </row>
    <row r="3376">
      <c r="A3376" s="3">
        <v>1232.0</v>
      </c>
      <c r="B3376" s="3">
        <v>52.0</v>
      </c>
      <c r="C3376" s="3">
        <v>7.0</v>
      </c>
      <c r="D3376" t="str">
        <f>VLOOKUP(B3376,ERA_MOTIF_TYPES.csv!$A$1:$C$119,2,1)</f>
        <v>Single or multiple cups</v>
      </c>
      <c r="E3376" t="str">
        <f>VLOOKUP(A3376,Panels!$A$1:$E$2104,5,0)</f>
        <v>North Lordenshaw</v>
      </c>
    </row>
    <row r="3377">
      <c r="A3377" s="3">
        <v>1232.0</v>
      </c>
      <c r="B3377" s="3">
        <v>67.0</v>
      </c>
      <c r="C3377" s="3">
        <v>1.0</v>
      </c>
      <c r="D3377" t="str">
        <f>VLOOKUP(B3377,ERA_MOTIF_TYPES.csv!$A$1:$C$119,2,1)</f>
        <v>Cup and groove with arc</v>
      </c>
      <c r="E3377" t="str">
        <f>VLOOKUP(A3377,Panels!$A$1:$E$2104,5,0)</f>
        <v>North Lordenshaw</v>
      </c>
    </row>
    <row r="3378">
      <c r="A3378" s="3">
        <v>1233.0</v>
      </c>
      <c r="B3378" s="3">
        <v>1.0</v>
      </c>
      <c r="C3378" s="3">
        <v>10.0</v>
      </c>
      <c r="D3378" t="str">
        <f>VLOOKUP(B3378,ERA_MOTIF_TYPES.csv!$A$1:$C$119,2,1)</f>
        <v>Cups Single</v>
      </c>
      <c r="E3378" t="str">
        <f>VLOOKUP(A3378,Panels!$A$1:$E$2104,5,0)</f>
        <v>Whitton Burn</v>
      </c>
    </row>
    <row r="3379">
      <c r="A3379" s="3">
        <v>1233.0</v>
      </c>
      <c r="B3379" s="3">
        <v>13.0</v>
      </c>
      <c r="C3379" s="3">
        <v>2.0</v>
      </c>
      <c r="D3379" t="str">
        <f>VLOOKUP(B3379,ERA_MOTIF_TYPES.csv!$A$1:$C$119,2,1)</f>
        <v>Single Ring + cup</v>
      </c>
      <c r="E3379" t="str">
        <f>VLOOKUP(A3379,Panels!$A$1:$E$2104,5,0)</f>
        <v>Whitton Burn</v>
      </c>
    </row>
    <row r="3380">
      <c r="A3380" s="3">
        <v>1233.0</v>
      </c>
      <c r="B3380" s="3">
        <v>52.0</v>
      </c>
      <c r="C3380" s="3">
        <v>15.0</v>
      </c>
      <c r="D3380" t="str">
        <f>VLOOKUP(B3380,ERA_MOTIF_TYPES.csv!$A$1:$C$119,2,1)</f>
        <v>Single or multiple cups</v>
      </c>
      <c r="E3380" t="str">
        <f>VLOOKUP(A3380,Panels!$A$1:$E$2104,5,0)</f>
        <v>Whitton Burn</v>
      </c>
    </row>
    <row r="3381">
      <c r="A3381" s="3">
        <v>1233.0</v>
      </c>
      <c r="B3381" s="3">
        <v>57.0</v>
      </c>
      <c r="C3381" s="3">
        <v>2.0</v>
      </c>
      <c r="D3381" t="str">
        <f>VLOOKUP(B3381,ERA_MOTIF_TYPES.csv!$A$1:$C$119,2,1)</f>
        <v>Cup and ring</v>
      </c>
      <c r="E3381" t="str">
        <f>VLOOKUP(A3381,Panels!$A$1:$E$2104,5,0)</f>
        <v>Whitton Burn</v>
      </c>
    </row>
    <row r="3382">
      <c r="A3382" s="3">
        <v>1234.0</v>
      </c>
      <c r="B3382" s="3">
        <v>1.0</v>
      </c>
      <c r="C3382" s="3">
        <v>15.0</v>
      </c>
      <c r="D3382" t="str">
        <f>VLOOKUP(B3382,ERA_MOTIF_TYPES.csv!$A$1:$C$119,2,1)</f>
        <v>Cups Single</v>
      </c>
      <c r="E3382" t="str">
        <f>VLOOKUP(A3382,Panels!$A$1:$E$2104,5,0)</f>
        <v>North Lordenshaw</v>
      </c>
    </row>
    <row r="3383">
      <c r="A3383" s="3">
        <v>1234.0</v>
      </c>
      <c r="B3383" s="3">
        <v>4.0</v>
      </c>
      <c r="C3383" s="3">
        <v>3.0</v>
      </c>
      <c r="D3383" t="str">
        <f>VLOOKUP(B3383,ERA_MOTIF_TYPES.csv!$A$1:$C$119,2,1)</f>
        <v>Counter-sunk</v>
      </c>
      <c r="E3383" t="str">
        <f>VLOOKUP(A3383,Panels!$A$1:$E$2104,5,0)</f>
        <v>North Lordenshaw</v>
      </c>
    </row>
    <row r="3384">
      <c r="A3384" s="3">
        <v>1234.0</v>
      </c>
      <c r="B3384" s="3">
        <v>27.0</v>
      </c>
      <c r="C3384" s="3">
        <v>7.0</v>
      </c>
      <c r="D3384" t="str">
        <f>VLOOKUP(B3384,ERA_MOTIF_TYPES.csv!$A$1:$C$119,2,1)</f>
        <v>Serpentine</v>
      </c>
      <c r="E3384" t="str">
        <f>VLOOKUP(A3384,Panels!$A$1:$E$2104,5,0)</f>
        <v>North Lordenshaw</v>
      </c>
    </row>
    <row r="3385">
      <c r="A3385" s="3">
        <v>1234.0</v>
      </c>
      <c r="B3385" s="3">
        <v>51.0</v>
      </c>
      <c r="C3385" s="3">
        <v>2.0</v>
      </c>
      <c r="D3385" t="str">
        <f>VLOOKUP(B3385,ERA_MOTIF_TYPES.csv!$A$1:$C$119,2,1)</f>
        <v>Bowls</v>
      </c>
      <c r="E3385" t="str">
        <f>VLOOKUP(A3385,Panels!$A$1:$E$2104,5,0)</f>
        <v>North Lordenshaw</v>
      </c>
    </row>
    <row r="3386">
      <c r="A3386" s="3">
        <v>1234.0</v>
      </c>
      <c r="B3386" s="3">
        <v>52.0</v>
      </c>
      <c r="C3386" s="3">
        <v>39.0</v>
      </c>
      <c r="D3386" t="str">
        <f>VLOOKUP(B3386,ERA_MOTIF_TYPES.csv!$A$1:$C$119,2,1)</f>
        <v>Single or multiple cups</v>
      </c>
      <c r="E3386" t="str">
        <f>VLOOKUP(A3386,Panels!$A$1:$E$2104,5,0)</f>
        <v>North Lordenshaw</v>
      </c>
    </row>
    <row r="3387">
      <c r="A3387" s="3">
        <v>1234.0</v>
      </c>
      <c r="B3387" s="3">
        <v>57.0</v>
      </c>
      <c r="C3387" s="3">
        <v>1.0</v>
      </c>
      <c r="D3387" t="str">
        <f>VLOOKUP(B3387,ERA_MOTIF_TYPES.csv!$A$1:$C$119,2,1)</f>
        <v>Cup and ring</v>
      </c>
      <c r="E3387" t="str">
        <f>VLOOKUP(A3387,Panels!$A$1:$E$2104,5,0)</f>
        <v>North Lordenshaw</v>
      </c>
    </row>
    <row r="3388">
      <c r="A3388" s="3">
        <v>1234.0</v>
      </c>
      <c r="B3388" s="3">
        <v>61.0</v>
      </c>
      <c r="C3388" s="3">
        <v>3.0</v>
      </c>
      <c r="D3388" t="str">
        <f>VLOOKUP(B3388,ERA_MOTIF_TYPES.csv!$A$1:$C$119,2,1)</f>
        <v>Cup and arc (or semi-ovoid)</v>
      </c>
      <c r="E3388" t="str">
        <f>VLOOKUP(A3388,Panels!$A$1:$E$2104,5,0)</f>
        <v>North Lordenshaw</v>
      </c>
    </row>
    <row r="3389">
      <c r="A3389" s="3">
        <v>1234.0</v>
      </c>
      <c r="B3389" s="3">
        <v>94.0</v>
      </c>
      <c r="C3389" s="3">
        <v>1.0</v>
      </c>
      <c r="D3389" t="str">
        <f>VLOOKUP(B3389,ERA_MOTIF_TYPES.csv!$A$1:$C$119,2,1)</f>
        <v>Basin</v>
      </c>
      <c r="E3389" t="str">
        <f>VLOOKUP(A3389,Panels!$A$1:$E$2104,5,0)</f>
        <v>North Lordenshaw</v>
      </c>
    </row>
    <row r="3390">
      <c r="A3390" s="3">
        <v>1234.0</v>
      </c>
      <c r="B3390" s="3">
        <v>106.0</v>
      </c>
      <c r="C3390" s="3">
        <v>7.0</v>
      </c>
      <c r="D3390" t="str">
        <f>VLOOKUP(B3390,ERA_MOTIF_TYPES.csv!$A$1:$C$119,2,1)</f>
        <v>Long groove</v>
      </c>
      <c r="E3390" t="str">
        <f>VLOOKUP(A3390,Panels!$A$1:$E$2104,5,0)</f>
        <v>North Lordenshaw</v>
      </c>
    </row>
    <row r="3391">
      <c r="A3391" s="3">
        <v>1235.0</v>
      </c>
      <c r="B3391" s="3">
        <v>1.0</v>
      </c>
      <c r="C3391" s="3">
        <v>1.0</v>
      </c>
      <c r="D3391" t="str">
        <f>VLOOKUP(B3391,ERA_MOTIF_TYPES.csv!$A$1:$C$119,2,1)</f>
        <v>Cups Single</v>
      </c>
      <c r="E3391" t="str">
        <f>VLOOKUP(A3391,Panels!$A$1:$E$2104,5,0)</f>
        <v>North Lordenshaw</v>
      </c>
    </row>
    <row r="3392">
      <c r="A3392" s="3">
        <v>1235.0</v>
      </c>
      <c r="B3392" s="3">
        <v>52.0</v>
      </c>
      <c r="C3392" s="3">
        <v>16.0</v>
      </c>
      <c r="D3392" t="str">
        <f>VLOOKUP(B3392,ERA_MOTIF_TYPES.csv!$A$1:$C$119,2,1)</f>
        <v>Single or multiple cups</v>
      </c>
      <c r="E3392" t="str">
        <f>VLOOKUP(A3392,Panels!$A$1:$E$2104,5,0)</f>
        <v>North Lordenshaw</v>
      </c>
    </row>
    <row r="3393">
      <c r="A3393" s="3">
        <v>1236.0</v>
      </c>
      <c r="B3393" s="3">
        <v>1.0</v>
      </c>
      <c r="C3393" s="3">
        <v>7.0</v>
      </c>
      <c r="D3393" t="str">
        <f>VLOOKUP(B3393,ERA_MOTIF_TYPES.csv!$A$1:$C$119,2,1)</f>
        <v>Cups Single</v>
      </c>
      <c r="E3393" t="str">
        <f>VLOOKUP(A3393,Panels!$A$1:$E$2104,5,0)</f>
        <v>North Lordenshaw</v>
      </c>
    </row>
    <row r="3394">
      <c r="A3394" s="3">
        <v>1236.0</v>
      </c>
      <c r="B3394" s="3">
        <v>51.0</v>
      </c>
      <c r="C3394" s="3">
        <v>1.0</v>
      </c>
      <c r="D3394" t="str">
        <f>VLOOKUP(B3394,ERA_MOTIF_TYPES.csv!$A$1:$C$119,2,1)</f>
        <v>Bowls</v>
      </c>
      <c r="E3394" t="str">
        <f>VLOOKUP(A3394,Panels!$A$1:$E$2104,5,0)</f>
        <v>North Lordenshaw</v>
      </c>
    </row>
    <row r="3395">
      <c r="A3395" s="3">
        <v>1236.0</v>
      </c>
      <c r="B3395" s="3">
        <v>52.0</v>
      </c>
      <c r="C3395" s="3">
        <v>3.0</v>
      </c>
      <c r="D3395" t="str">
        <f>VLOOKUP(B3395,ERA_MOTIF_TYPES.csv!$A$1:$C$119,2,1)</f>
        <v>Single or multiple cups</v>
      </c>
      <c r="E3395" t="str">
        <f>VLOOKUP(A3395,Panels!$A$1:$E$2104,5,0)</f>
        <v>North Lordenshaw</v>
      </c>
    </row>
    <row r="3396">
      <c r="A3396" s="3">
        <v>1237.0</v>
      </c>
      <c r="B3396" s="3">
        <v>1.0</v>
      </c>
      <c r="C3396" s="3">
        <v>3.0</v>
      </c>
      <c r="D3396" t="str">
        <f>VLOOKUP(B3396,ERA_MOTIF_TYPES.csv!$A$1:$C$119,2,1)</f>
        <v>Cups Single</v>
      </c>
      <c r="E3396" t="str">
        <f>VLOOKUP(A3396,Panels!$A$1:$E$2104,5,0)</f>
        <v>North Lordenshaw</v>
      </c>
    </row>
    <row r="3397">
      <c r="A3397" s="3">
        <v>1237.0</v>
      </c>
      <c r="B3397" s="3">
        <v>52.0</v>
      </c>
      <c r="C3397" s="3">
        <v>16.0</v>
      </c>
      <c r="D3397" t="str">
        <f>VLOOKUP(B3397,ERA_MOTIF_TYPES.csv!$A$1:$C$119,2,1)</f>
        <v>Single or multiple cups</v>
      </c>
      <c r="E3397" t="str">
        <f>VLOOKUP(A3397,Panels!$A$1:$E$2104,5,0)</f>
        <v>North Lordenshaw</v>
      </c>
    </row>
    <row r="3398">
      <c r="A3398" s="3">
        <v>1238.0</v>
      </c>
      <c r="B3398" s="3">
        <v>1.0</v>
      </c>
      <c r="C3398" s="3">
        <v>3.0</v>
      </c>
      <c r="D3398" t="str">
        <f>VLOOKUP(B3398,ERA_MOTIF_TYPES.csv!$A$1:$C$119,2,1)</f>
        <v>Cups Single</v>
      </c>
      <c r="E3398" t="str">
        <f>VLOOKUP(A3398,Panels!$A$1:$E$2104,5,0)</f>
        <v>Whitton Burn</v>
      </c>
    </row>
    <row r="3399">
      <c r="A3399" s="3">
        <v>1238.0</v>
      </c>
      <c r="B3399" s="3">
        <v>52.0</v>
      </c>
      <c r="C3399" s="3">
        <v>2.0</v>
      </c>
      <c r="D3399" t="str">
        <f>VLOOKUP(B3399,ERA_MOTIF_TYPES.csv!$A$1:$C$119,2,1)</f>
        <v>Single or multiple cups</v>
      </c>
      <c r="E3399" t="str">
        <f>VLOOKUP(A3399,Panels!$A$1:$E$2104,5,0)</f>
        <v>Whitton Burn</v>
      </c>
    </row>
    <row r="3400">
      <c r="A3400" s="3">
        <v>1239.0</v>
      </c>
      <c r="B3400" s="3">
        <v>1.0</v>
      </c>
      <c r="C3400" s="3">
        <v>4.0</v>
      </c>
      <c r="D3400" t="str">
        <f>VLOOKUP(B3400,ERA_MOTIF_TYPES.csv!$A$1:$C$119,2,1)</f>
        <v>Cups Single</v>
      </c>
      <c r="E3400" t="str">
        <f>VLOOKUP(A3400,Panels!$A$1:$E$2104,5,0)</f>
        <v>Whitton Burn</v>
      </c>
    </row>
    <row r="3401">
      <c r="A3401" s="3">
        <v>1239.0</v>
      </c>
      <c r="B3401" s="3">
        <v>25.0</v>
      </c>
      <c r="C3401" s="3">
        <v>1.0</v>
      </c>
      <c r="D3401" t="str">
        <f>VLOOKUP(B3401,ERA_MOTIF_TYPES.csv!$A$1:$C$119,2,1)</f>
        <v>Linear</v>
      </c>
      <c r="E3401" t="str">
        <f>VLOOKUP(A3401,Panels!$A$1:$E$2104,5,0)</f>
        <v>Whitton Burn</v>
      </c>
    </row>
    <row r="3402">
      <c r="A3402" s="3">
        <v>1240.0</v>
      </c>
      <c r="B3402" s="3">
        <v>1.0</v>
      </c>
      <c r="C3402" s="3">
        <v>1.0</v>
      </c>
      <c r="D3402" t="str">
        <f>VLOOKUP(B3402,ERA_MOTIF_TYPES.csv!$A$1:$C$119,2,1)</f>
        <v>Cups Single</v>
      </c>
      <c r="E3402" t="str">
        <f>VLOOKUP(A3402,Panels!$A$1:$E$2104,5,0)</f>
        <v>North Lordenshaw</v>
      </c>
    </row>
    <row r="3403">
      <c r="A3403" s="3">
        <v>1240.0</v>
      </c>
      <c r="B3403" s="3">
        <v>2.0</v>
      </c>
      <c r="C3403" s="3">
        <v>2.0</v>
      </c>
      <c r="D3403" t="str">
        <f>VLOOKUP(B3403,ERA_MOTIF_TYPES.csv!$A$1:$C$119,2,1)</f>
        <v>Random Cluster</v>
      </c>
      <c r="E3403" t="str">
        <f>VLOOKUP(A3403,Panels!$A$1:$E$2104,5,0)</f>
        <v>North Lordenshaw</v>
      </c>
    </row>
    <row r="3404">
      <c r="A3404" s="3">
        <v>1240.0</v>
      </c>
      <c r="B3404" s="3">
        <v>52.0</v>
      </c>
      <c r="C3404" s="3">
        <v>16.0</v>
      </c>
      <c r="D3404" t="str">
        <f>VLOOKUP(B3404,ERA_MOTIF_TYPES.csv!$A$1:$C$119,2,1)</f>
        <v>Single or multiple cups</v>
      </c>
      <c r="E3404" t="str">
        <f>VLOOKUP(A3404,Panels!$A$1:$E$2104,5,0)</f>
        <v>North Lordenshaw</v>
      </c>
    </row>
    <row r="3405">
      <c r="A3405" s="3">
        <v>1241.0</v>
      </c>
      <c r="B3405" s="3">
        <v>1.0</v>
      </c>
      <c r="C3405" s="3">
        <v>3.0</v>
      </c>
      <c r="D3405" t="str">
        <f>VLOOKUP(B3405,ERA_MOTIF_TYPES.csv!$A$1:$C$119,2,1)</f>
        <v>Cups Single</v>
      </c>
      <c r="E3405" t="str">
        <f>VLOOKUP(A3405,Panels!$A$1:$E$2104,5,0)</f>
        <v>North Lordenshaw</v>
      </c>
    </row>
    <row r="3406">
      <c r="A3406" s="3">
        <v>1241.0</v>
      </c>
      <c r="B3406" s="3">
        <v>51.0</v>
      </c>
      <c r="C3406" s="3">
        <v>1.0</v>
      </c>
      <c r="D3406" t="str">
        <f>VLOOKUP(B3406,ERA_MOTIF_TYPES.csv!$A$1:$C$119,2,1)</f>
        <v>Bowls</v>
      </c>
      <c r="E3406" t="str">
        <f>VLOOKUP(A3406,Panels!$A$1:$E$2104,5,0)</f>
        <v>North Lordenshaw</v>
      </c>
    </row>
    <row r="3407">
      <c r="A3407" s="3">
        <v>1241.0</v>
      </c>
      <c r="B3407" s="3">
        <v>52.0</v>
      </c>
      <c r="C3407" s="3">
        <v>4.0</v>
      </c>
      <c r="D3407" t="str">
        <f>VLOOKUP(B3407,ERA_MOTIF_TYPES.csv!$A$1:$C$119,2,1)</f>
        <v>Single or multiple cups</v>
      </c>
      <c r="E3407" t="str">
        <f>VLOOKUP(A3407,Panels!$A$1:$E$2104,5,0)</f>
        <v>North Lordenshaw</v>
      </c>
    </row>
    <row r="3408">
      <c r="A3408" s="3">
        <v>1242.0</v>
      </c>
      <c r="B3408" s="3">
        <v>1.0</v>
      </c>
      <c r="C3408" s="3">
        <v>1.0</v>
      </c>
      <c r="D3408" t="str">
        <f>VLOOKUP(B3408,ERA_MOTIF_TYPES.csv!$A$1:$C$119,2,1)</f>
        <v>Cups Single</v>
      </c>
      <c r="E3408" t="str">
        <f>VLOOKUP(A3408,Panels!$A$1:$E$2104,5,0)</f>
        <v>North Lordenshaw</v>
      </c>
    </row>
    <row r="3409">
      <c r="A3409" s="3">
        <v>1243.0</v>
      </c>
      <c r="B3409" s="3">
        <v>1.0</v>
      </c>
      <c r="C3409" s="3">
        <v>80.0</v>
      </c>
      <c r="D3409" t="str">
        <f>VLOOKUP(B3409,ERA_MOTIF_TYPES.csv!$A$1:$C$119,2,1)</f>
        <v>Cups Single</v>
      </c>
      <c r="E3409" t="str">
        <f>VLOOKUP(A3409,Panels!$A$1:$E$2104,5,0)</f>
        <v>North Lordenshaw</v>
      </c>
    </row>
    <row r="3410">
      <c r="A3410" s="3">
        <v>1243.0</v>
      </c>
      <c r="B3410" s="3">
        <v>13.0</v>
      </c>
      <c r="C3410" s="3">
        <v>1.0</v>
      </c>
      <c r="D3410" t="str">
        <f>VLOOKUP(B3410,ERA_MOTIF_TYPES.csv!$A$1:$C$119,2,1)</f>
        <v>Single Ring + cup</v>
      </c>
      <c r="E3410" t="str">
        <f>VLOOKUP(A3410,Panels!$A$1:$E$2104,5,0)</f>
        <v>North Lordenshaw</v>
      </c>
    </row>
    <row r="3411">
      <c r="A3411" s="3">
        <v>1243.0</v>
      </c>
      <c r="B3411" s="3">
        <v>25.0</v>
      </c>
      <c r="C3411" s="3">
        <v>8.0</v>
      </c>
      <c r="D3411" t="str">
        <f>VLOOKUP(B3411,ERA_MOTIF_TYPES.csv!$A$1:$C$119,2,1)</f>
        <v>Linear</v>
      </c>
      <c r="E3411" t="str">
        <f>VLOOKUP(A3411,Panels!$A$1:$E$2104,5,0)</f>
        <v>North Lordenshaw</v>
      </c>
    </row>
    <row r="3412">
      <c r="A3412" s="3">
        <v>1243.0</v>
      </c>
      <c r="B3412" s="3">
        <v>31.0</v>
      </c>
      <c r="C3412" s="3">
        <v>8.0</v>
      </c>
      <c r="D3412" t="str">
        <f>VLOOKUP(B3412,ERA_MOTIF_TYPES.csv!$A$1:$C$119,2,1)</f>
        <v>Cup and Groove</v>
      </c>
      <c r="E3412" t="str">
        <f>VLOOKUP(A3412,Panels!$A$1:$E$2104,5,0)</f>
        <v>North Lordenshaw</v>
      </c>
    </row>
    <row r="3413">
      <c r="A3413" s="3">
        <v>1243.0</v>
      </c>
      <c r="B3413" s="3">
        <v>52.0</v>
      </c>
      <c r="C3413" s="3">
        <v>49.0</v>
      </c>
      <c r="D3413" t="str">
        <f>VLOOKUP(B3413,ERA_MOTIF_TYPES.csv!$A$1:$C$119,2,1)</f>
        <v>Single or multiple cups</v>
      </c>
      <c r="E3413" t="str">
        <f>VLOOKUP(A3413,Panels!$A$1:$E$2104,5,0)</f>
        <v>North Lordenshaw</v>
      </c>
    </row>
    <row r="3414">
      <c r="A3414" s="3">
        <v>1243.0</v>
      </c>
      <c r="B3414" s="3">
        <v>61.0</v>
      </c>
      <c r="C3414" s="3">
        <v>2.0</v>
      </c>
      <c r="D3414" t="str">
        <f>VLOOKUP(B3414,ERA_MOTIF_TYPES.csv!$A$1:$C$119,2,1)</f>
        <v>Cup and arc (or semi-ovoid)</v>
      </c>
      <c r="E3414" t="str">
        <f>VLOOKUP(A3414,Panels!$A$1:$E$2104,5,0)</f>
        <v>North Lordenshaw</v>
      </c>
    </row>
    <row r="3415">
      <c r="A3415" s="3">
        <v>1243.0</v>
      </c>
      <c r="B3415" s="3">
        <v>87.0</v>
      </c>
      <c r="C3415" s="3">
        <v>3.0</v>
      </c>
      <c r="D3415" t="str">
        <f>VLOOKUP(B3415,ERA_MOTIF_TYPES.csv!$A$1:$C$119,2,1)</f>
        <v>Linear and angular groove</v>
      </c>
      <c r="E3415" t="str">
        <f>VLOOKUP(A3415,Panels!$A$1:$E$2104,5,0)</f>
        <v>North Lordenshaw</v>
      </c>
    </row>
    <row r="3416">
      <c r="A3416" s="3">
        <v>1243.0</v>
      </c>
      <c r="B3416" s="3">
        <v>103.0</v>
      </c>
      <c r="C3416" s="3">
        <v>4.0</v>
      </c>
      <c r="D3416" t="str">
        <f>VLOOKUP(B3416,ERA_MOTIF_TYPES.csv!$A$1:$C$119,2,1)</f>
        <v>Cup and groove</v>
      </c>
      <c r="E3416" t="str">
        <f>VLOOKUP(A3416,Panels!$A$1:$E$2104,5,0)</f>
        <v>North Lordenshaw</v>
      </c>
    </row>
    <row r="3417">
      <c r="A3417" s="3">
        <v>1243.0</v>
      </c>
      <c r="B3417" s="3">
        <v>105.0</v>
      </c>
      <c r="C3417" s="3">
        <v>2.0</v>
      </c>
      <c r="D3417" t="str">
        <f>VLOOKUP(B3417,ERA_MOTIF_TYPES.csv!$A$1:$C$119,2,1)</f>
        <v>Two cups linked by a groove</v>
      </c>
      <c r="E3417" t="str">
        <f>VLOOKUP(A3417,Panels!$A$1:$E$2104,5,0)</f>
        <v>North Lordenshaw</v>
      </c>
    </row>
    <row r="3418">
      <c r="A3418" s="3">
        <v>1243.0</v>
      </c>
      <c r="B3418" s="3">
        <v>106.0</v>
      </c>
      <c r="C3418" s="3">
        <v>8.0</v>
      </c>
      <c r="D3418" t="str">
        <f>VLOOKUP(B3418,ERA_MOTIF_TYPES.csv!$A$1:$C$119,2,1)</f>
        <v>Long groove</v>
      </c>
      <c r="E3418" t="str">
        <f>VLOOKUP(A3418,Panels!$A$1:$E$2104,5,0)</f>
        <v>North Lordenshaw</v>
      </c>
    </row>
    <row r="3419">
      <c r="A3419" s="3">
        <v>1244.0</v>
      </c>
      <c r="B3419" s="3">
        <v>1.0</v>
      </c>
      <c r="C3419" s="3">
        <v>2.0</v>
      </c>
      <c r="D3419" t="str">
        <f>VLOOKUP(B3419,ERA_MOTIF_TYPES.csv!$A$1:$C$119,2,1)</f>
        <v>Cups Single</v>
      </c>
      <c r="E3419" t="str">
        <f>VLOOKUP(A3419,Panels!$A$1:$E$2104,5,0)</f>
        <v>North Lordenshaw</v>
      </c>
    </row>
    <row r="3420">
      <c r="A3420" s="3">
        <v>1244.0</v>
      </c>
      <c r="B3420" s="3">
        <v>52.0</v>
      </c>
      <c r="C3420" s="3">
        <v>2.0</v>
      </c>
      <c r="D3420" t="str">
        <f>VLOOKUP(B3420,ERA_MOTIF_TYPES.csv!$A$1:$C$119,2,1)</f>
        <v>Single or multiple cups</v>
      </c>
      <c r="E3420" t="str">
        <f>VLOOKUP(A3420,Panels!$A$1:$E$2104,5,0)</f>
        <v>North Lordenshaw</v>
      </c>
    </row>
    <row r="3421">
      <c r="A3421" s="3">
        <v>1245.0</v>
      </c>
      <c r="B3421" s="3">
        <v>1.0</v>
      </c>
      <c r="C3421" s="3">
        <v>23.0</v>
      </c>
      <c r="D3421" t="str">
        <f>VLOOKUP(B3421,ERA_MOTIF_TYPES.csv!$A$1:$C$119,2,1)</f>
        <v>Cups Single</v>
      </c>
      <c r="E3421" t="str">
        <f>VLOOKUP(A3421,Panels!$A$1:$E$2104,5,0)</f>
        <v>North Lordenshaw</v>
      </c>
    </row>
    <row r="3422">
      <c r="A3422" s="3">
        <v>1245.0</v>
      </c>
      <c r="B3422" s="3">
        <v>31.0</v>
      </c>
      <c r="C3422" s="3">
        <v>1.0</v>
      </c>
      <c r="D3422" t="str">
        <f>VLOOKUP(B3422,ERA_MOTIF_TYPES.csv!$A$1:$C$119,2,1)</f>
        <v>Cup and Groove</v>
      </c>
      <c r="E3422" t="str">
        <f>VLOOKUP(A3422,Panels!$A$1:$E$2104,5,0)</f>
        <v>North Lordenshaw</v>
      </c>
    </row>
    <row r="3423">
      <c r="A3423" s="3">
        <v>1245.0</v>
      </c>
      <c r="B3423" s="3">
        <v>32.0</v>
      </c>
      <c r="C3423" s="3">
        <v>1.0</v>
      </c>
      <c r="D3423" t="str">
        <f>VLOOKUP(B3423,ERA_MOTIF_TYPES.csv!$A$1:$C$119,2,1)</f>
        <v>Cup Groove and single ring</v>
      </c>
      <c r="E3423" t="str">
        <f>VLOOKUP(A3423,Panels!$A$1:$E$2104,5,0)</f>
        <v>North Lordenshaw</v>
      </c>
    </row>
    <row r="3424">
      <c r="A3424" s="3">
        <v>1245.0</v>
      </c>
      <c r="B3424" s="3">
        <v>52.0</v>
      </c>
      <c r="C3424" s="3">
        <v>23.0</v>
      </c>
      <c r="D3424" t="str">
        <f>VLOOKUP(B3424,ERA_MOTIF_TYPES.csv!$A$1:$C$119,2,1)</f>
        <v>Single or multiple cups</v>
      </c>
      <c r="E3424" t="str">
        <f>VLOOKUP(A3424,Panels!$A$1:$E$2104,5,0)</f>
        <v>North Lordenshaw</v>
      </c>
    </row>
    <row r="3425">
      <c r="A3425" s="3">
        <v>1245.0</v>
      </c>
      <c r="B3425" s="3">
        <v>103.0</v>
      </c>
      <c r="C3425" s="3">
        <v>1.0</v>
      </c>
      <c r="D3425" t="str">
        <f>VLOOKUP(B3425,ERA_MOTIF_TYPES.csv!$A$1:$C$119,2,1)</f>
        <v>Cup and groove</v>
      </c>
      <c r="E3425" t="str">
        <f>VLOOKUP(A3425,Panels!$A$1:$E$2104,5,0)</f>
        <v>North Lordenshaw</v>
      </c>
    </row>
    <row r="3426">
      <c r="A3426" s="3">
        <v>1245.0</v>
      </c>
      <c r="B3426" s="3">
        <v>107.0</v>
      </c>
      <c r="C3426" s="3">
        <v>2.0</v>
      </c>
      <c r="D3426" t="str">
        <f>VLOOKUP(B3426,ERA_MOTIF_TYPES.csv!$A$1:$C$119,2,1)</f>
        <v>Cup and ring with exterior groove</v>
      </c>
      <c r="E3426" t="str">
        <f>VLOOKUP(A3426,Panels!$A$1:$E$2104,5,0)</f>
        <v>North Lordenshaw</v>
      </c>
    </row>
    <row r="3427">
      <c r="A3427" s="3">
        <v>1246.0</v>
      </c>
      <c r="B3427" s="3">
        <v>1.0</v>
      </c>
      <c r="C3427" s="3">
        <v>5.0</v>
      </c>
      <c r="D3427" t="str">
        <f>VLOOKUP(B3427,ERA_MOTIF_TYPES.csv!$A$1:$C$119,2,1)</f>
        <v>Cups Single</v>
      </c>
      <c r="E3427" t="str">
        <f>VLOOKUP(A3427,Panels!$A$1:$E$2104,5,0)</f>
        <v>North Lordenshaw</v>
      </c>
    </row>
    <row r="3428">
      <c r="A3428" s="3">
        <v>1246.0</v>
      </c>
      <c r="B3428" s="3">
        <v>25.0</v>
      </c>
      <c r="C3428" s="3">
        <v>2.0</v>
      </c>
      <c r="D3428" t="str">
        <f>VLOOKUP(B3428,ERA_MOTIF_TYPES.csv!$A$1:$C$119,2,1)</f>
        <v>Linear</v>
      </c>
      <c r="E3428" t="str">
        <f>VLOOKUP(A3428,Panels!$A$1:$E$2104,5,0)</f>
        <v>North Lordenshaw</v>
      </c>
    </row>
    <row r="3429">
      <c r="A3429" s="3">
        <v>1246.0</v>
      </c>
      <c r="B3429" s="3">
        <v>52.0</v>
      </c>
      <c r="C3429" s="3">
        <v>2.0</v>
      </c>
      <c r="D3429" t="str">
        <f>VLOOKUP(B3429,ERA_MOTIF_TYPES.csv!$A$1:$C$119,2,1)</f>
        <v>Single or multiple cups</v>
      </c>
      <c r="E3429" t="str">
        <f>VLOOKUP(A3429,Panels!$A$1:$E$2104,5,0)</f>
        <v>North Lordenshaw</v>
      </c>
    </row>
    <row r="3430">
      <c r="A3430" s="3">
        <v>1247.0</v>
      </c>
      <c r="B3430" s="3">
        <v>1.0</v>
      </c>
      <c r="C3430" s="3">
        <v>3.0</v>
      </c>
      <c r="D3430" t="str">
        <f>VLOOKUP(B3430,ERA_MOTIF_TYPES.csv!$A$1:$C$119,2,1)</f>
        <v>Cups Single</v>
      </c>
      <c r="E3430" t="str">
        <f>VLOOKUP(A3430,Panels!$A$1:$E$2104,5,0)</f>
        <v>North Lordenshaw</v>
      </c>
    </row>
    <row r="3431">
      <c r="A3431" s="3">
        <v>1247.0</v>
      </c>
      <c r="B3431" s="3">
        <v>52.0</v>
      </c>
      <c r="C3431" s="3">
        <v>3.0</v>
      </c>
      <c r="D3431" t="str">
        <f>VLOOKUP(B3431,ERA_MOTIF_TYPES.csv!$A$1:$C$119,2,1)</f>
        <v>Single or multiple cups</v>
      </c>
      <c r="E3431" t="str">
        <f>VLOOKUP(A3431,Panels!$A$1:$E$2104,5,0)</f>
        <v>North Lordenshaw</v>
      </c>
    </row>
    <row r="3432">
      <c r="A3432" s="3">
        <v>1248.0</v>
      </c>
      <c r="B3432" s="3">
        <v>1.0</v>
      </c>
      <c r="C3432" s="3">
        <v>5.0</v>
      </c>
      <c r="D3432" t="str">
        <f>VLOOKUP(B3432,ERA_MOTIF_TYPES.csv!$A$1:$C$119,2,1)</f>
        <v>Cups Single</v>
      </c>
      <c r="E3432" t="str">
        <f>VLOOKUP(A3432,Panels!$A$1:$E$2104,5,0)</f>
        <v>North Lordenshaw</v>
      </c>
    </row>
    <row r="3433">
      <c r="A3433" s="3">
        <v>1248.0</v>
      </c>
      <c r="B3433" s="3">
        <v>52.0</v>
      </c>
      <c r="C3433" s="3">
        <v>8.0</v>
      </c>
      <c r="D3433" t="str">
        <f>VLOOKUP(B3433,ERA_MOTIF_TYPES.csv!$A$1:$C$119,2,1)</f>
        <v>Single or multiple cups</v>
      </c>
      <c r="E3433" t="str">
        <f>VLOOKUP(A3433,Panels!$A$1:$E$2104,5,0)</f>
        <v>North Lordenshaw</v>
      </c>
    </row>
    <row r="3434">
      <c r="A3434" s="3">
        <v>1248.0</v>
      </c>
      <c r="B3434" s="3">
        <v>93.0</v>
      </c>
      <c r="C3434" s="3">
        <v>2.0</v>
      </c>
      <c r="D3434" t="str">
        <f>VLOOKUP(B3434,ERA_MOTIF_TYPES.csv!$A$1:$C$119,2,1)</f>
        <v>Midget cup</v>
      </c>
      <c r="E3434" t="str">
        <f>VLOOKUP(A3434,Panels!$A$1:$E$2104,5,0)</f>
        <v>North Lordenshaw</v>
      </c>
    </row>
    <row r="3435">
      <c r="A3435" s="3">
        <v>1249.0</v>
      </c>
      <c r="B3435" s="3">
        <v>1.0</v>
      </c>
      <c r="C3435" s="3">
        <v>6.0</v>
      </c>
      <c r="D3435" t="str">
        <f>VLOOKUP(B3435,ERA_MOTIF_TYPES.csv!$A$1:$C$119,2,1)</f>
        <v>Cups Single</v>
      </c>
      <c r="E3435" t="str">
        <f>VLOOKUP(A3435,Panels!$A$1:$E$2104,5,0)</f>
        <v>North Lordenshaw</v>
      </c>
    </row>
    <row r="3436">
      <c r="A3436" s="3">
        <v>1249.0</v>
      </c>
      <c r="B3436" s="3">
        <v>25.0</v>
      </c>
      <c r="C3436" s="3">
        <v>1.0</v>
      </c>
      <c r="D3436" t="str">
        <f>VLOOKUP(B3436,ERA_MOTIF_TYPES.csv!$A$1:$C$119,2,1)</f>
        <v>Linear</v>
      </c>
      <c r="E3436" t="str">
        <f>VLOOKUP(A3436,Panels!$A$1:$E$2104,5,0)</f>
        <v>North Lordenshaw</v>
      </c>
    </row>
    <row r="3437">
      <c r="A3437" s="3">
        <v>1249.0</v>
      </c>
      <c r="B3437" s="3">
        <v>31.0</v>
      </c>
      <c r="C3437" s="3">
        <v>2.0</v>
      </c>
      <c r="D3437" t="str">
        <f>VLOOKUP(B3437,ERA_MOTIF_TYPES.csv!$A$1:$C$119,2,1)</f>
        <v>Cup and Groove</v>
      </c>
      <c r="E3437" t="str">
        <f>VLOOKUP(A3437,Panels!$A$1:$E$2104,5,0)</f>
        <v>North Lordenshaw</v>
      </c>
    </row>
    <row r="3438">
      <c r="A3438" s="3">
        <v>1249.0</v>
      </c>
      <c r="B3438" s="3">
        <v>52.0</v>
      </c>
      <c r="C3438" s="3">
        <v>4.0</v>
      </c>
      <c r="D3438" t="str">
        <f>VLOOKUP(B3438,ERA_MOTIF_TYPES.csv!$A$1:$C$119,2,1)</f>
        <v>Single or multiple cups</v>
      </c>
      <c r="E3438" t="str">
        <f>VLOOKUP(A3438,Panels!$A$1:$E$2104,5,0)</f>
        <v>North Lordenshaw</v>
      </c>
    </row>
    <row r="3439">
      <c r="A3439" s="3">
        <v>1249.0</v>
      </c>
      <c r="B3439" s="3">
        <v>93.0</v>
      </c>
      <c r="C3439" s="3">
        <v>3.0</v>
      </c>
      <c r="D3439" t="str">
        <f>VLOOKUP(B3439,ERA_MOTIF_TYPES.csv!$A$1:$C$119,2,1)</f>
        <v>Midget cup</v>
      </c>
      <c r="E3439" t="str">
        <f>VLOOKUP(A3439,Panels!$A$1:$E$2104,5,0)</f>
        <v>North Lordenshaw</v>
      </c>
    </row>
    <row r="3440">
      <c r="A3440" s="3">
        <v>1250.0</v>
      </c>
      <c r="B3440" s="3">
        <v>1.0</v>
      </c>
      <c r="C3440" s="3">
        <v>8.0</v>
      </c>
      <c r="D3440" t="str">
        <f>VLOOKUP(B3440,ERA_MOTIF_TYPES.csv!$A$1:$C$119,2,1)</f>
        <v>Cups Single</v>
      </c>
      <c r="E3440" t="str">
        <f>VLOOKUP(A3440,Panels!$A$1:$E$2104,5,0)</f>
        <v>Whitton Burn</v>
      </c>
    </row>
    <row r="3441">
      <c r="A3441" s="3">
        <v>1251.0</v>
      </c>
      <c r="B3441" s="3">
        <v>1.0</v>
      </c>
      <c r="C3441" s="3">
        <v>1.0</v>
      </c>
      <c r="D3441" t="str">
        <f>VLOOKUP(B3441,ERA_MOTIF_TYPES.csv!$A$1:$C$119,2,1)</f>
        <v>Cups Single</v>
      </c>
      <c r="E3441" t="str">
        <f>VLOOKUP(A3441,Panels!$A$1:$E$2104,5,0)</f>
        <v>Whitton Burn</v>
      </c>
    </row>
    <row r="3442">
      <c r="A3442" s="3">
        <v>1252.0</v>
      </c>
      <c r="B3442" s="3">
        <v>52.0</v>
      </c>
      <c r="C3442" s="3">
        <v>7.0</v>
      </c>
      <c r="D3442" t="str">
        <f>VLOOKUP(B3442,ERA_MOTIF_TYPES.csv!$A$1:$C$119,2,1)</f>
        <v>Single or multiple cups</v>
      </c>
      <c r="E3442" t="str">
        <f>VLOOKUP(A3442,Panels!$A$1:$E$2104,5,0)</f>
        <v>North Lordenshaw</v>
      </c>
    </row>
    <row r="3443">
      <c r="A3443" s="3">
        <v>1253.0</v>
      </c>
      <c r="B3443" s="3">
        <v>1.0</v>
      </c>
      <c r="C3443" s="3">
        <v>3.0</v>
      </c>
      <c r="D3443" t="str">
        <f>VLOOKUP(B3443,ERA_MOTIF_TYPES.csv!$A$1:$C$119,2,1)</f>
        <v>Cups Single</v>
      </c>
      <c r="E3443" t="str">
        <f>VLOOKUP(A3443,Panels!$A$1:$E$2104,5,0)</f>
        <v>North Lordenshaw</v>
      </c>
    </row>
    <row r="3444">
      <c r="A3444" s="3">
        <v>1253.0</v>
      </c>
      <c r="B3444" s="3">
        <v>25.0</v>
      </c>
      <c r="C3444" s="3">
        <v>1.0</v>
      </c>
      <c r="D3444" t="str">
        <f>VLOOKUP(B3444,ERA_MOTIF_TYPES.csv!$A$1:$C$119,2,1)</f>
        <v>Linear</v>
      </c>
      <c r="E3444" t="str">
        <f>VLOOKUP(A3444,Panels!$A$1:$E$2104,5,0)</f>
        <v>North Lordenshaw</v>
      </c>
    </row>
    <row r="3445">
      <c r="A3445" s="3">
        <v>1253.0</v>
      </c>
      <c r="B3445" s="3">
        <v>52.0</v>
      </c>
      <c r="C3445" s="3">
        <v>3.0</v>
      </c>
      <c r="D3445" t="str">
        <f>VLOOKUP(B3445,ERA_MOTIF_TYPES.csv!$A$1:$C$119,2,1)</f>
        <v>Single or multiple cups</v>
      </c>
      <c r="E3445" t="str">
        <f>VLOOKUP(A3445,Panels!$A$1:$E$2104,5,0)</f>
        <v>North Lordenshaw</v>
      </c>
    </row>
    <row r="3446">
      <c r="A3446" s="3">
        <v>1253.0</v>
      </c>
      <c r="B3446" s="3">
        <v>67.0</v>
      </c>
      <c r="C3446" s="3">
        <v>1.0</v>
      </c>
      <c r="D3446" t="str">
        <f>VLOOKUP(B3446,ERA_MOTIF_TYPES.csv!$A$1:$C$119,2,1)</f>
        <v>Cup and groove with arc</v>
      </c>
      <c r="E3446" t="str">
        <f>VLOOKUP(A3446,Panels!$A$1:$E$2104,5,0)</f>
        <v>North Lordenshaw</v>
      </c>
    </row>
    <row r="3447">
      <c r="A3447" s="3">
        <v>1254.0</v>
      </c>
      <c r="B3447" s="3">
        <v>1.0</v>
      </c>
      <c r="C3447" s="3">
        <v>7.0</v>
      </c>
      <c r="D3447" t="str">
        <f>VLOOKUP(B3447,ERA_MOTIF_TYPES.csv!$A$1:$C$119,2,1)</f>
        <v>Cups Single</v>
      </c>
      <c r="E3447" t="str">
        <f>VLOOKUP(A3447,Panels!$A$1:$E$2104,5,0)</f>
        <v>North Lordenshaw</v>
      </c>
    </row>
    <row r="3448">
      <c r="A3448" s="3">
        <v>1256.0</v>
      </c>
      <c r="B3448" s="3">
        <v>1.0</v>
      </c>
      <c r="C3448" s="3">
        <v>10.0</v>
      </c>
      <c r="D3448" t="str">
        <f>VLOOKUP(B3448,ERA_MOTIF_TYPES.csv!$A$1:$C$119,2,1)</f>
        <v>Cups Single</v>
      </c>
      <c r="E3448" t="str">
        <f>VLOOKUP(A3448,Panels!$A$1:$E$2104,5,0)</f>
        <v>Simonside Moor</v>
      </c>
    </row>
    <row r="3449">
      <c r="A3449" s="3">
        <v>1256.0</v>
      </c>
      <c r="B3449" s="3">
        <v>2.0</v>
      </c>
      <c r="C3449" s="3">
        <v>1.0</v>
      </c>
      <c r="D3449" t="str">
        <f>VLOOKUP(B3449,ERA_MOTIF_TYPES.csv!$A$1:$C$119,2,1)</f>
        <v>Random Cluster</v>
      </c>
      <c r="E3449" t="str">
        <f>VLOOKUP(A3449,Panels!$A$1:$E$2104,5,0)</f>
        <v>Simonside Moor</v>
      </c>
    </row>
    <row r="3450">
      <c r="A3450" s="3">
        <v>1256.0</v>
      </c>
      <c r="B3450" s="3">
        <v>25.0</v>
      </c>
      <c r="C3450" s="3">
        <v>1.0</v>
      </c>
      <c r="D3450" t="str">
        <f>VLOOKUP(B3450,ERA_MOTIF_TYPES.csv!$A$1:$C$119,2,1)</f>
        <v>Linear</v>
      </c>
      <c r="E3450" t="str">
        <f>VLOOKUP(A3450,Panels!$A$1:$E$2104,5,0)</f>
        <v>Simonside Moor</v>
      </c>
    </row>
    <row r="3451">
      <c r="A3451" s="3">
        <v>1256.0</v>
      </c>
      <c r="B3451" s="3">
        <v>31.0</v>
      </c>
      <c r="C3451" s="3">
        <v>3.0</v>
      </c>
      <c r="D3451" t="str">
        <f>VLOOKUP(B3451,ERA_MOTIF_TYPES.csv!$A$1:$C$119,2,1)</f>
        <v>Cup and Groove</v>
      </c>
      <c r="E3451" t="str">
        <f>VLOOKUP(A3451,Panels!$A$1:$E$2104,5,0)</f>
        <v>Simonside Moor</v>
      </c>
    </row>
    <row r="3452">
      <c r="A3452" s="3">
        <v>1256.0</v>
      </c>
      <c r="B3452" s="3">
        <v>34.0</v>
      </c>
      <c r="C3452" s="3">
        <v>1.0</v>
      </c>
      <c r="D3452" t="str">
        <f>VLOOKUP(B3452,ERA_MOTIF_TYPES.csv!$A$1:$C$119,2,1)</f>
        <v>Cup Groove and penannular</v>
      </c>
      <c r="E3452" t="str">
        <f>VLOOKUP(A3452,Panels!$A$1:$E$2104,5,0)</f>
        <v>Simonside Moor</v>
      </c>
    </row>
    <row r="3453">
      <c r="A3453" s="3">
        <v>1256.0</v>
      </c>
      <c r="B3453" s="3">
        <v>52.0</v>
      </c>
      <c r="C3453" s="3">
        <v>16.0</v>
      </c>
      <c r="D3453" t="str">
        <f>VLOOKUP(B3453,ERA_MOTIF_TYPES.csv!$A$1:$C$119,2,1)</f>
        <v>Single or multiple cups</v>
      </c>
      <c r="E3453" t="str">
        <f>VLOOKUP(A3453,Panels!$A$1:$E$2104,5,0)</f>
        <v>Simonside Moor</v>
      </c>
    </row>
    <row r="3454">
      <c r="A3454" s="3">
        <v>1256.0</v>
      </c>
      <c r="B3454" s="3">
        <v>94.0</v>
      </c>
      <c r="C3454" s="3">
        <v>1.0</v>
      </c>
      <c r="D3454" t="str">
        <f>VLOOKUP(B3454,ERA_MOTIF_TYPES.csv!$A$1:$C$119,2,1)</f>
        <v>Basin</v>
      </c>
      <c r="E3454" t="str">
        <f>VLOOKUP(A3454,Panels!$A$1:$E$2104,5,0)</f>
        <v>Simonside Moor</v>
      </c>
    </row>
    <row r="3455">
      <c r="A3455" s="3">
        <v>1256.0</v>
      </c>
      <c r="B3455" s="3">
        <v>102.0</v>
      </c>
      <c r="C3455" s="3">
        <v>1.0</v>
      </c>
      <c r="D3455" t="str">
        <f>VLOOKUP(B3455,ERA_MOTIF_TYPES.csv!$A$1:$C$119,2,1)</f>
        <v>Crossed groove</v>
      </c>
      <c r="E3455" t="str">
        <f>VLOOKUP(A3455,Panels!$A$1:$E$2104,5,0)</f>
        <v>Simonside Moor</v>
      </c>
    </row>
    <row r="3456">
      <c r="A3456" s="3">
        <v>1256.0</v>
      </c>
      <c r="B3456" s="3">
        <v>105.0</v>
      </c>
      <c r="C3456" s="3">
        <v>2.0</v>
      </c>
      <c r="D3456" t="str">
        <f>VLOOKUP(B3456,ERA_MOTIF_TYPES.csv!$A$1:$C$119,2,1)</f>
        <v>Two cups linked by a groove</v>
      </c>
      <c r="E3456" t="str">
        <f>VLOOKUP(A3456,Panels!$A$1:$E$2104,5,0)</f>
        <v>Simonside Moor</v>
      </c>
    </row>
    <row r="3457">
      <c r="A3457" s="3">
        <v>1257.0</v>
      </c>
      <c r="B3457" s="3">
        <v>1.0</v>
      </c>
      <c r="C3457" s="3">
        <v>67.0</v>
      </c>
      <c r="D3457" t="str">
        <f>VLOOKUP(B3457,ERA_MOTIF_TYPES.csv!$A$1:$C$119,2,1)</f>
        <v>Cups Single</v>
      </c>
      <c r="E3457" t="str">
        <f>VLOOKUP(A3457,Panels!$A$1:$E$2104,5,0)</f>
        <v>East Lordenshaw</v>
      </c>
    </row>
    <row r="3458">
      <c r="A3458" s="3">
        <v>1257.0</v>
      </c>
      <c r="B3458" s="3">
        <v>13.0</v>
      </c>
      <c r="C3458" s="3">
        <v>1.0</v>
      </c>
      <c r="D3458" t="str">
        <f>VLOOKUP(B3458,ERA_MOTIF_TYPES.csv!$A$1:$C$119,2,1)</f>
        <v>Single Ring + cup</v>
      </c>
      <c r="E3458" t="str">
        <f>VLOOKUP(A3458,Panels!$A$1:$E$2104,5,0)</f>
        <v>East Lordenshaw</v>
      </c>
    </row>
    <row r="3459">
      <c r="A3459" s="3">
        <v>1257.0</v>
      </c>
      <c r="B3459" s="3">
        <v>16.0</v>
      </c>
      <c r="C3459" s="3">
        <v>4.0</v>
      </c>
      <c r="D3459" t="str">
        <f>VLOOKUP(B3459,ERA_MOTIF_TYPES.csv!$A$1:$C$119,2,1)</f>
        <v>Single Arc + cup</v>
      </c>
      <c r="E3459" t="str">
        <f>VLOOKUP(A3459,Panels!$A$1:$E$2104,5,0)</f>
        <v>East Lordenshaw</v>
      </c>
    </row>
    <row r="3460">
      <c r="A3460" s="3">
        <v>1257.0</v>
      </c>
      <c r="B3460" s="3">
        <v>51.0</v>
      </c>
      <c r="C3460" s="3">
        <v>1.0</v>
      </c>
      <c r="D3460" t="str">
        <f>VLOOKUP(B3460,ERA_MOTIF_TYPES.csv!$A$1:$C$119,2,1)</f>
        <v>Bowls</v>
      </c>
      <c r="E3460" t="str">
        <f>VLOOKUP(A3460,Panels!$A$1:$E$2104,5,0)</f>
        <v>East Lordenshaw</v>
      </c>
    </row>
    <row r="3461">
      <c r="A3461" s="3">
        <v>1257.0</v>
      </c>
      <c r="B3461" s="3">
        <v>52.0</v>
      </c>
      <c r="C3461" s="3">
        <v>25.0</v>
      </c>
      <c r="D3461" t="str">
        <f>VLOOKUP(B3461,ERA_MOTIF_TYPES.csv!$A$1:$C$119,2,1)</f>
        <v>Single or multiple cups</v>
      </c>
      <c r="E3461" t="str">
        <f>VLOOKUP(A3461,Panels!$A$1:$E$2104,5,0)</f>
        <v>East Lordenshaw</v>
      </c>
    </row>
    <row r="3462">
      <c r="A3462" s="3">
        <v>1257.0</v>
      </c>
      <c r="B3462" s="3">
        <v>57.0</v>
      </c>
      <c r="C3462" s="3">
        <v>3.0</v>
      </c>
      <c r="D3462" t="str">
        <f>VLOOKUP(B3462,ERA_MOTIF_TYPES.csv!$A$1:$C$119,2,1)</f>
        <v>Cup and ring</v>
      </c>
      <c r="E3462" t="str">
        <f>VLOOKUP(A3462,Panels!$A$1:$E$2104,5,0)</f>
        <v>East Lordenshaw</v>
      </c>
    </row>
    <row r="3463">
      <c r="A3463" s="3">
        <v>1257.0</v>
      </c>
      <c r="B3463" s="3">
        <v>58.0</v>
      </c>
      <c r="C3463" s="3">
        <v>2.0</v>
      </c>
      <c r="D3463" t="str">
        <f>VLOOKUP(B3463,ERA_MOTIF_TYPES.csv!$A$1:$C$119,2,1)</f>
        <v>Cup and multiple rings</v>
      </c>
      <c r="E3463" t="str">
        <f>VLOOKUP(A3463,Panels!$A$1:$E$2104,5,0)</f>
        <v>East Lordenshaw</v>
      </c>
    </row>
    <row r="3464">
      <c r="A3464" s="3">
        <v>1257.0</v>
      </c>
      <c r="B3464" s="3">
        <v>59.0</v>
      </c>
      <c r="C3464" s="3">
        <v>1.0</v>
      </c>
      <c r="D3464" t="str">
        <f>VLOOKUP(B3464,ERA_MOTIF_TYPES.csv!$A$1:$C$119,2,1)</f>
        <v>Cup and penannular</v>
      </c>
      <c r="E3464" t="str">
        <f>VLOOKUP(A3464,Panels!$A$1:$E$2104,5,0)</f>
        <v>East Lordenshaw</v>
      </c>
    </row>
    <row r="3465">
      <c r="A3465" s="3">
        <v>1257.0</v>
      </c>
      <c r="B3465" s="3">
        <v>60.0</v>
      </c>
      <c r="C3465" s="3">
        <v>2.0</v>
      </c>
      <c r="D3465" t="str">
        <f>VLOOKUP(B3465,ERA_MOTIF_TYPES.csv!$A$1:$C$119,2,1)</f>
        <v>Cup and multiple penannulars</v>
      </c>
      <c r="E3465" t="str">
        <f>VLOOKUP(A3465,Panels!$A$1:$E$2104,5,0)</f>
        <v>East Lordenshaw</v>
      </c>
    </row>
    <row r="3466">
      <c r="A3466" s="3">
        <v>1257.0</v>
      </c>
      <c r="B3466" s="3">
        <v>61.0</v>
      </c>
      <c r="C3466" s="3">
        <v>1.0</v>
      </c>
      <c r="D3466" t="str">
        <f>VLOOKUP(B3466,ERA_MOTIF_TYPES.csv!$A$1:$C$119,2,1)</f>
        <v>Cup and arc (or semi-ovoid)</v>
      </c>
      <c r="E3466" t="str">
        <f>VLOOKUP(A3466,Panels!$A$1:$E$2104,5,0)</f>
        <v>East Lordenshaw</v>
      </c>
    </row>
    <row r="3467">
      <c r="A3467" s="3">
        <v>1257.0</v>
      </c>
      <c r="B3467" s="3">
        <v>62.0</v>
      </c>
      <c r="C3467" s="3">
        <v>1.0</v>
      </c>
      <c r="D3467" t="str">
        <f>VLOOKUP(B3467,ERA_MOTIF_TYPES.csv!$A$1:$C$119,2,1)</f>
        <v>Cup and multiple arcs</v>
      </c>
      <c r="E3467" t="str">
        <f>VLOOKUP(A3467,Panels!$A$1:$E$2104,5,0)</f>
        <v>East Lordenshaw</v>
      </c>
    </row>
    <row r="3468">
      <c r="A3468" s="3">
        <v>1257.0</v>
      </c>
      <c r="B3468" s="3">
        <v>73.0</v>
      </c>
      <c r="C3468" s="3">
        <v>1.0</v>
      </c>
      <c r="D3468" t="str">
        <f>VLOOKUP(B3468,ERA_MOTIF_TYPES.csv!$A$1:$C$119,2,1)</f>
        <v>Arc</v>
      </c>
      <c r="E3468" t="str">
        <f>VLOOKUP(A3468,Panels!$A$1:$E$2104,5,0)</f>
        <v>East Lordenshaw</v>
      </c>
    </row>
    <row r="3469">
      <c r="A3469" s="3">
        <v>1257.0</v>
      </c>
      <c r="B3469" s="3">
        <v>93.0</v>
      </c>
      <c r="C3469" s="3">
        <v>12.0</v>
      </c>
      <c r="D3469" t="str">
        <f>VLOOKUP(B3469,ERA_MOTIF_TYPES.csv!$A$1:$C$119,2,1)</f>
        <v>Midget cup</v>
      </c>
      <c r="E3469" t="str">
        <f>VLOOKUP(A3469,Panels!$A$1:$E$2104,5,0)</f>
        <v>East Lordenshaw</v>
      </c>
    </row>
    <row r="3470">
      <c r="A3470" s="3">
        <v>1257.0</v>
      </c>
      <c r="B3470" s="3">
        <v>103.0</v>
      </c>
      <c r="C3470" s="3">
        <v>5.0</v>
      </c>
      <c r="D3470" t="str">
        <f>VLOOKUP(B3470,ERA_MOTIF_TYPES.csv!$A$1:$C$119,2,1)</f>
        <v>Cup and groove</v>
      </c>
      <c r="E3470" t="str">
        <f>VLOOKUP(A3470,Panels!$A$1:$E$2104,5,0)</f>
        <v>East Lordenshaw</v>
      </c>
    </row>
    <row r="3471">
      <c r="A3471" s="3">
        <v>1257.0</v>
      </c>
      <c r="B3471" s="3">
        <v>107.0</v>
      </c>
      <c r="C3471" s="3">
        <v>1.0</v>
      </c>
      <c r="D3471" t="str">
        <f>VLOOKUP(B3471,ERA_MOTIF_TYPES.csv!$A$1:$C$119,2,1)</f>
        <v>Cup and ring with exterior groove</v>
      </c>
      <c r="E3471" t="str">
        <f>VLOOKUP(A3471,Panels!$A$1:$E$2104,5,0)</f>
        <v>East Lordenshaw</v>
      </c>
    </row>
    <row r="3472">
      <c r="A3472" s="3">
        <v>1257.0</v>
      </c>
      <c r="B3472" s="3">
        <v>110.0</v>
      </c>
      <c r="C3472" s="3">
        <v>4.0</v>
      </c>
      <c r="D3472" t="str">
        <f>VLOOKUP(B3472,ERA_MOTIF_TYPES.csv!$A$1:$C$119,2,1)</f>
        <v>Curved groove</v>
      </c>
      <c r="E3472" t="str">
        <f>VLOOKUP(A3472,Panels!$A$1:$E$2104,5,0)</f>
        <v>East Lordenshaw</v>
      </c>
    </row>
    <row r="3473">
      <c r="A3473" s="3">
        <v>1258.0</v>
      </c>
      <c r="B3473" s="3">
        <v>1.0</v>
      </c>
      <c r="C3473" s="3">
        <v>3.0</v>
      </c>
      <c r="D3473" t="str">
        <f>VLOOKUP(B3473,ERA_MOTIF_TYPES.csv!$A$1:$C$119,2,1)</f>
        <v>Cups Single</v>
      </c>
      <c r="E3473" t="str">
        <f>VLOOKUP(A3473,Panels!$A$1:$E$2104,5,0)</f>
        <v>East Lordenshaw</v>
      </c>
    </row>
    <row r="3474">
      <c r="A3474" s="3">
        <v>1258.0</v>
      </c>
      <c r="B3474" s="3">
        <v>25.0</v>
      </c>
      <c r="C3474" s="3">
        <v>3.0</v>
      </c>
      <c r="D3474" t="str">
        <f>VLOOKUP(B3474,ERA_MOTIF_TYPES.csv!$A$1:$C$119,2,1)</f>
        <v>Linear</v>
      </c>
      <c r="E3474" t="str">
        <f>VLOOKUP(A3474,Panels!$A$1:$E$2104,5,0)</f>
        <v>East Lordenshaw</v>
      </c>
    </row>
    <row r="3475">
      <c r="A3475" s="3">
        <v>1258.0</v>
      </c>
      <c r="B3475" s="3">
        <v>31.0</v>
      </c>
      <c r="C3475" s="3">
        <v>1.0</v>
      </c>
      <c r="D3475" t="str">
        <f>VLOOKUP(B3475,ERA_MOTIF_TYPES.csv!$A$1:$C$119,2,1)</f>
        <v>Cup and Groove</v>
      </c>
      <c r="E3475" t="str">
        <f>VLOOKUP(A3475,Panels!$A$1:$E$2104,5,0)</f>
        <v>East Lordenshaw</v>
      </c>
    </row>
    <row r="3476">
      <c r="A3476" s="3">
        <v>1258.0</v>
      </c>
      <c r="B3476" s="3">
        <v>52.0</v>
      </c>
      <c r="C3476" s="3">
        <v>4.0</v>
      </c>
      <c r="D3476" t="str">
        <f>VLOOKUP(B3476,ERA_MOTIF_TYPES.csv!$A$1:$C$119,2,1)</f>
        <v>Single or multiple cups</v>
      </c>
      <c r="E3476" t="str">
        <f>VLOOKUP(A3476,Panels!$A$1:$E$2104,5,0)</f>
        <v>East Lordenshaw</v>
      </c>
    </row>
    <row r="3477">
      <c r="A3477" s="3">
        <v>1259.0</v>
      </c>
      <c r="B3477" s="3">
        <v>1.0</v>
      </c>
      <c r="C3477" s="3">
        <v>30.0</v>
      </c>
      <c r="D3477" t="str">
        <f>VLOOKUP(B3477,ERA_MOTIF_TYPES.csv!$A$1:$C$119,2,1)</f>
        <v>Cups Single</v>
      </c>
      <c r="E3477" t="str">
        <f>VLOOKUP(A3477,Panels!$A$1:$E$2104,5,0)</f>
        <v>East Lordenshaw</v>
      </c>
    </row>
    <row r="3478">
      <c r="A3478" s="3">
        <v>1259.0</v>
      </c>
      <c r="B3478" s="3">
        <v>2.0</v>
      </c>
      <c r="C3478" s="3">
        <v>1.0</v>
      </c>
      <c r="D3478" t="str">
        <f>VLOOKUP(B3478,ERA_MOTIF_TYPES.csv!$A$1:$C$119,2,1)</f>
        <v>Random Cluster</v>
      </c>
      <c r="E3478" t="str">
        <f>VLOOKUP(A3478,Panels!$A$1:$E$2104,5,0)</f>
        <v>East Lordenshaw</v>
      </c>
    </row>
    <row r="3479">
      <c r="A3479" s="3">
        <v>1259.0</v>
      </c>
      <c r="B3479" s="3">
        <v>52.0</v>
      </c>
      <c r="C3479" s="3">
        <v>2.0</v>
      </c>
      <c r="D3479" t="str">
        <f>VLOOKUP(B3479,ERA_MOTIF_TYPES.csv!$A$1:$C$119,2,1)</f>
        <v>Single or multiple cups</v>
      </c>
      <c r="E3479" t="str">
        <f>VLOOKUP(A3479,Panels!$A$1:$E$2104,5,0)</f>
        <v>East Lordenshaw</v>
      </c>
    </row>
    <row r="3480">
      <c r="A3480" s="3">
        <v>1259.0</v>
      </c>
      <c r="B3480" s="3">
        <v>93.0</v>
      </c>
      <c r="C3480" s="3">
        <v>27.0</v>
      </c>
      <c r="D3480" t="str">
        <f>VLOOKUP(B3480,ERA_MOTIF_TYPES.csv!$A$1:$C$119,2,1)</f>
        <v>Midget cup</v>
      </c>
      <c r="E3480" t="str">
        <f>VLOOKUP(A3480,Panels!$A$1:$E$2104,5,0)</f>
        <v>East Lordenshaw</v>
      </c>
    </row>
    <row r="3481">
      <c r="A3481" s="3">
        <v>1260.0</v>
      </c>
      <c r="B3481" s="3">
        <v>1.0</v>
      </c>
      <c r="C3481" s="3">
        <v>3.0</v>
      </c>
      <c r="D3481" t="str">
        <f>VLOOKUP(B3481,ERA_MOTIF_TYPES.csv!$A$1:$C$119,2,1)</f>
        <v>Cups Single</v>
      </c>
      <c r="E3481" t="str">
        <f>VLOOKUP(A3481,Panels!$A$1:$E$2104,5,0)</f>
        <v>East Lordenshaw</v>
      </c>
    </row>
    <row r="3482">
      <c r="A3482" s="3">
        <v>1260.0</v>
      </c>
      <c r="B3482" s="3">
        <v>31.0</v>
      </c>
      <c r="C3482" s="3">
        <v>1.0</v>
      </c>
      <c r="D3482" t="str">
        <f>VLOOKUP(B3482,ERA_MOTIF_TYPES.csv!$A$1:$C$119,2,1)</f>
        <v>Cup and Groove</v>
      </c>
      <c r="E3482" t="str">
        <f>VLOOKUP(A3482,Panels!$A$1:$E$2104,5,0)</f>
        <v>East Lordenshaw</v>
      </c>
    </row>
    <row r="3483">
      <c r="A3483" s="3">
        <v>1260.0</v>
      </c>
      <c r="B3483" s="3">
        <v>50.0</v>
      </c>
      <c r="C3483" s="3">
        <v>1.0</v>
      </c>
      <c r="D3483" t="str">
        <f>VLOOKUP(B3483,ERA_MOTIF_TYPES.csv!$A$1:$C$119,2,1)</f>
        <v>Channels</v>
      </c>
      <c r="E3483" t="str">
        <f>VLOOKUP(A3483,Panels!$A$1:$E$2104,5,0)</f>
        <v>East Lordenshaw</v>
      </c>
    </row>
    <row r="3484">
      <c r="A3484" s="3">
        <v>1260.0</v>
      </c>
      <c r="B3484" s="3">
        <v>52.0</v>
      </c>
      <c r="C3484" s="3">
        <v>3.0</v>
      </c>
      <c r="D3484" t="str">
        <f>VLOOKUP(B3484,ERA_MOTIF_TYPES.csv!$A$1:$C$119,2,1)</f>
        <v>Single or multiple cups</v>
      </c>
      <c r="E3484" t="str">
        <f>VLOOKUP(A3484,Panels!$A$1:$E$2104,5,0)</f>
        <v>East Lordenshaw</v>
      </c>
    </row>
    <row r="3485">
      <c r="A3485" s="3">
        <v>1260.0</v>
      </c>
      <c r="B3485" s="3">
        <v>55.0</v>
      </c>
      <c r="C3485" s="3">
        <v>1.0</v>
      </c>
      <c r="D3485" t="str">
        <f>VLOOKUP(B3485,ERA_MOTIF_TYPES.csv!$A$1:$C$119,2,1)</f>
        <v>Cups in a straight or curved line</v>
      </c>
      <c r="E3485" t="str">
        <f>VLOOKUP(A3485,Panels!$A$1:$E$2104,5,0)</f>
        <v>East Lordenshaw</v>
      </c>
    </row>
    <row r="3486">
      <c r="A3486" s="3">
        <v>1261.0</v>
      </c>
      <c r="B3486" s="3">
        <v>1.0</v>
      </c>
      <c r="C3486" s="3">
        <v>2.0</v>
      </c>
      <c r="D3486" t="str">
        <f>VLOOKUP(B3486,ERA_MOTIF_TYPES.csv!$A$1:$C$119,2,1)</f>
        <v>Cups Single</v>
      </c>
      <c r="E3486" t="str">
        <f>VLOOKUP(A3486,Panels!$A$1:$E$2104,5,0)</f>
        <v>East Lordenshaw</v>
      </c>
    </row>
    <row r="3487">
      <c r="A3487" s="3">
        <v>1261.0</v>
      </c>
      <c r="B3487" s="3">
        <v>25.0</v>
      </c>
      <c r="C3487" s="3">
        <v>1.0</v>
      </c>
      <c r="D3487" t="str">
        <f>VLOOKUP(B3487,ERA_MOTIF_TYPES.csv!$A$1:$C$119,2,1)</f>
        <v>Linear</v>
      </c>
      <c r="E3487" t="str">
        <f>VLOOKUP(A3487,Panels!$A$1:$E$2104,5,0)</f>
        <v>East Lordenshaw</v>
      </c>
    </row>
    <row r="3488">
      <c r="A3488" s="3">
        <v>1261.0</v>
      </c>
      <c r="B3488" s="3">
        <v>52.0</v>
      </c>
      <c r="C3488" s="3">
        <v>6.0</v>
      </c>
      <c r="D3488" t="str">
        <f>VLOOKUP(B3488,ERA_MOTIF_TYPES.csv!$A$1:$C$119,2,1)</f>
        <v>Single or multiple cups</v>
      </c>
      <c r="E3488" t="str">
        <f>VLOOKUP(A3488,Panels!$A$1:$E$2104,5,0)</f>
        <v>East Lordenshaw</v>
      </c>
    </row>
    <row r="3489">
      <c r="A3489" s="3">
        <v>1262.0</v>
      </c>
      <c r="B3489" s="3">
        <v>1.0</v>
      </c>
      <c r="C3489" s="3">
        <v>7.0</v>
      </c>
      <c r="D3489" t="str">
        <f>VLOOKUP(B3489,ERA_MOTIF_TYPES.csv!$A$1:$C$119,2,1)</f>
        <v>Cups Single</v>
      </c>
      <c r="E3489" t="str">
        <f>VLOOKUP(A3489,Panels!$A$1:$E$2104,5,0)</f>
        <v>East Lordenshaw</v>
      </c>
    </row>
    <row r="3490">
      <c r="A3490" s="3">
        <v>1262.0</v>
      </c>
      <c r="B3490" s="3">
        <v>14.0</v>
      </c>
      <c r="C3490" s="3">
        <v>1.0</v>
      </c>
      <c r="D3490" t="str">
        <f>VLOOKUP(B3490,ERA_MOTIF_TYPES.csv!$A$1:$C$119,2,1)</f>
        <v>Multi Ring + cup</v>
      </c>
      <c r="E3490" t="str">
        <f>VLOOKUP(A3490,Panels!$A$1:$E$2104,5,0)</f>
        <v>East Lordenshaw</v>
      </c>
    </row>
    <row r="3491">
      <c r="A3491" s="3">
        <v>1262.0</v>
      </c>
      <c r="B3491" s="3">
        <v>52.0</v>
      </c>
      <c r="C3491" s="3">
        <v>10.0</v>
      </c>
      <c r="D3491" t="str">
        <f>VLOOKUP(B3491,ERA_MOTIF_TYPES.csv!$A$1:$C$119,2,1)</f>
        <v>Single or multiple cups</v>
      </c>
      <c r="E3491" t="str">
        <f>VLOOKUP(A3491,Panels!$A$1:$E$2104,5,0)</f>
        <v>East Lordenshaw</v>
      </c>
    </row>
    <row r="3492">
      <c r="A3492" s="3">
        <v>1262.0</v>
      </c>
      <c r="B3492" s="3">
        <v>57.0</v>
      </c>
      <c r="C3492" s="3">
        <v>1.0</v>
      </c>
      <c r="D3492" t="str">
        <f>VLOOKUP(B3492,ERA_MOTIF_TYPES.csv!$A$1:$C$119,2,1)</f>
        <v>Cup and ring</v>
      </c>
      <c r="E3492" t="str">
        <f>VLOOKUP(A3492,Panels!$A$1:$E$2104,5,0)</f>
        <v>East Lordenshaw</v>
      </c>
    </row>
    <row r="3493">
      <c r="A3493" s="3">
        <v>1262.0</v>
      </c>
      <c r="B3493" s="3">
        <v>58.0</v>
      </c>
      <c r="C3493" s="3">
        <v>1.0</v>
      </c>
      <c r="D3493" t="str">
        <f>VLOOKUP(B3493,ERA_MOTIF_TYPES.csv!$A$1:$C$119,2,1)</f>
        <v>Cup and multiple rings</v>
      </c>
      <c r="E3493" t="str">
        <f>VLOOKUP(A3493,Panels!$A$1:$E$2104,5,0)</f>
        <v>East Lordenshaw</v>
      </c>
    </row>
    <row r="3494">
      <c r="A3494" s="3">
        <v>1262.0</v>
      </c>
      <c r="B3494" s="3">
        <v>71.0</v>
      </c>
      <c r="C3494" s="3">
        <v>2.0</v>
      </c>
      <c r="D3494" t="str">
        <f>VLOOKUP(B3494,ERA_MOTIF_TYPES.csv!$A$1:$C$119,2,1)</f>
        <v>Penannular</v>
      </c>
      <c r="E3494" t="str">
        <f>VLOOKUP(A3494,Panels!$A$1:$E$2104,5,0)</f>
        <v>East Lordenshaw</v>
      </c>
    </row>
    <row r="3495">
      <c r="A3495" s="3">
        <v>1263.0</v>
      </c>
      <c r="B3495" s="3">
        <v>1.0</v>
      </c>
      <c r="C3495" s="3">
        <v>1.0</v>
      </c>
      <c r="D3495" t="str">
        <f>VLOOKUP(B3495,ERA_MOTIF_TYPES.csv!$A$1:$C$119,2,1)</f>
        <v>Cups Single</v>
      </c>
      <c r="E3495" t="str">
        <f>VLOOKUP(A3495,Panels!$A$1:$E$2104,5,0)</f>
        <v>East Lordenshaw</v>
      </c>
    </row>
    <row r="3496">
      <c r="A3496" s="3">
        <v>1263.0</v>
      </c>
      <c r="B3496" s="3">
        <v>52.0</v>
      </c>
      <c r="C3496" s="3">
        <v>4.0</v>
      </c>
      <c r="D3496" t="str">
        <f>VLOOKUP(B3496,ERA_MOTIF_TYPES.csv!$A$1:$C$119,2,1)</f>
        <v>Single or multiple cups</v>
      </c>
      <c r="E3496" t="str">
        <f>VLOOKUP(A3496,Panels!$A$1:$E$2104,5,0)</f>
        <v>East Lordenshaw</v>
      </c>
    </row>
    <row r="3497">
      <c r="A3497" s="3">
        <v>1263.0</v>
      </c>
      <c r="B3497" s="3">
        <v>103.0</v>
      </c>
      <c r="C3497" s="3">
        <v>1.0</v>
      </c>
      <c r="D3497" t="str">
        <f>VLOOKUP(B3497,ERA_MOTIF_TYPES.csv!$A$1:$C$119,2,1)</f>
        <v>Cup and groove</v>
      </c>
      <c r="E3497" t="str">
        <f>VLOOKUP(A3497,Panels!$A$1:$E$2104,5,0)</f>
        <v>East Lordenshaw</v>
      </c>
    </row>
    <row r="3498">
      <c r="A3498" s="3">
        <v>1263.0</v>
      </c>
      <c r="B3498" s="3">
        <v>110.0</v>
      </c>
      <c r="C3498" s="3">
        <v>2.0</v>
      </c>
      <c r="D3498" t="str">
        <f>VLOOKUP(B3498,ERA_MOTIF_TYPES.csv!$A$1:$C$119,2,1)</f>
        <v>Curved groove</v>
      </c>
      <c r="E3498" t="str">
        <f>VLOOKUP(A3498,Panels!$A$1:$E$2104,5,0)</f>
        <v>East Lordenshaw</v>
      </c>
    </row>
    <row r="3499">
      <c r="A3499" s="3">
        <v>1264.0</v>
      </c>
      <c r="B3499" s="3">
        <v>1.0</v>
      </c>
      <c r="C3499" s="3">
        <v>16.0</v>
      </c>
      <c r="D3499" t="str">
        <f>VLOOKUP(B3499,ERA_MOTIF_TYPES.csv!$A$1:$C$119,2,1)</f>
        <v>Cups Single</v>
      </c>
      <c r="E3499" t="str">
        <f>VLOOKUP(A3499,Panels!$A$1:$E$2104,5,0)</f>
        <v>East Lordenshaw</v>
      </c>
    </row>
    <row r="3500">
      <c r="A3500" s="3">
        <v>1264.0</v>
      </c>
      <c r="B3500" s="3">
        <v>13.0</v>
      </c>
      <c r="C3500" s="3">
        <v>1.0</v>
      </c>
      <c r="D3500" t="str">
        <f>VLOOKUP(B3500,ERA_MOTIF_TYPES.csv!$A$1:$C$119,2,1)</f>
        <v>Single Ring + cup</v>
      </c>
      <c r="E3500" t="str">
        <f>VLOOKUP(A3500,Panels!$A$1:$E$2104,5,0)</f>
        <v>East Lordenshaw</v>
      </c>
    </row>
    <row r="3501">
      <c r="A3501" s="3">
        <v>1264.0</v>
      </c>
      <c r="B3501" s="3">
        <v>32.0</v>
      </c>
      <c r="C3501" s="3">
        <v>2.0</v>
      </c>
      <c r="D3501" t="str">
        <f>VLOOKUP(B3501,ERA_MOTIF_TYPES.csv!$A$1:$C$119,2,1)</f>
        <v>Cup Groove and single ring</v>
      </c>
      <c r="E3501" t="str">
        <f>VLOOKUP(A3501,Panels!$A$1:$E$2104,5,0)</f>
        <v>East Lordenshaw</v>
      </c>
    </row>
    <row r="3502">
      <c r="A3502" s="3">
        <v>1264.0</v>
      </c>
      <c r="B3502" s="3">
        <v>35.0</v>
      </c>
      <c r="C3502" s="3">
        <v>1.0</v>
      </c>
      <c r="D3502" t="str">
        <f>VLOOKUP(B3502,ERA_MOTIF_TYPES.csv!$A$1:$C$119,2,1)</f>
        <v>Cup Groove and multi penannular</v>
      </c>
      <c r="E3502" t="str">
        <f>VLOOKUP(A3502,Panels!$A$1:$E$2104,5,0)</f>
        <v>East Lordenshaw</v>
      </c>
    </row>
    <row r="3503">
      <c r="A3503" s="3">
        <v>1264.0</v>
      </c>
      <c r="B3503" s="3">
        <v>52.0</v>
      </c>
      <c r="C3503" s="3">
        <v>21.0</v>
      </c>
      <c r="D3503" t="str">
        <f>VLOOKUP(B3503,ERA_MOTIF_TYPES.csv!$A$1:$C$119,2,1)</f>
        <v>Single or multiple cups</v>
      </c>
      <c r="E3503" t="str">
        <f>VLOOKUP(A3503,Panels!$A$1:$E$2104,5,0)</f>
        <v>East Lordenshaw</v>
      </c>
    </row>
    <row r="3504">
      <c r="A3504" s="3">
        <v>1264.0</v>
      </c>
      <c r="B3504" s="3">
        <v>55.0</v>
      </c>
      <c r="C3504" s="3">
        <v>1.0</v>
      </c>
      <c r="D3504" t="str">
        <f>VLOOKUP(B3504,ERA_MOTIF_TYPES.csv!$A$1:$C$119,2,1)</f>
        <v>Cups in a straight or curved line</v>
      </c>
      <c r="E3504" t="str">
        <f>VLOOKUP(A3504,Panels!$A$1:$E$2104,5,0)</f>
        <v>East Lordenshaw</v>
      </c>
    </row>
    <row r="3505">
      <c r="A3505" s="3">
        <v>1264.0</v>
      </c>
      <c r="B3505" s="3">
        <v>57.0</v>
      </c>
      <c r="C3505" s="3">
        <v>4.0</v>
      </c>
      <c r="D3505" t="str">
        <f>VLOOKUP(B3505,ERA_MOTIF_TYPES.csv!$A$1:$C$119,2,1)</f>
        <v>Cup and ring</v>
      </c>
      <c r="E3505" t="str">
        <f>VLOOKUP(A3505,Panels!$A$1:$E$2104,5,0)</f>
        <v>East Lordenshaw</v>
      </c>
    </row>
    <row r="3506">
      <c r="A3506" s="3">
        <v>1264.0</v>
      </c>
      <c r="B3506" s="3">
        <v>59.0</v>
      </c>
      <c r="C3506" s="3">
        <v>1.0</v>
      </c>
      <c r="D3506" t="str">
        <f>VLOOKUP(B3506,ERA_MOTIF_TYPES.csv!$A$1:$C$119,2,1)</f>
        <v>Cup and penannular</v>
      </c>
      <c r="E3506" t="str">
        <f>VLOOKUP(A3506,Panels!$A$1:$E$2104,5,0)</f>
        <v>East Lordenshaw</v>
      </c>
    </row>
    <row r="3507">
      <c r="A3507" s="3">
        <v>1264.0</v>
      </c>
      <c r="B3507" s="3">
        <v>61.0</v>
      </c>
      <c r="C3507" s="3">
        <v>3.0</v>
      </c>
      <c r="D3507" t="str">
        <f>VLOOKUP(B3507,ERA_MOTIF_TYPES.csv!$A$1:$C$119,2,1)</f>
        <v>Cup and arc (or semi-ovoid)</v>
      </c>
      <c r="E3507" t="str">
        <f>VLOOKUP(A3507,Panels!$A$1:$E$2104,5,0)</f>
        <v>East Lordenshaw</v>
      </c>
    </row>
    <row r="3508">
      <c r="A3508" s="3">
        <v>1264.0</v>
      </c>
      <c r="B3508" s="3">
        <v>63.0</v>
      </c>
      <c r="C3508" s="3">
        <v>1.0</v>
      </c>
      <c r="D3508" t="str">
        <f>VLOOKUP(B3508,ERA_MOTIF_TYPES.csv!$A$1:$C$119,2,1)</f>
        <v>Cup with groove cutting through ring</v>
      </c>
      <c r="E3508" t="str">
        <f>VLOOKUP(A3508,Panels!$A$1:$E$2104,5,0)</f>
        <v>East Lordenshaw</v>
      </c>
    </row>
    <row r="3509">
      <c r="A3509" s="3">
        <v>1264.0</v>
      </c>
      <c r="B3509" s="3">
        <v>66.0</v>
      </c>
      <c r="C3509" s="3">
        <v>1.0</v>
      </c>
      <c r="D3509" t="str">
        <f>VLOOKUP(B3509,ERA_MOTIF_TYPES.csv!$A$1:$C$119,2,1)</f>
        <v>Cup and groove with multiple penannulars</v>
      </c>
      <c r="E3509" t="str">
        <f>VLOOKUP(A3509,Panels!$A$1:$E$2104,5,0)</f>
        <v>East Lordenshaw</v>
      </c>
    </row>
    <row r="3510">
      <c r="A3510" s="3">
        <v>1264.0</v>
      </c>
      <c r="B3510" s="3">
        <v>67.0</v>
      </c>
      <c r="C3510" s="3">
        <v>1.0</v>
      </c>
      <c r="D3510" t="str">
        <f>VLOOKUP(B3510,ERA_MOTIF_TYPES.csv!$A$1:$C$119,2,1)</f>
        <v>Cup and groove with arc</v>
      </c>
      <c r="E3510" t="str">
        <f>VLOOKUP(A3510,Panels!$A$1:$E$2104,5,0)</f>
        <v>East Lordenshaw</v>
      </c>
    </row>
    <row r="3511">
      <c r="A3511" s="3">
        <v>1264.0</v>
      </c>
      <c r="B3511" s="3">
        <v>69.0</v>
      </c>
      <c r="C3511" s="3">
        <v>2.0</v>
      </c>
      <c r="D3511" t="str">
        <f>VLOOKUP(B3511,ERA_MOTIF_TYPES.csv!$A$1:$C$119,2,1)</f>
        <v>Ring</v>
      </c>
      <c r="E3511" t="str">
        <f>VLOOKUP(A3511,Panels!$A$1:$E$2104,5,0)</f>
        <v>East Lordenshaw</v>
      </c>
    </row>
    <row r="3512">
      <c r="A3512" s="3">
        <v>1264.0</v>
      </c>
      <c r="B3512" s="3">
        <v>73.0</v>
      </c>
      <c r="C3512" s="3">
        <v>1.0</v>
      </c>
      <c r="D3512" t="str">
        <f>VLOOKUP(B3512,ERA_MOTIF_TYPES.csv!$A$1:$C$119,2,1)</f>
        <v>Arc</v>
      </c>
      <c r="E3512" t="str">
        <f>VLOOKUP(A3512,Panels!$A$1:$E$2104,5,0)</f>
        <v>East Lordenshaw</v>
      </c>
    </row>
    <row r="3513">
      <c r="A3513" s="3">
        <v>1264.0</v>
      </c>
      <c r="B3513" s="3">
        <v>87.0</v>
      </c>
      <c r="C3513" s="3">
        <v>1.0</v>
      </c>
      <c r="D3513" t="str">
        <f>VLOOKUP(B3513,ERA_MOTIF_TYPES.csv!$A$1:$C$119,2,1)</f>
        <v>Linear and angular groove</v>
      </c>
      <c r="E3513" t="str">
        <f>VLOOKUP(A3513,Panels!$A$1:$E$2104,5,0)</f>
        <v>East Lordenshaw</v>
      </c>
    </row>
    <row r="3514">
      <c r="A3514" s="3">
        <v>1264.0</v>
      </c>
      <c r="B3514" s="3">
        <v>103.0</v>
      </c>
      <c r="C3514" s="3">
        <v>1.0</v>
      </c>
      <c r="D3514" t="str">
        <f>VLOOKUP(B3514,ERA_MOTIF_TYPES.csv!$A$1:$C$119,2,1)</f>
        <v>Cup and groove</v>
      </c>
      <c r="E3514" t="str">
        <f>VLOOKUP(A3514,Panels!$A$1:$E$2104,5,0)</f>
        <v>East Lordenshaw</v>
      </c>
    </row>
    <row r="3515">
      <c r="A3515" s="3">
        <v>1264.0</v>
      </c>
      <c r="B3515" s="3">
        <v>107.0</v>
      </c>
      <c r="C3515" s="3">
        <v>1.0</v>
      </c>
      <c r="D3515" t="str">
        <f>VLOOKUP(B3515,ERA_MOTIF_TYPES.csv!$A$1:$C$119,2,1)</f>
        <v>Cup and ring with exterior groove</v>
      </c>
      <c r="E3515" t="str">
        <f>VLOOKUP(A3515,Panels!$A$1:$E$2104,5,0)</f>
        <v>East Lordenshaw</v>
      </c>
    </row>
    <row r="3516">
      <c r="A3516" s="3">
        <v>1265.0</v>
      </c>
      <c r="B3516" s="3">
        <v>1.0</v>
      </c>
      <c r="C3516" s="3">
        <v>7.0</v>
      </c>
      <c r="D3516" t="str">
        <f>VLOOKUP(B3516,ERA_MOTIF_TYPES.csv!$A$1:$C$119,2,1)</f>
        <v>Cups Single</v>
      </c>
      <c r="E3516" t="str">
        <f>VLOOKUP(A3516,Panels!$A$1:$E$2104,5,0)</f>
        <v>East Lordenshaw</v>
      </c>
    </row>
    <row r="3517">
      <c r="A3517" s="3">
        <v>1265.0</v>
      </c>
      <c r="B3517" s="3">
        <v>6.0</v>
      </c>
      <c r="C3517" s="3">
        <v>1.0</v>
      </c>
      <c r="D3517" t="str">
        <f>VLOOKUP(B3517,ERA_MOTIF_TYPES.csv!$A$1:$C$119,2,1)</f>
        <v>curved or straight line</v>
      </c>
      <c r="E3517" t="str">
        <f>VLOOKUP(A3517,Panels!$A$1:$E$2104,5,0)</f>
        <v>East Lordenshaw</v>
      </c>
    </row>
    <row r="3518">
      <c r="A3518" s="3">
        <v>1265.0</v>
      </c>
      <c r="B3518" s="3">
        <v>52.0</v>
      </c>
      <c r="C3518" s="3">
        <v>4.0</v>
      </c>
      <c r="D3518" t="str">
        <f>VLOOKUP(B3518,ERA_MOTIF_TYPES.csv!$A$1:$C$119,2,1)</f>
        <v>Single or multiple cups</v>
      </c>
      <c r="E3518" t="str">
        <f>VLOOKUP(A3518,Panels!$A$1:$E$2104,5,0)</f>
        <v>East Lordenshaw</v>
      </c>
    </row>
    <row r="3519">
      <c r="A3519" s="3">
        <v>1265.0</v>
      </c>
      <c r="B3519" s="3">
        <v>93.0</v>
      </c>
      <c r="C3519" s="3">
        <v>3.0</v>
      </c>
      <c r="D3519" t="str">
        <f>VLOOKUP(B3519,ERA_MOTIF_TYPES.csv!$A$1:$C$119,2,1)</f>
        <v>Midget cup</v>
      </c>
      <c r="E3519" t="str">
        <f>VLOOKUP(A3519,Panels!$A$1:$E$2104,5,0)</f>
        <v>East Lordenshaw</v>
      </c>
    </row>
    <row r="3520">
      <c r="A3520" s="3">
        <v>1266.0</v>
      </c>
      <c r="B3520" s="3">
        <v>1.0</v>
      </c>
      <c r="C3520" s="3">
        <v>5.0</v>
      </c>
      <c r="D3520" t="str">
        <f>VLOOKUP(B3520,ERA_MOTIF_TYPES.csv!$A$1:$C$119,2,1)</f>
        <v>Cups Single</v>
      </c>
      <c r="E3520" t="str">
        <f>VLOOKUP(A3520,Panels!$A$1:$E$2104,5,0)</f>
        <v>East Lordenshaw</v>
      </c>
    </row>
    <row r="3521">
      <c r="A3521" s="3">
        <v>1266.0</v>
      </c>
      <c r="B3521" s="3">
        <v>6.0</v>
      </c>
      <c r="C3521" s="3">
        <v>1.0</v>
      </c>
      <c r="D3521" t="str">
        <f>VLOOKUP(B3521,ERA_MOTIF_TYPES.csv!$A$1:$C$119,2,1)</f>
        <v>curved or straight line</v>
      </c>
      <c r="E3521" t="str">
        <f>VLOOKUP(A3521,Panels!$A$1:$E$2104,5,0)</f>
        <v>East Lordenshaw</v>
      </c>
    </row>
    <row r="3522">
      <c r="A3522" s="3">
        <v>1266.0</v>
      </c>
      <c r="B3522" s="3">
        <v>25.0</v>
      </c>
      <c r="C3522" s="3">
        <v>1.0</v>
      </c>
      <c r="D3522" t="str">
        <f>VLOOKUP(B3522,ERA_MOTIF_TYPES.csv!$A$1:$C$119,2,1)</f>
        <v>Linear</v>
      </c>
      <c r="E3522" t="str">
        <f>VLOOKUP(A3522,Panels!$A$1:$E$2104,5,0)</f>
        <v>East Lordenshaw</v>
      </c>
    </row>
    <row r="3523">
      <c r="A3523" s="3">
        <v>1267.0</v>
      </c>
      <c r="B3523" s="3">
        <v>52.0</v>
      </c>
      <c r="C3523" s="3">
        <v>2.0</v>
      </c>
      <c r="D3523" t="str">
        <f>VLOOKUP(B3523,ERA_MOTIF_TYPES.csv!$A$1:$C$119,2,1)</f>
        <v>Single or multiple cups</v>
      </c>
      <c r="E3523" t="str">
        <f>VLOOKUP(A3523,Panels!$A$1:$E$2104,5,0)</f>
        <v>East Lordenshaw</v>
      </c>
    </row>
    <row r="3524">
      <c r="A3524" s="3">
        <v>1268.0</v>
      </c>
      <c r="B3524" s="3">
        <v>1.0</v>
      </c>
      <c r="C3524" s="3">
        <v>3.0</v>
      </c>
      <c r="D3524" t="str">
        <f>VLOOKUP(B3524,ERA_MOTIF_TYPES.csv!$A$1:$C$119,2,1)</f>
        <v>Cups Single</v>
      </c>
      <c r="E3524" t="str">
        <f>VLOOKUP(A3524,Panels!$A$1:$E$2104,5,0)</f>
        <v>East Lordenshaw</v>
      </c>
    </row>
    <row r="3525">
      <c r="A3525" s="3">
        <v>1268.0</v>
      </c>
      <c r="B3525" s="3">
        <v>25.0</v>
      </c>
      <c r="C3525" s="3">
        <v>1.0</v>
      </c>
      <c r="D3525" t="str">
        <f>VLOOKUP(B3525,ERA_MOTIF_TYPES.csv!$A$1:$C$119,2,1)</f>
        <v>Linear</v>
      </c>
      <c r="E3525" t="str">
        <f>VLOOKUP(A3525,Panels!$A$1:$E$2104,5,0)</f>
        <v>East Lordenshaw</v>
      </c>
    </row>
    <row r="3526">
      <c r="A3526" s="3">
        <v>1268.0</v>
      </c>
      <c r="B3526" s="3">
        <v>52.0</v>
      </c>
      <c r="C3526" s="3">
        <v>2.0</v>
      </c>
      <c r="D3526" t="str">
        <f>VLOOKUP(B3526,ERA_MOTIF_TYPES.csv!$A$1:$C$119,2,1)</f>
        <v>Single or multiple cups</v>
      </c>
      <c r="E3526" t="str">
        <f>VLOOKUP(A3526,Panels!$A$1:$E$2104,5,0)</f>
        <v>East Lordenshaw</v>
      </c>
    </row>
    <row r="3527">
      <c r="A3527" s="3">
        <v>1268.0</v>
      </c>
      <c r="B3527" s="3">
        <v>87.0</v>
      </c>
      <c r="C3527" s="3">
        <v>1.0</v>
      </c>
      <c r="D3527" t="str">
        <f>VLOOKUP(B3527,ERA_MOTIF_TYPES.csv!$A$1:$C$119,2,1)</f>
        <v>Linear and angular groove</v>
      </c>
      <c r="E3527" t="str">
        <f>VLOOKUP(A3527,Panels!$A$1:$E$2104,5,0)</f>
        <v>East Lordenshaw</v>
      </c>
    </row>
    <row r="3528">
      <c r="A3528" s="3">
        <v>1269.0</v>
      </c>
      <c r="B3528" s="3">
        <v>52.0</v>
      </c>
      <c r="C3528" s="3">
        <v>3.0</v>
      </c>
      <c r="D3528" t="str">
        <f>VLOOKUP(B3528,ERA_MOTIF_TYPES.csv!$A$1:$C$119,2,1)</f>
        <v>Single or multiple cups</v>
      </c>
      <c r="E3528" t="str">
        <f>VLOOKUP(A3528,Panels!$A$1:$E$2104,5,0)</f>
        <v>East Lordenshaw</v>
      </c>
    </row>
    <row r="3529">
      <c r="A3529" s="3">
        <v>1270.0</v>
      </c>
      <c r="B3529" s="3">
        <v>1.0</v>
      </c>
      <c r="C3529" s="3">
        <v>2.0</v>
      </c>
      <c r="D3529" t="str">
        <f>VLOOKUP(B3529,ERA_MOTIF_TYPES.csv!$A$1:$C$119,2,1)</f>
        <v>Cups Single</v>
      </c>
      <c r="E3529" t="str">
        <f>VLOOKUP(A3529,Panels!$A$1:$E$2104,5,0)</f>
        <v>East Lordenshaw</v>
      </c>
    </row>
    <row r="3530">
      <c r="A3530" s="3">
        <v>1270.0</v>
      </c>
      <c r="B3530" s="3">
        <v>52.0</v>
      </c>
      <c r="C3530" s="3">
        <v>2.0</v>
      </c>
      <c r="D3530" t="str">
        <f>VLOOKUP(B3530,ERA_MOTIF_TYPES.csv!$A$1:$C$119,2,1)</f>
        <v>Single or multiple cups</v>
      </c>
      <c r="E3530" t="str">
        <f>VLOOKUP(A3530,Panels!$A$1:$E$2104,5,0)</f>
        <v>East Lordenshaw</v>
      </c>
    </row>
    <row r="3531">
      <c r="A3531" s="3">
        <v>1271.0</v>
      </c>
      <c r="B3531" s="3">
        <v>1.0</v>
      </c>
      <c r="C3531" s="3">
        <v>2.0</v>
      </c>
      <c r="D3531" t="str">
        <f>VLOOKUP(B3531,ERA_MOTIF_TYPES.csv!$A$1:$C$119,2,1)</f>
        <v>Cups Single</v>
      </c>
      <c r="E3531" t="str">
        <f>VLOOKUP(A3531,Panels!$A$1:$E$2104,5,0)</f>
        <v>East Lordenshaw</v>
      </c>
    </row>
    <row r="3532">
      <c r="A3532" s="3">
        <v>1271.0</v>
      </c>
      <c r="B3532" s="3">
        <v>52.0</v>
      </c>
      <c r="C3532" s="3">
        <v>2.0</v>
      </c>
      <c r="D3532" t="str">
        <f>VLOOKUP(B3532,ERA_MOTIF_TYPES.csv!$A$1:$C$119,2,1)</f>
        <v>Single or multiple cups</v>
      </c>
      <c r="E3532" t="str">
        <f>VLOOKUP(A3532,Panels!$A$1:$E$2104,5,0)</f>
        <v>East Lordenshaw</v>
      </c>
    </row>
    <row r="3533">
      <c r="A3533" s="3">
        <v>1272.0</v>
      </c>
      <c r="B3533" s="3">
        <v>1.0</v>
      </c>
      <c r="C3533" s="3">
        <v>14.0</v>
      </c>
      <c r="D3533" t="str">
        <f>VLOOKUP(B3533,ERA_MOTIF_TYPES.csv!$A$1:$C$119,2,1)</f>
        <v>Cups Single</v>
      </c>
      <c r="E3533" t="str">
        <f>VLOOKUP(A3533,Panels!$A$1:$E$2104,5,0)</f>
        <v>East Lordenshaw</v>
      </c>
    </row>
    <row r="3534">
      <c r="A3534" s="3">
        <v>1272.0</v>
      </c>
      <c r="B3534" s="3">
        <v>25.0</v>
      </c>
      <c r="C3534" s="3">
        <v>1.0</v>
      </c>
      <c r="D3534" t="str">
        <f>VLOOKUP(B3534,ERA_MOTIF_TYPES.csv!$A$1:$C$119,2,1)</f>
        <v>Linear</v>
      </c>
      <c r="E3534" t="str">
        <f>VLOOKUP(A3534,Panels!$A$1:$E$2104,5,0)</f>
        <v>East Lordenshaw</v>
      </c>
    </row>
    <row r="3535">
      <c r="A3535" s="3">
        <v>1272.0</v>
      </c>
      <c r="B3535" s="3">
        <v>52.0</v>
      </c>
      <c r="C3535" s="3">
        <v>13.0</v>
      </c>
      <c r="D3535" t="str">
        <f>VLOOKUP(B3535,ERA_MOTIF_TYPES.csv!$A$1:$C$119,2,1)</f>
        <v>Single or multiple cups</v>
      </c>
      <c r="E3535" t="str">
        <f>VLOOKUP(A3535,Panels!$A$1:$E$2104,5,0)</f>
        <v>East Lordenshaw</v>
      </c>
    </row>
    <row r="3536">
      <c r="A3536" s="3">
        <v>1272.0</v>
      </c>
      <c r="B3536" s="3">
        <v>57.0</v>
      </c>
      <c r="C3536" s="3">
        <v>1.0</v>
      </c>
      <c r="D3536" t="str">
        <f>VLOOKUP(B3536,ERA_MOTIF_TYPES.csv!$A$1:$C$119,2,1)</f>
        <v>Cup and ring</v>
      </c>
      <c r="E3536" t="str">
        <f>VLOOKUP(A3536,Panels!$A$1:$E$2104,5,0)</f>
        <v>East Lordenshaw</v>
      </c>
    </row>
    <row r="3537">
      <c r="A3537" s="3">
        <v>1273.0</v>
      </c>
      <c r="B3537" s="3">
        <v>1.0</v>
      </c>
      <c r="C3537" s="3">
        <v>10.0</v>
      </c>
      <c r="D3537" t="str">
        <f>VLOOKUP(B3537,ERA_MOTIF_TYPES.csv!$A$1:$C$119,2,1)</f>
        <v>Cups Single</v>
      </c>
      <c r="E3537" t="str">
        <f>VLOOKUP(A3537,Panels!$A$1:$E$2104,5,0)</f>
        <v>East Lordenshaw</v>
      </c>
    </row>
    <row r="3538">
      <c r="A3538" s="3">
        <v>1273.0</v>
      </c>
      <c r="B3538" s="3">
        <v>52.0</v>
      </c>
      <c r="C3538" s="3">
        <v>29.0</v>
      </c>
      <c r="D3538" t="str">
        <f>VLOOKUP(B3538,ERA_MOTIF_TYPES.csv!$A$1:$C$119,2,1)</f>
        <v>Single or multiple cups</v>
      </c>
      <c r="E3538" t="str">
        <f>VLOOKUP(A3538,Panels!$A$1:$E$2104,5,0)</f>
        <v>East Lordenshaw</v>
      </c>
    </row>
    <row r="3539">
      <c r="A3539" s="3">
        <v>1274.0</v>
      </c>
      <c r="B3539" s="3">
        <v>1.0</v>
      </c>
      <c r="C3539" s="3">
        <v>1.0</v>
      </c>
      <c r="D3539" t="str">
        <f>VLOOKUP(B3539,ERA_MOTIF_TYPES.csv!$A$1:$C$119,2,1)</f>
        <v>Cups Single</v>
      </c>
      <c r="E3539" t="str">
        <f>VLOOKUP(A3539,Panels!$A$1:$E$2104,5,0)</f>
        <v>East Lordenshaw</v>
      </c>
    </row>
    <row r="3540">
      <c r="A3540" s="3">
        <v>1274.0</v>
      </c>
      <c r="B3540" s="3">
        <v>25.0</v>
      </c>
      <c r="C3540" s="3">
        <v>1.0</v>
      </c>
      <c r="D3540" t="str">
        <f>VLOOKUP(B3540,ERA_MOTIF_TYPES.csv!$A$1:$C$119,2,1)</f>
        <v>Linear</v>
      </c>
      <c r="E3540" t="str">
        <f>VLOOKUP(A3540,Panels!$A$1:$E$2104,5,0)</f>
        <v>East Lordenshaw</v>
      </c>
    </row>
    <row r="3541">
      <c r="A3541" s="3">
        <v>1274.0</v>
      </c>
      <c r="B3541" s="3">
        <v>52.0</v>
      </c>
      <c r="C3541" s="3">
        <v>3.0</v>
      </c>
      <c r="D3541" t="str">
        <f>VLOOKUP(B3541,ERA_MOTIF_TYPES.csv!$A$1:$C$119,2,1)</f>
        <v>Single or multiple cups</v>
      </c>
      <c r="E3541" t="str">
        <f>VLOOKUP(A3541,Panels!$A$1:$E$2104,5,0)</f>
        <v>East Lordenshaw</v>
      </c>
    </row>
    <row r="3542">
      <c r="A3542" s="3">
        <v>1274.0</v>
      </c>
      <c r="B3542" s="3">
        <v>63.0</v>
      </c>
      <c r="C3542" s="3">
        <v>1.0</v>
      </c>
      <c r="D3542" t="str">
        <f>VLOOKUP(B3542,ERA_MOTIF_TYPES.csv!$A$1:$C$119,2,1)</f>
        <v>Cup with groove cutting through ring</v>
      </c>
      <c r="E3542" t="str">
        <f>VLOOKUP(A3542,Panels!$A$1:$E$2104,5,0)</f>
        <v>East Lordenshaw</v>
      </c>
    </row>
    <row r="3543">
      <c r="A3543" s="3">
        <v>1275.0</v>
      </c>
      <c r="B3543" s="3">
        <v>1.0</v>
      </c>
      <c r="C3543" s="3">
        <v>24.0</v>
      </c>
      <c r="D3543" t="str">
        <f>VLOOKUP(B3543,ERA_MOTIF_TYPES.csv!$A$1:$C$119,2,1)</f>
        <v>Cups Single</v>
      </c>
      <c r="E3543" t="str">
        <f>VLOOKUP(A3543,Panels!$A$1:$E$2104,5,0)</f>
        <v>East Lordenshaw</v>
      </c>
    </row>
    <row r="3544">
      <c r="A3544" s="3">
        <v>1275.0</v>
      </c>
      <c r="B3544" s="3">
        <v>52.0</v>
      </c>
      <c r="C3544" s="3">
        <v>18.0</v>
      </c>
      <c r="D3544" t="str">
        <f>VLOOKUP(B3544,ERA_MOTIF_TYPES.csv!$A$1:$C$119,2,1)</f>
        <v>Single or multiple cups</v>
      </c>
      <c r="E3544" t="str">
        <f>VLOOKUP(A3544,Panels!$A$1:$E$2104,5,0)</f>
        <v>East Lordenshaw</v>
      </c>
    </row>
    <row r="3545">
      <c r="A3545" s="3">
        <v>1275.0</v>
      </c>
      <c r="B3545" s="3">
        <v>57.0</v>
      </c>
      <c r="C3545" s="3">
        <v>3.0</v>
      </c>
      <c r="D3545" t="str">
        <f>VLOOKUP(B3545,ERA_MOTIF_TYPES.csv!$A$1:$C$119,2,1)</f>
        <v>Cup and ring</v>
      </c>
      <c r="E3545" t="str">
        <f>VLOOKUP(A3545,Panels!$A$1:$E$2104,5,0)</f>
        <v>East Lordenshaw</v>
      </c>
    </row>
    <row r="3546">
      <c r="A3546" s="3">
        <v>1276.0</v>
      </c>
      <c r="B3546" s="3">
        <v>1.0</v>
      </c>
      <c r="C3546" s="3">
        <v>21.0</v>
      </c>
      <c r="D3546" t="str">
        <f>VLOOKUP(B3546,ERA_MOTIF_TYPES.csv!$A$1:$C$119,2,1)</f>
        <v>Cups Single</v>
      </c>
      <c r="E3546" t="str">
        <f>VLOOKUP(A3546,Panels!$A$1:$E$2104,5,0)</f>
        <v>East Lordenshaw</v>
      </c>
    </row>
    <row r="3547">
      <c r="A3547" s="3">
        <v>1276.0</v>
      </c>
      <c r="B3547" s="3">
        <v>31.0</v>
      </c>
      <c r="C3547" s="3">
        <v>9.0</v>
      </c>
      <c r="D3547" t="str">
        <f>VLOOKUP(B3547,ERA_MOTIF_TYPES.csv!$A$1:$C$119,2,1)</f>
        <v>Cup and Groove</v>
      </c>
      <c r="E3547" t="str">
        <f>VLOOKUP(A3547,Panels!$A$1:$E$2104,5,0)</f>
        <v>East Lordenshaw</v>
      </c>
    </row>
    <row r="3548">
      <c r="A3548" s="3">
        <v>1276.0</v>
      </c>
      <c r="B3548" s="3">
        <v>32.0</v>
      </c>
      <c r="C3548" s="3">
        <v>2.0</v>
      </c>
      <c r="D3548" t="str">
        <f>VLOOKUP(B3548,ERA_MOTIF_TYPES.csv!$A$1:$C$119,2,1)</f>
        <v>Cup Groove and single ring</v>
      </c>
      <c r="E3548" t="str">
        <f>VLOOKUP(A3548,Panels!$A$1:$E$2104,5,0)</f>
        <v>East Lordenshaw</v>
      </c>
    </row>
    <row r="3549">
      <c r="A3549" s="3">
        <v>1276.0</v>
      </c>
      <c r="B3549" s="3">
        <v>52.0</v>
      </c>
      <c r="C3549" s="3">
        <v>24.0</v>
      </c>
      <c r="D3549" t="str">
        <f>VLOOKUP(B3549,ERA_MOTIF_TYPES.csv!$A$1:$C$119,2,1)</f>
        <v>Single or multiple cups</v>
      </c>
      <c r="E3549" t="str">
        <f>VLOOKUP(A3549,Panels!$A$1:$E$2104,5,0)</f>
        <v>East Lordenshaw</v>
      </c>
    </row>
    <row r="3550">
      <c r="A3550" s="3">
        <v>1276.0</v>
      </c>
      <c r="B3550" s="3">
        <v>57.0</v>
      </c>
      <c r="C3550" s="3">
        <v>2.0</v>
      </c>
      <c r="D3550" t="str">
        <f>VLOOKUP(B3550,ERA_MOTIF_TYPES.csv!$A$1:$C$119,2,1)</f>
        <v>Cup and ring</v>
      </c>
      <c r="E3550" t="str">
        <f>VLOOKUP(A3550,Panels!$A$1:$E$2104,5,0)</f>
        <v>East Lordenshaw</v>
      </c>
    </row>
    <row r="3551">
      <c r="A3551" s="3">
        <v>1276.0</v>
      </c>
      <c r="B3551" s="3">
        <v>103.0</v>
      </c>
      <c r="C3551" s="3">
        <v>4.0</v>
      </c>
      <c r="D3551" t="str">
        <f>VLOOKUP(B3551,ERA_MOTIF_TYPES.csv!$A$1:$C$119,2,1)</f>
        <v>Cup and groove</v>
      </c>
      <c r="E3551" t="str">
        <f>VLOOKUP(A3551,Panels!$A$1:$E$2104,5,0)</f>
        <v>East Lordenshaw</v>
      </c>
    </row>
    <row r="3552">
      <c r="A3552" s="3">
        <v>1276.0</v>
      </c>
      <c r="B3552" s="3">
        <v>106.0</v>
      </c>
      <c r="C3552" s="3">
        <v>5.0</v>
      </c>
      <c r="D3552" t="str">
        <f>VLOOKUP(B3552,ERA_MOTIF_TYPES.csv!$A$1:$C$119,2,1)</f>
        <v>Long groove</v>
      </c>
      <c r="E3552" t="str">
        <f>VLOOKUP(A3552,Panels!$A$1:$E$2104,5,0)</f>
        <v>East Lordenshaw</v>
      </c>
    </row>
    <row r="3553">
      <c r="A3553" s="3">
        <v>1277.0</v>
      </c>
      <c r="B3553" s="3">
        <v>1.0</v>
      </c>
      <c r="C3553" s="3">
        <v>8.0</v>
      </c>
      <c r="D3553" t="str">
        <f>VLOOKUP(B3553,ERA_MOTIF_TYPES.csv!$A$1:$C$119,2,1)</f>
        <v>Cups Single</v>
      </c>
      <c r="E3553" t="str">
        <f>VLOOKUP(A3553,Panels!$A$1:$E$2104,5,0)</f>
        <v>East Lordenshaw</v>
      </c>
    </row>
    <row r="3554">
      <c r="A3554" s="3">
        <v>1277.0</v>
      </c>
      <c r="B3554" s="3">
        <v>31.0</v>
      </c>
      <c r="C3554" s="3">
        <v>2.0</v>
      </c>
      <c r="D3554" t="str">
        <f>VLOOKUP(B3554,ERA_MOTIF_TYPES.csv!$A$1:$C$119,2,1)</f>
        <v>Cup and Groove</v>
      </c>
      <c r="E3554" t="str">
        <f>VLOOKUP(A3554,Panels!$A$1:$E$2104,5,0)</f>
        <v>East Lordenshaw</v>
      </c>
    </row>
    <row r="3555">
      <c r="A3555" s="3">
        <v>1277.0</v>
      </c>
      <c r="B3555" s="3">
        <v>52.0</v>
      </c>
      <c r="C3555" s="3">
        <v>5.0</v>
      </c>
      <c r="D3555" t="str">
        <f>VLOOKUP(B3555,ERA_MOTIF_TYPES.csv!$A$1:$C$119,2,1)</f>
        <v>Single or multiple cups</v>
      </c>
      <c r="E3555" t="str">
        <f>VLOOKUP(A3555,Panels!$A$1:$E$2104,5,0)</f>
        <v>East Lordenshaw</v>
      </c>
    </row>
    <row r="3556">
      <c r="A3556" s="3">
        <v>1277.0</v>
      </c>
      <c r="B3556" s="3">
        <v>93.0</v>
      </c>
      <c r="C3556" s="3">
        <v>12.0</v>
      </c>
      <c r="D3556" t="str">
        <f>VLOOKUP(B3556,ERA_MOTIF_TYPES.csv!$A$1:$C$119,2,1)</f>
        <v>Midget cup</v>
      </c>
      <c r="E3556" t="str">
        <f>VLOOKUP(A3556,Panels!$A$1:$E$2104,5,0)</f>
        <v>East Lordenshaw</v>
      </c>
    </row>
    <row r="3557">
      <c r="A3557" s="3">
        <v>1278.0</v>
      </c>
      <c r="B3557" s="3">
        <v>1.0</v>
      </c>
      <c r="C3557" s="3">
        <v>1.0</v>
      </c>
      <c r="D3557" t="str">
        <f>VLOOKUP(B3557,ERA_MOTIF_TYPES.csv!$A$1:$C$119,2,1)</f>
        <v>Cups Single</v>
      </c>
      <c r="E3557" t="str">
        <f>VLOOKUP(A3557,Panels!$A$1:$E$2104,5,0)</f>
        <v>East Lordenshaw</v>
      </c>
    </row>
    <row r="3558">
      <c r="A3558" s="3">
        <v>1278.0</v>
      </c>
      <c r="B3558" s="3">
        <v>52.0</v>
      </c>
      <c r="C3558" s="3">
        <v>1.0</v>
      </c>
      <c r="D3558" t="str">
        <f>VLOOKUP(B3558,ERA_MOTIF_TYPES.csv!$A$1:$C$119,2,1)</f>
        <v>Single or multiple cups</v>
      </c>
      <c r="E3558" t="str">
        <f>VLOOKUP(A3558,Panels!$A$1:$E$2104,5,0)</f>
        <v>East Lordenshaw</v>
      </c>
    </row>
    <row r="3559">
      <c r="A3559" s="3">
        <v>1278.0</v>
      </c>
      <c r="B3559" s="3">
        <v>100.0</v>
      </c>
      <c r="C3559" s="3">
        <v>1.0</v>
      </c>
      <c r="D3559" t="str">
        <f>VLOOKUP(B3559,ERA_MOTIF_TYPES.csv!$A$1:$C$119,2,1)</f>
        <v>Pick marks</v>
      </c>
      <c r="E3559" t="str">
        <f>VLOOKUP(A3559,Panels!$A$1:$E$2104,5,0)</f>
        <v>East Lordenshaw</v>
      </c>
    </row>
    <row r="3560">
      <c r="A3560" s="3">
        <v>1279.0</v>
      </c>
      <c r="B3560" s="3">
        <v>1.0</v>
      </c>
      <c r="C3560" s="3">
        <v>2.0</v>
      </c>
      <c r="D3560" t="str">
        <f>VLOOKUP(B3560,ERA_MOTIF_TYPES.csv!$A$1:$C$119,2,1)</f>
        <v>Cups Single</v>
      </c>
      <c r="E3560" t="str">
        <f>VLOOKUP(A3560,Panels!$A$1:$E$2104,5,0)</f>
        <v>East Lordenshaw</v>
      </c>
    </row>
    <row r="3561">
      <c r="A3561" s="3">
        <v>1279.0</v>
      </c>
      <c r="B3561" s="3">
        <v>2.0</v>
      </c>
      <c r="C3561" s="3">
        <v>1.0</v>
      </c>
      <c r="D3561" t="str">
        <f>VLOOKUP(B3561,ERA_MOTIF_TYPES.csv!$A$1:$C$119,2,1)</f>
        <v>Random Cluster</v>
      </c>
      <c r="E3561" t="str">
        <f>VLOOKUP(A3561,Panels!$A$1:$E$2104,5,0)</f>
        <v>East Lordenshaw</v>
      </c>
    </row>
    <row r="3562">
      <c r="A3562" s="3">
        <v>1279.0</v>
      </c>
      <c r="B3562" s="3">
        <v>25.0</v>
      </c>
      <c r="C3562" s="3">
        <v>1.0</v>
      </c>
      <c r="D3562" t="str">
        <f>VLOOKUP(B3562,ERA_MOTIF_TYPES.csv!$A$1:$C$119,2,1)</f>
        <v>Linear</v>
      </c>
      <c r="E3562" t="str">
        <f>VLOOKUP(A3562,Panels!$A$1:$E$2104,5,0)</f>
        <v>East Lordenshaw</v>
      </c>
    </row>
    <row r="3563">
      <c r="A3563" s="3">
        <v>1279.0</v>
      </c>
      <c r="B3563" s="3">
        <v>52.0</v>
      </c>
      <c r="C3563" s="3">
        <v>5.0</v>
      </c>
      <c r="D3563" t="str">
        <f>VLOOKUP(B3563,ERA_MOTIF_TYPES.csv!$A$1:$C$119,2,1)</f>
        <v>Single or multiple cups</v>
      </c>
      <c r="E3563" t="str">
        <f>VLOOKUP(A3563,Panels!$A$1:$E$2104,5,0)</f>
        <v>East Lordenshaw</v>
      </c>
    </row>
    <row r="3564">
      <c r="A3564" s="3">
        <v>1280.0</v>
      </c>
      <c r="B3564" s="3">
        <v>1.0</v>
      </c>
      <c r="C3564" s="3">
        <v>12.0</v>
      </c>
      <c r="D3564" t="str">
        <f>VLOOKUP(B3564,ERA_MOTIF_TYPES.csv!$A$1:$C$119,2,1)</f>
        <v>Cups Single</v>
      </c>
      <c r="E3564" t="str">
        <f>VLOOKUP(A3564,Panels!$A$1:$E$2104,5,0)</f>
        <v>East Lordenshaw</v>
      </c>
    </row>
    <row r="3565">
      <c r="A3565" s="3">
        <v>1280.0</v>
      </c>
      <c r="B3565" s="3">
        <v>52.0</v>
      </c>
      <c r="C3565" s="3">
        <v>12.0</v>
      </c>
      <c r="D3565" t="str">
        <f>VLOOKUP(B3565,ERA_MOTIF_TYPES.csv!$A$1:$C$119,2,1)</f>
        <v>Single or multiple cups</v>
      </c>
      <c r="E3565" t="str">
        <f>VLOOKUP(A3565,Panels!$A$1:$E$2104,5,0)</f>
        <v>East Lordenshaw</v>
      </c>
    </row>
    <row r="3566">
      <c r="A3566" s="3">
        <v>1281.0</v>
      </c>
      <c r="B3566" s="3">
        <v>1.0</v>
      </c>
      <c r="C3566" s="3">
        <v>4.0</v>
      </c>
      <c r="D3566" t="str">
        <f>VLOOKUP(B3566,ERA_MOTIF_TYPES.csv!$A$1:$C$119,2,1)</f>
        <v>Cups Single</v>
      </c>
      <c r="E3566" t="str">
        <f>VLOOKUP(A3566,Panels!$A$1:$E$2104,5,0)</f>
        <v>East Lordenshaw Cairn</v>
      </c>
    </row>
    <row r="3567">
      <c r="A3567" s="3">
        <v>1282.0</v>
      </c>
      <c r="B3567" s="3">
        <v>1.0</v>
      </c>
      <c r="C3567" s="3">
        <v>9.0</v>
      </c>
      <c r="D3567" t="str">
        <f>VLOOKUP(B3567,ERA_MOTIF_TYPES.csv!$A$1:$C$119,2,1)</f>
        <v>Cups Single</v>
      </c>
      <c r="E3567" t="str">
        <f>VLOOKUP(A3567,Panels!$A$1:$E$2104,5,0)</f>
        <v>East Lordenshaw</v>
      </c>
    </row>
    <row r="3568">
      <c r="A3568" s="3">
        <v>1282.0</v>
      </c>
      <c r="B3568" s="3">
        <v>52.0</v>
      </c>
      <c r="C3568" s="3">
        <v>29.0</v>
      </c>
      <c r="D3568" t="str">
        <f>VLOOKUP(B3568,ERA_MOTIF_TYPES.csv!$A$1:$C$119,2,1)</f>
        <v>Single or multiple cups</v>
      </c>
      <c r="E3568" t="str">
        <f>VLOOKUP(A3568,Panels!$A$1:$E$2104,5,0)</f>
        <v>East Lordenshaw</v>
      </c>
    </row>
    <row r="3569">
      <c r="A3569" s="3">
        <v>1283.0</v>
      </c>
      <c r="B3569" s="3">
        <v>1.0</v>
      </c>
      <c r="C3569" s="3">
        <v>60.0</v>
      </c>
      <c r="D3569" t="str">
        <f>VLOOKUP(B3569,ERA_MOTIF_TYPES.csv!$A$1:$C$119,2,1)</f>
        <v>Cups Single</v>
      </c>
      <c r="E3569" t="str">
        <f>VLOOKUP(A3569,Panels!$A$1:$E$2104,5,0)</f>
        <v>East Lordenshaw</v>
      </c>
    </row>
    <row r="3570">
      <c r="A3570" s="3">
        <v>1283.0</v>
      </c>
      <c r="B3570" s="3">
        <v>2.0</v>
      </c>
      <c r="C3570" s="3">
        <v>1.0</v>
      </c>
      <c r="D3570" t="str">
        <f>VLOOKUP(B3570,ERA_MOTIF_TYPES.csv!$A$1:$C$119,2,1)</f>
        <v>Random Cluster</v>
      </c>
      <c r="E3570" t="str">
        <f>VLOOKUP(A3570,Panels!$A$1:$E$2104,5,0)</f>
        <v>East Lordenshaw</v>
      </c>
    </row>
    <row r="3571">
      <c r="A3571" s="3">
        <v>1283.0</v>
      </c>
      <c r="B3571" s="3">
        <v>6.0</v>
      </c>
      <c r="C3571" s="3">
        <v>2.0</v>
      </c>
      <c r="D3571" t="str">
        <f>VLOOKUP(B3571,ERA_MOTIF_TYPES.csv!$A$1:$C$119,2,1)</f>
        <v>curved or straight line</v>
      </c>
      <c r="E3571" t="str">
        <f>VLOOKUP(A3571,Panels!$A$1:$E$2104,5,0)</f>
        <v>East Lordenshaw</v>
      </c>
    </row>
    <row r="3572">
      <c r="A3572" s="3">
        <v>1283.0</v>
      </c>
      <c r="B3572" s="3">
        <v>31.0</v>
      </c>
      <c r="C3572" s="3">
        <v>1.0</v>
      </c>
      <c r="D3572" t="str">
        <f>VLOOKUP(B3572,ERA_MOTIF_TYPES.csv!$A$1:$C$119,2,1)</f>
        <v>Cup and Groove</v>
      </c>
      <c r="E3572" t="str">
        <f>VLOOKUP(A3572,Panels!$A$1:$E$2104,5,0)</f>
        <v>East Lordenshaw</v>
      </c>
    </row>
    <row r="3573">
      <c r="A3573" s="3">
        <v>1283.0</v>
      </c>
      <c r="B3573" s="3">
        <v>52.0</v>
      </c>
      <c r="C3573" s="3">
        <v>89.0</v>
      </c>
      <c r="D3573" t="str">
        <f>VLOOKUP(B3573,ERA_MOTIF_TYPES.csv!$A$1:$C$119,2,1)</f>
        <v>Single or multiple cups</v>
      </c>
      <c r="E3573" t="str">
        <f>VLOOKUP(A3573,Panels!$A$1:$E$2104,5,0)</f>
        <v>East Lordenshaw</v>
      </c>
    </row>
    <row r="3574">
      <c r="A3574" s="3">
        <v>1283.0</v>
      </c>
      <c r="B3574" s="3">
        <v>55.0</v>
      </c>
      <c r="C3574" s="3">
        <v>1.0</v>
      </c>
      <c r="D3574" t="str">
        <f>VLOOKUP(B3574,ERA_MOTIF_TYPES.csv!$A$1:$C$119,2,1)</f>
        <v>Cups in a straight or curved line</v>
      </c>
      <c r="E3574" t="str">
        <f>VLOOKUP(A3574,Panels!$A$1:$E$2104,5,0)</f>
        <v>East Lordenshaw</v>
      </c>
    </row>
    <row r="3575">
      <c r="A3575" s="3">
        <v>1283.0</v>
      </c>
      <c r="B3575" s="3">
        <v>106.0</v>
      </c>
      <c r="C3575" s="3">
        <v>4.0</v>
      </c>
      <c r="D3575" t="str">
        <f>VLOOKUP(B3575,ERA_MOTIF_TYPES.csv!$A$1:$C$119,2,1)</f>
        <v>Long groove</v>
      </c>
      <c r="E3575" t="str">
        <f>VLOOKUP(A3575,Panels!$A$1:$E$2104,5,0)</f>
        <v>East Lordenshaw</v>
      </c>
    </row>
    <row r="3576">
      <c r="A3576" s="3">
        <v>1284.0</v>
      </c>
      <c r="B3576" s="3">
        <v>1.0</v>
      </c>
      <c r="C3576" s="3">
        <v>1.0</v>
      </c>
      <c r="D3576" t="str">
        <f>VLOOKUP(B3576,ERA_MOTIF_TYPES.csv!$A$1:$C$119,2,1)</f>
        <v>Cups Single</v>
      </c>
      <c r="E3576" t="str">
        <f>VLOOKUP(A3576,Panels!$A$1:$E$2104,5,0)</f>
        <v>West Lordenshaw</v>
      </c>
    </row>
    <row r="3577">
      <c r="A3577" s="3">
        <v>1284.0</v>
      </c>
      <c r="B3577" s="3">
        <v>52.0</v>
      </c>
      <c r="C3577" s="3">
        <v>1.0</v>
      </c>
      <c r="D3577" t="str">
        <f>VLOOKUP(B3577,ERA_MOTIF_TYPES.csv!$A$1:$C$119,2,1)</f>
        <v>Single or multiple cups</v>
      </c>
      <c r="E3577" t="str">
        <f>VLOOKUP(A3577,Panels!$A$1:$E$2104,5,0)</f>
        <v>West Lordenshaw</v>
      </c>
    </row>
    <row r="3578">
      <c r="A3578" s="3">
        <v>1285.0</v>
      </c>
      <c r="B3578" s="3">
        <v>1.0</v>
      </c>
      <c r="C3578" s="3">
        <v>1.0</v>
      </c>
      <c r="D3578" t="str">
        <f>VLOOKUP(B3578,ERA_MOTIF_TYPES.csv!$A$1:$C$119,2,1)</f>
        <v>Cups Single</v>
      </c>
      <c r="E3578" t="str">
        <f>VLOOKUP(A3578,Panels!$A$1:$E$2104,5,0)</f>
        <v>West Lordenshaw</v>
      </c>
    </row>
    <row r="3579">
      <c r="A3579" s="3">
        <v>1285.0</v>
      </c>
      <c r="B3579" s="3">
        <v>52.0</v>
      </c>
      <c r="C3579" s="3">
        <v>1.0</v>
      </c>
      <c r="D3579" t="str">
        <f>VLOOKUP(B3579,ERA_MOTIF_TYPES.csv!$A$1:$C$119,2,1)</f>
        <v>Single or multiple cups</v>
      </c>
      <c r="E3579" t="str">
        <f>VLOOKUP(A3579,Panels!$A$1:$E$2104,5,0)</f>
        <v>West Lordenshaw</v>
      </c>
    </row>
    <row r="3580">
      <c r="A3580" s="3">
        <v>1286.0</v>
      </c>
      <c r="B3580" s="3">
        <v>1.0</v>
      </c>
      <c r="C3580" s="3">
        <v>1.0</v>
      </c>
      <c r="D3580" t="str">
        <f>VLOOKUP(B3580,ERA_MOTIF_TYPES.csv!$A$1:$C$119,2,1)</f>
        <v>Cups Single</v>
      </c>
      <c r="E3580" t="str">
        <f>VLOOKUP(A3580,Panels!$A$1:$E$2104,5,0)</f>
        <v>East Lordenshaw</v>
      </c>
    </row>
    <row r="3581">
      <c r="A3581" s="3">
        <v>1286.0</v>
      </c>
      <c r="B3581" s="3">
        <v>52.0</v>
      </c>
      <c r="C3581" s="3">
        <v>1.0</v>
      </c>
      <c r="D3581" t="str">
        <f>VLOOKUP(B3581,ERA_MOTIF_TYPES.csv!$A$1:$C$119,2,1)</f>
        <v>Single or multiple cups</v>
      </c>
      <c r="E3581" t="str">
        <f>VLOOKUP(A3581,Panels!$A$1:$E$2104,5,0)</f>
        <v>East Lordenshaw</v>
      </c>
    </row>
    <row r="3582">
      <c r="A3582" s="3">
        <v>1287.0</v>
      </c>
      <c r="B3582" s="3">
        <v>1.0</v>
      </c>
      <c r="C3582" s="3">
        <v>8.0</v>
      </c>
      <c r="D3582" t="str">
        <f>VLOOKUP(B3582,ERA_MOTIF_TYPES.csv!$A$1:$C$119,2,1)</f>
        <v>Cups Single</v>
      </c>
      <c r="E3582" t="str">
        <f>VLOOKUP(A3582,Panels!$A$1:$E$2104,5,0)</f>
        <v>East Lordenshaw</v>
      </c>
    </row>
    <row r="3583">
      <c r="A3583" s="3">
        <v>1287.0</v>
      </c>
      <c r="B3583" s="3">
        <v>52.0</v>
      </c>
      <c r="C3583" s="3">
        <v>8.0</v>
      </c>
      <c r="D3583" t="str">
        <f>VLOOKUP(B3583,ERA_MOTIF_TYPES.csv!$A$1:$C$119,2,1)</f>
        <v>Single or multiple cups</v>
      </c>
      <c r="E3583" t="str">
        <f>VLOOKUP(A3583,Panels!$A$1:$E$2104,5,0)</f>
        <v>East Lordenshaw</v>
      </c>
    </row>
    <row r="3584">
      <c r="A3584" s="3">
        <v>1288.0</v>
      </c>
      <c r="B3584" s="3">
        <v>1.0</v>
      </c>
      <c r="C3584" s="3">
        <v>2.0</v>
      </c>
      <c r="D3584" t="str">
        <f>VLOOKUP(B3584,ERA_MOTIF_TYPES.csv!$A$1:$C$119,2,1)</f>
        <v>Cups Single</v>
      </c>
      <c r="E3584" t="str">
        <f>VLOOKUP(A3584,Panels!$A$1:$E$2104,5,0)</f>
        <v>East Lordenshaw</v>
      </c>
    </row>
    <row r="3585">
      <c r="A3585" s="3">
        <v>1288.0</v>
      </c>
      <c r="B3585" s="3">
        <v>52.0</v>
      </c>
      <c r="C3585" s="3">
        <v>1.0</v>
      </c>
      <c r="D3585" t="str">
        <f>VLOOKUP(B3585,ERA_MOTIF_TYPES.csv!$A$1:$C$119,2,1)</f>
        <v>Single or multiple cups</v>
      </c>
      <c r="E3585" t="str">
        <f>VLOOKUP(A3585,Panels!$A$1:$E$2104,5,0)</f>
        <v>East Lordenshaw</v>
      </c>
    </row>
    <row r="3586">
      <c r="A3586" s="3">
        <v>1288.0</v>
      </c>
      <c r="B3586" s="3">
        <v>61.0</v>
      </c>
      <c r="C3586" s="3">
        <v>1.0</v>
      </c>
      <c r="D3586" t="str">
        <f>VLOOKUP(B3586,ERA_MOTIF_TYPES.csv!$A$1:$C$119,2,1)</f>
        <v>Cup and arc (or semi-ovoid)</v>
      </c>
      <c r="E3586" t="str">
        <f>VLOOKUP(A3586,Panels!$A$1:$E$2104,5,0)</f>
        <v>East Lordenshaw</v>
      </c>
    </row>
    <row r="3587">
      <c r="A3587" s="3">
        <v>1289.0</v>
      </c>
      <c r="B3587" s="3">
        <v>1.0</v>
      </c>
      <c r="C3587" s="3">
        <v>3.0</v>
      </c>
      <c r="D3587" t="str">
        <f>VLOOKUP(B3587,ERA_MOTIF_TYPES.csv!$A$1:$C$119,2,1)</f>
        <v>Cups Single</v>
      </c>
      <c r="E3587" t="str">
        <f>VLOOKUP(A3587,Panels!$A$1:$E$2104,5,0)</f>
        <v>East Lordenshaw</v>
      </c>
    </row>
    <row r="3588">
      <c r="A3588" s="3">
        <v>1289.0</v>
      </c>
      <c r="B3588" s="3">
        <v>52.0</v>
      </c>
      <c r="C3588" s="3">
        <v>3.0</v>
      </c>
      <c r="D3588" t="str">
        <f>VLOOKUP(B3588,ERA_MOTIF_TYPES.csv!$A$1:$C$119,2,1)</f>
        <v>Single or multiple cups</v>
      </c>
      <c r="E3588" t="str">
        <f>VLOOKUP(A3588,Panels!$A$1:$E$2104,5,0)</f>
        <v>East Lordenshaw</v>
      </c>
    </row>
    <row r="3589">
      <c r="A3589" s="3">
        <v>1290.0</v>
      </c>
      <c r="B3589" s="3">
        <v>52.0</v>
      </c>
      <c r="C3589" s="3">
        <v>2.0</v>
      </c>
      <c r="D3589" t="str">
        <f>VLOOKUP(B3589,ERA_MOTIF_TYPES.csv!$A$1:$C$119,2,1)</f>
        <v>Single or multiple cups</v>
      </c>
      <c r="E3589" t="str">
        <f>VLOOKUP(A3589,Panels!$A$1:$E$2104,5,0)</f>
        <v>East Lordenshaw</v>
      </c>
    </row>
    <row r="3590">
      <c r="A3590" s="3">
        <v>1291.0</v>
      </c>
      <c r="B3590" s="3">
        <v>1.0</v>
      </c>
      <c r="C3590" s="3">
        <v>50.0</v>
      </c>
      <c r="D3590" t="str">
        <f>VLOOKUP(B3590,ERA_MOTIF_TYPES.csv!$A$1:$C$119,2,1)</f>
        <v>Cups Single</v>
      </c>
      <c r="E3590" t="str">
        <f>VLOOKUP(A3590,Panels!$A$1:$E$2104,5,0)</f>
        <v>East Lordenshaw</v>
      </c>
    </row>
    <row r="3591">
      <c r="A3591" s="3">
        <v>1291.0</v>
      </c>
      <c r="B3591" s="3">
        <v>2.0</v>
      </c>
      <c r="C3591" s="3">
        <v>2.0</v>
      </c>
      <c r="D3591" t="str">
        <f>VLOOKUP(B3591,ERA_MOTIF_TYPES.csv!$A$1:$C$119,2,1)</f>
        <v>Random Cluster</v>
      </c>
      <c r="E3591" t="str">
        <f>VLOOKUP(A3591,Panels!$A$1:$E$2104,5,0)</f>
        <v>East Lordenshaw</v>
      </c>
    </row>
    <row r="3592">
      <c r="A3592" s="3">
        <v>1291.0</v>
      </c>
      <c r="B3592" s="3">
        <v>6.0</v>
      </c>
      <c r="C3592" s="3">
        <v>1.0</v>
      </c>
      <c r="D3592" t="str">
        <f>VLOOKUP(B3592,ERA_MOTIF_TYPES.csv!$A$1:$C$119,2,1)</f>
        <v>curved or straight line</v>
      </c>
      <c r="E3592" t="str">
        <f>VLOOKUP(A3592,Panels!$A$1:$E$2104,5,0)</f>
        <v>East Lordenshaw</v>
      </c>
    </row>
    <row r="3593">
      <c r="A3593" s="3">
        <v>1291.0</v>
      </c>
      <c r="B3593" s="3">
        <v>13.0</v>
      </c>
      <c r="C3593" s="3">
        <v>1.0</v>
      </c>
      <c r="D3593" t="str">
        <f>VLOOKUP(B3593,ERA_MOTIF_TYPES.csv!$A$1:$C$119,2,1)</f>
        <v>Single Ring + cup</v>
      </c>
      <c r="E3593" t="str">
        <f>VLOOKUP(A3593,Panels!$A$1:$E$2104,5,0)</f>
        <v>East Lordenshaw</v>
      </c>
    </row>
    <row r="3594">
      <c r="A3594" s="3">
        <v>1291.0</v>
      </c>
      <c r="B3594" s="3">
        <v>16.0</v>
      </c>
      <c r="C3594" s="3">
        <v>1.0</v>
      </c>
      <c r="D3594" t="str">
        <f>VLOOKUP(B3594,ERA_MOTIF_TYPES.csv!$A$1:$C$119,2,1)</f>
        <v>Single Arc + cup</v>
      </c>
      <c r="E3594" t="str">
        <f>VLOOKUP(A3594,Panels!$A$1:$E$2104,5,0)</f>
        <v>East Lordenshaw</v>
      </c>
    </row>
    <row r="3595">
      <c r="A3595" s="3">
        <v>1291.0</v>
      </c>
      <c r="B3595" s="3">
        <v>25.0</v>
      </c>
      <c r="C3595" s="3">
        <v>1.0</v>
      </c>
      <c r="D3595" t="str">
        <f>VLOOKUP(B3595,ERA_MOTIF_TYPES.csv!$A$1:$C$119,2,1)</f>
        <v>Linear</v>
      </c>
      <c r="E3595" t="str">
        <f>VLOOKUP(A3595,Panels!$A$1:$E$2104,5,0)</f>
        <v>East Lordenshaw</v>
      </c>
    </row>
    <row r="3596">
      <c r="A3596" s="3">
        <v>1291.0</v>
      </c>
      <c r="B3596" s="3">
        <v>31.0</v>
      </c>
      <c r="C3596" s="3">
        <v>4.0</v>
      </c>
      <c r="D3596" t="str">
        <f>VLOOKUP(B3596,ERA_MOTIF_TYPES.csv!$A$1:$C$119,2,1)</f>
        <v>Cup and Groove</v>
      </c>
      <c r="E3596" t="str">
        <f>VLOOKUP(A3596,Panels!$A$1:$E$2104,5,0)</f>
        <v>East Lordenshaw</v>
      </c>
    </row>
    <row r="3597">
      <c r="A3597" s="3">
        <v>1291.0</v>
      </c>
      <c r="B3597" s="3">
        <v>52.0</v>
      </c>
      <c r="C3597" s="3">
        <v>30.0</v>
      </c>
      <c r="D3597" t="str">
        <f>VLOOKUP(B3597,ERA_MOTIF_TYPES.csv!$A$1:$C$119,2,1)</f>
        <v>Single or multiple cups</v>
      </c>
      <c r="E3597" t="str">
        <f>VLOOKUP(A3597,Panels!$A$1:$E$2104,5,0)</f>
        <v>East Lordenshaw</v>
      </c>
    </row>
    <row r="3598">
      <c r="A3598" s="3">
        <v>1291.0</v>
      </c>
      <c r="B3598" s="3">
        <v>57.0</v>
      </c>
      <c r="C3598" s="3">
        <v>1.0</v>
      </c>
      <c r="D3598" t="str">
        <f>VLOOKUP(B3598,ERA_MOTIF_TYPES.csv!$A$1:$C$119,2,1)</f>
        <v>Cup and ring</v>
      </c>
      <c r="E3598" t="str">
        <f>VLOOKUP(A3598,Panels!$A$1:$E$2104,5,0)</f>
        <v>East Lordenshaw</v>
      </c>
    </row>
    <row r="3599">
      <c r="A3599" s="3">
        <v>1291.0</v>
      </c>
      <c r="B3599" s="3">
        <v>59.0</v>
      </c>
      <c r="C3599" s="3">
        <v>1.0</v>
      </c>
      <c r="D3599" t="str">
        <f>VLOOKUP(B3599,ERA_MOTIF_TYPES.csv!$A$1:$C$119,2,1)</f>
        <v>Cup and penannular</v>
      </c>
      <c r="E3599" t="str">
        <f>VLOOKUP(A3599,Panels!$A$1:$E$2104,5,0)</f>
        <v>East Lordenshaw</v>
      </c>
    </row>
    <row r="3600">
      <c r="A3600" s="3">
        <v>1291.0</v>
      </c>
      <c r="B3600" s="3">
        <v>73.0</v>
      </c>
      <c r="C3600" s="3">
        <v>1.0</v>
      </c>
      <c r="D3600" t="str">
        <f>VLOOKUP(B3600,ERA_MOTIF_TYPES.csv!$A$1:$C$119,2,1)</f>
        <v>Arc</v>
      </c>
      <c r="E3600" t="str">
        <f>VLOOKUP(A3600,Panels!$A$1:$E$2104,5,0)</f>
        <v>East Lordenshaw</v>
      </c>
    </row>
    <row r="3601">
      <c r="A3601" s="3">
        <v>1291.0</v>
      </c>
      <c r="B3601" s="3">
        <v>93.0</v>
      </c>
      <c r="C3601" s="3">
        <v>10.0</v>
      </c>
      <c r="D3601" t="str">
        <f>VLOOKUP(B3601,ERA_MOTIF_TYPES.csv!$A$1:$C$119,2,1)</f>
        <v>Midget cup</v>
      </c>
      <c r="E3601" t="str">
        <f>VLOOKUP(A3601,Panels!$A$1:$E$2104,5,0)</f>
        <v>East Lordenshaw</v>
      </c>
    </row>
    <row r="3602">
      <c r="A3602" s="3">
        <v>1291.0</v>
      </c>
      <c r="B3602" s="3">
        <v>94.0</v>
      </c>
      <c r="C3602" s="3">
        <v>1.0</v>
      </c>
      <c r="D3602" t="str">
        <f>VLOOKUP(B3602,ERA_MOTIF_TYPES.csv!$A$1:$C$119,2,1)</f>
        <v>Basin</v>
      </c>
      <c r="E3602" t="str">
        <f>VLOOKUP(A3602,Panels!$A$1:$E$2104,5,0)</f>
        <v>East Lordenshaw</v>
      </c>
    </row>
    <row r="3603">
      <c r="A3603" s="3">
        <v>1291.0</v>
      </c>
      <c r="B3603" s="3">
        <v>103.0</v>
      </c>
      <c r="C3603" s="3">
        <v>1.0</v>
      </c>
      <c r="D3603" t="str">
        <f>VLOOKUP(B3603,ERA_MOTIF_TYPES.csv!$A$1:$C$119,2,1)</f>
        <v>Cup and groove</v>
      </c>
      <c r="E3603" t="str">
        <f>VLOOKUP(A3603,Panels!$A$1:$E$2104,5,0)</f>
        <v>East Lordenshaw</v>
      </c>
    </row>
    <row r="3604">
      <c r="A3604" s="3">
        <v>1291.0</v>
      </c>
      <c r="B3604" s="3">
        <v>105.0</v>
      </c>
      <c r="C3604" s="3">
        <v>1.0</v>
      </c>
      <c r="D3604" t="str">
        <f>VLOOKUP(B3604,ERA_MOTIF_TYPES.csv!$A$1:$C$119,2,1)</f>
        <v>Two cups linked by a groove</v>
      </c>
      <c r="E3604" t="str">
        <f>VLOOKUP(A3604,Panels!$A$1:$E$2104,5,0)</f>
        <v>East Lordenshaw</v>
      </c>
    </row>
    <row r="3605">
      <c r="A3605" s="3">
        <v>1291.0</v>
      </c>
      <c r="B3605" s="3">
        <v>110.0</v>
      </c>
      <c r="C3605" s="3">
        <v>1.0</v>
      </c>
      <c r="D3605" t="str">
        <f>VLOOKUP(B3605,ERA_MOTIF_TYPES.csv!$A$1:$C$119,2,1)</f>
        <v>Curved groove</v>
      </c>
      <c r="E3605" t="str">
        <f>VLOOKUP(A3605,Panels!$A$1:$E$2104,5,0)</f>
        <v>East Lordenshaw</v>
      </c>
    </row>
    <row r="3606">
      <c r="A3606" s="3">
        <v>1291.0</v>
      </c>
      <c r="B3606" s="3">
        <v>111.0</v>
      </c>
      <c r="C3606" s="3">
        <v>2.0</v>
      </c>
      <c r="D3606" t="str">
        <f>VLOOKUP(B3606,ERA_MOTIF_TYPES.csv!$A$1:$C$119,2,1)</f>
        <v>Cluster of midget cups</v>
      </c>
      <c r="E3606" t="str">
        <f>VLOOKUP(A3606,Panels!$A$1:$E$2104,5,0)</f>
        <v>East Lordenshaw</v>
      </c>
    </row>
    <row r="3607">
      <c r="A3607" s="3">
        <v>1292.0</v>
      </c>
      <c r="B3607" s="3">
        <v>1.0</v>
      </c>
      <c r="C3607" s="3">
        <v>1.0</v>
      </c>
      <c r="D3607" t="str">
        <f>VLOOKUP(B3607,ERA_MOTIF_TYPES.csv!$A$1:$C$119,2,1)</f>
        <v>Cups Single</v>
      </c>
      <c r="E3607" t="str">
        <f>VLOOKUP(A3607,Panels!$A$1:$E$2104,5,0)</f>
        <v>West Lordenshaw (Birky Hill)</v>
      </c>
    </row>
    <row r="3608">
      <c r="A3608" s="3">
        <v>1292.0</v>
      </c>
      <c r="B3608" s="3">
        <v>25.0</v>
      </c>
      <c r="C3608" s="3">
        <v>2.0</v>
      </c>
      <c r="D3608" t="str">
        <f>VLOOKUP(B3608,ERA_MOTIF_TYPES.csv!$A$1:$C$119,2,1)</f>
        <v>Linear</v>
      </c>
      <c r="E3608" t="str">
        <f>VLOOKUP(A3608,Panels!$A$1:$E$2104,5,0)</f>
        <v>West Lordenshaw (Birky Hill)</v>
      </c>
    </row>
    <row r="3609">
      <c r="A3609" s="3">
        <v>1292.0</v>
      </c>
      <c r="B3609" s="3">
        <v>31.0</v>
      </c>
      <c r="C3609" s="3">
        <v>1.0</v>
      </c>
      <c r="D3609" t="str">
        <f>VLOOKUP(B3609,ERA_MOTIF_TYPES.csv!$A$1:$C$119,2,1)</f>
        <v>Cup and Groove</v>
      </c>
      <c r="E3609" t="str">
        <f>VLOOKUP(A3609,Panels!$A$1:$E$2104,5,0)</f>
        <v>West Lordenshaw (Birky Hill)</v>
      </c>
    </row>
    <row r="3610">
      <c r="A3610" s="3">
        <v>1292.0</v>
      </c>
      <c r="B3610" s="3">
        <v>52.0</v>
      </c>
      <c r="C3610" s="3">
        <v>2.0</v>
      </c>
      <c r="D3610" t="str">
        <f>VLOOKUP(B3610,ERA_MOTIF_TYPES.csv!$A$1:$C$119,2,1)</f>
        <v>Single or multiple cups</v>
      </c>
      <c r="E3610" t="str">
        <f>VLOOKUP(A3610,Panels!$A$1:$E$2104,5,0)</f>
        <v>West Lordenshaw (Birky Hill)</v>
      </c>
    </row>
    <row r="3611">
      <c r="A3611" s="3">
        <v>1293.0</v>
      </c>
      <c r="B3611" s="3">
        <v>1.0</v>
      </c>
      <c r="C3611" s="3">
        <v>22.0</v>
      </c>
      <c r="D3611" t="str">
        <f>VLOOKUP(B3611,ERA_MOTIF_TYPES.csv!$A$1:$C$119,2,1)</f>
        <v>Cups Single</v>
      </c>
      <c r="E3611" t="str">
        <f>VLOOKUP(A3611,Panels!$A$1:$E$2104,5,0)</f>
        <v>East Lordenshaw</v>
      </c>
    </row>
    <row r="3612">
      <c r="A3612" s="3">
        <v>1293.0</v>
      </c>
      <c r="B3612" s="3">
        <v>52.0</v>
      </c>
      <c r="C3612" s="3">
        <v>28.0</v>
      </c>
      <c r="D3612" t="str">
        <f>VLOOKUP(B3612,ERA_MOTIF_TYPES.csv!$A$1:$C$119,2,1)</f>
        <v>Single or multiple cups</v>
      </c>
      <c r="E3612" t="str">
        <f>VLOOKUP(A3612,Panels!$A$1:$E$2104,5,0)</f>
        <v>East Lordenshaw</v>
      </c>
    </row>
    <row r="3613">
      <c r="A3613" s="3">
        <v>1294.0</v>
      </c>
      <c r="B3613" s="3">
        <v>2.0</v>
      </c>
      <c r="C3613" s="3">
        <v>1.0</v>
      </c>
      <c r="D3613" t="str">
        <f>VLOOKUP(B3613,ERA_MOTIF_TYPES.csv!$A$1:$C$119,2,1)</f>
        <v>Random Cluster</v>
      </c>
      <c r="E3613" t="str">
        <f>VLOOKUP(A3613,Panels!$A$1:$E$2104,5,0)</f>
        <v>West Lordenshaw</v>
      </c>
    </row>
    <row r="3614">
      <c r="A3614" s="3">
        <v>1294.0</v>
      </c>
      <c r="B3614" s="3">
        <v>52.0</v>
      </c>
      <c r="C3614" s="3">
        <v>1.0</v>
      </c>
      <c r="D3614" t="str">
        <f>VLOOKUP(B3614,ERA_MOTIF_TYPES.csv!$A$1:$C$119,2,1)</f>
        <v>Single or multiple cups</v>
      </c>
      <c r="E3614" t="str">
        <f>VLOOKUP(A3614,Panels!$A$1:$E$2104,5,0)</f>
        <v>West Lordenshaw</v>
      </c>
    </row>
    <row r="3615">
      <c r="A3615" s="3">
        <v>1294.0</v>
      </c>
      <c r="B3615" s="3">
        <v>103.0</v>
      </c>
      <c r="C3615" s="3">
        <v>1.0</v>
      </c>
      <c r="D3615" t="str">
        <f>VLOOKUP(B3615,ERA_MOTIF_TYPES.csv!$A$1:$C$119,2,1)</f>
        <v>Cup and groove</v>
      </c>
      <c r="E3615" t="str">
        <f>VLOOKUP(A3615,Panels!$A$1:$E$2104,5,0)</f>
        <v>West Lordenshaw</v>
      </c>
    </row>
    <row r="3616">
      <c r="A3616" s="3">
        <v>1294.0</v>
      </c>
      <c r="B3616" s="3">
        <v>111.0</v>
      </c>
      <c r="C3616" s="3">
        <v>1.0</v>
      </c>
      <c r="D3616" t="str">
        <f>VLOOKUP(B3616,ERA_MOTIF_TYPES.csv!$A$1:$C$119,2,1)</f>
        <v>Cluster of midget cups</v>
      </c>
      <c r="E3616" t="str">
        <f>VLOOKUP(A3616,Panels!$A$1:$E$2104,5,0)</f>
        <v>West Lordenshaw</v>
      </c>
    </row>
    <row r="3617">
      <c r="A3617" s="3">
        <v>1295.0</v>
      </c>
      <c r="B3617" s="3">
        <v>1.0</v>
      </c>
      <c r="C3617" s="3">
        <v>4.0</v>
      </c>
      <c r="D3617" t="str">
        <f>VLOOKUP(B3617,ERA_MOTIF_TYPES.csv!$A$1:$C$119,2,1)</f>
        <v>Cups Single</v>
      </c>
      <c r="E3617" t="str">
        <f>VLOOKUP(A3617,Panels!$A$1:$E$2104,5,0)</f>
        <v>West Lordenshaw</v>
      </c>
    </row>
    <row r="3618">
      <c r="A3618" s="3">
        <v>1295.0</v>
      </c>
      <c r="B3618" s="3">
        <v>93.0</v>
      </c>
      <c r="C3618" s="3">
        <v>2.0</v>
      </c>
      <c r="D3618" t="str">
        <f>VLOOKUP(B3618,ERA_MOTIF_TYPES.csv!$A$1:$C$119,2,1)</f>
        <v>Midget cup</v>
      </c>
      <c r="E3618" t="str">
        <f>VLOOKUP(A3618,Panels!$A$1:$E$2104,5,0)</f>
        <v>West Lordenshaw</v>
      </c>
    </row>
    <row r="3619">
      <c r="A3619" s="3">
        <v>1296.0</v>
      </c>
      <c r="B3619" s="3">
        <v>1.0</v>
      </c>
      <c r="C3619" s="3">
        <v>7.0</v>
      </c>
      <c r="D3619" t="str">
        <f>VLOOKUP(B3619,ERA_MOTIF_TYPES.csv!$A$1:$C$119,2,1)</f>
        <v>Cups Single</v>
      </c>
      <c r="E3619" t="str">
        <f>VLOOKUP(A3619,Panels!$A$1:$E$2104,5,0)</f>
        <v>West Lordenshaw</v>
      </c>
    </row>
    <row r="3620">
      <c r="A3620" s="3">
        <v>1296.0</v>
      </c>
      <c r="B3620" s="3">
        <v>2.0</v>
      </c>
      <c r="C3620" s="3">
        <v>1.0</v>
      </c>
      <c r="D3620" t="str">
        <f>VLOOKUP(B3620,ERA_MOTIF_TYPES.csv!$A$1:$C$119,2,1)</f>
        <v>Random Cluster</v>
      </c>
      <c r="E3620" t="str">
        <f>VLOOKUP(A3620,Panels!$A$1:$E$2104,5,0)</f>
        <v>West Lordenshaw</v>
      </c>
    </row>
    <row r="3621">
      <c r="A3621" s="3">
        <v>1297.0</v>
      </c>
      <c r="B3621" s="3">
        <v>1.0</v>
      </c>
      <c r="C3621" s="3">
        <v>14.0</v>
      </c>
      <c r="D3621" t="str">
        <f>VLOOKUP(B3621,ERA_MOTIF_TYPES.csv!$A$1:$C$119,2,1)</f>
        <v>Cups Single</v>
      </c>
      <c r="E3621" t="str">
        <f>VLOOKUP(A3621,Panels!$A$1:$E$2104,5,0)</f>
        <v>West Lordenshaw (Birky Hill)</v>
      </c>
    </row>
    <row r="3622">
      <c r="A3622" s="3">
        <v>1297.0</v>
      </c>
      <c r="B3622" s="3">
        <v>6.0</v>
      </c>
      <c r="C3622" s="3">
        <v>2.0</v>
      </c>
      <c r="D3622" t="str">
        <f>VLOOKUP(B3622,ERA_MOTIF_TYPES.csv!$A$1:$C$119,2,1)</f>
        <v>curved or straight line</v>
      </c>
      <c r="E3622" t="str">
        <f>VLOOKUP(A3622,Panels!$A$1:$E$2104,5,0)</f>
        <v>West Lordenshaw (Birky Hill)</v>
      </c>
    </row>
    <row r="3623">
      <c r="A3623" s="3">
        <v>1297.0</v>
      </c>
      <c r="B3623" s="3">
        <v>52.0</v>
      </c>
      <c r="C3623" s="3">
        <v>17.0</v>
      </c>
      <c r="D3623" t="str">
        <f>VLOOKUP(B3623,ERA_MOTIF_TYPES.csv!$A$1:$C$119,2,1)</f>
        <v>Single or multiple cups</v>
      </c>
      <c r="E3623" t="str">
        <f>VLOOKUP(A3623,Panels!$A$1:$E$2104,5,0)</f>
        <v>West Lordenshaw (Birky Hill)</v>
      </c>
    </row>
    <row r="3624">
      <c r="A3624" s="3">
        <v>1297.0</v>
      </c>
      <c r="B3624" s="3">
        <v>55.0</v>
      </c>
      <c r="C3624" s="3">
        <v>2.0</v>
      </c>
      <c r="D3624" t="str">
        <f>VLOOKUP(B3624,ERA_MOTIF_TYPES.csv!$A$1:$C$119,2,1)</f>
        <v>Cups in a straight or curved line</v>
      </c>
      <c r="E3624" t="str">
        <f>VLOOKUP(A3624,Panels!$A$1:$E$2104,5,0)</f>
        <v>West Lordenshaw (Birky Hill)</v>
      </c>
    </row>
    <row r="3625">
      <c r="A3625" s="3">
        <v>1297.0</v>
      </c>
      <c r="B3625" s="3">
        <v>61.0</v>
      </c>
      <c r="C3625" s="3">
        <v>1.0</v>
      </c>
      <c r="D3625" t="str">
        <f>VLOOKUP(B3625,ERA_MOTIF_TYPES.csv!$A$1:$C$119,2,1)</f>
        <v>Cup and arc (or semi-ovoid)</v>
      </c>
      <c r="E3625" t="str">
        <f>VLOOKUP(A3625,Panels!$A$1:$E$2104,5,0)</f>
        <v>West Lordenshaw (Birky Hill)</v>
      </c>
    </row>
    <row r="3626">
      <c r="A3626" s="3">
        <v>1298.0</v>
      </c>
      <c r="B3626" s="3">
        <v>1.0</v>
      </c>
      <c r="C3626" s="3">
        <v>3.0</v>
      </c>
      <c r="D3626" t="str">
        <f>VLOOKUP(B3626,ERA_MOTIF_TYPES.csv!$A$1:$C$119,2,1)</f>
        <v>Cups Single</v>
      </c>
      <c r="E3626" t="str">
        <f>VLOOKUP(A3626,Panels!$A$1:$E$2104,5,0)</f>
        <v>West Lordenshaw (Birky Hill)</v>
      </c>
    </row>
    <row r="3627">
      <c r="A3627" s="3">
        <v>1299.0</v>
      </c>
      <c r="B3627" s="3">
        <v>1.0</v>
      </c>
      <c r="C3627" s="3">
        <v>6.0</v>
      </c>
      <c r="D3627" t="str">
        <f>VLOOKUP(B3627,ERA_MOTIF_TYPES.csv!$A$1:$C$119,2,1)</f>
        <v>Cups Single</v>
      </c>
      <c r="E3627" t="str">
        <f>VLOOKUP(A3627,Panels!$A$1:$E$2104,5,0)</f>
        <v>West Lordenshaw</v>
      </c>
    </row>
    <row r="3628">
      <c r="A3628" s="3">
        <v>1299.0</v>
      </c>
      <c r="B3628" s="3">
        <v>52.0</v>
      </c>
      <c r="C3628" s="3">
        <v>19.0</v>
      </c>
      <c r="D3628" t="str">
        <f>VLOOKUP(B3628,ERA_MOTIF_TYPES.csv!$A$1:$C$119,2,1)</f>
        <v>Single or multiple cups</v>
      </c>
      <c r="E3628" t="str">
        <f>VLOOKUP(A3628,Panels!$A$1:$E$2104,5,0)</f>
        <v>West Lordenshaw</v>
      </c>
    </row>
    <row r="3629">
      <c r="A3629" s="3">
        <v>1300.0</v>
      </c>
      <c r="B3629" s="3">
        <v>1.0</v>
      </c>
      <c r="C3629" s="3">
        <v>31.0</v>
      </c>
      <c r="D3629" t="str">
        <f>VLOOKUP(B3629,ERA_MOTIF_TYPES.csv!$A$1:$C$119,2,1)</f>
        <v>Cups Single</v>
      </c>
      <c r="E3629" t="str">
        <f>VLOOKUP(A3629,Panels!$A$1:$E$2104,5,0)</f>
        <v>West Lordenshaw (Birky Hill)</v>
      </c>
    </row>
    <row r="3630">
      <c r="A3630" s="3">
        <v>1300.0</v>
      </c>
      <c r="B3630" s="3">
        <v>13.0</v>
      </c>
      <c r="C3630" s="3">
        <v>2.0</v>
      </c>
      <c r="D3630" t="str">
        <f>VLOOKUP(B3630,ERA_MOTIF_TYPES.csv!$A$1:$C$119,2,1)</f>
        <v>Single Ring + cup</v>
      </c>
      <c r="E3630" t="str">
        <f>VLOOKUP(A3630,Panels!$A$1:$E$2104,5,0)</f>
        <v>West Lordenshaw (Birky Hill)</v>
      </c>
    </row>
    <row r="3631">
      <c r="A3631" s="3">
        <v>1300.0</v>
      </c>
      <c r="B3631" s="3">
        <v>14.0</v>
      </c>
      <c r="C3631" s="3">
        <v>2.0</v>
      </c>
      <c r="D3631" t="str">
        <f>VLOOKUP(B3631,ERA_MOTIF_TYPES.csv!$A$1:$C$119,2,1)</f>
        <v>Multi Ring + cup</v>
      </c>
      <c r="E3631" t="str">
        <f>VLOOKUP(A3631,Panels!$A$1:$E$2104,5,0)</f>
        <v>West Lordenshaw (Birky Hill)</v>
      </c>
    </row>
    <row r="3632">
      <c r="A3632" s="3">
        <v>1300.0</v>
      </c>
      <c r="B3632" s="3">
        <v>27.0</v>
      </c>
      <c r="C3632" s="3">
        <v>1.0</v>
      </c>
      <c r="D3632" t="str">
        <f>VLOOKUP(B3632,ERA_MOTIF_TYPES.csv!$A$1:$C$119,2,1)</f>
        <v>Serpentine</v>
      </c>
      <c r="E3632" t="str">
        <f>VLOOKUP(A3632,Panels!$A$1:$E$2104,5,0)</f>
        <v>West Lordenshaw (Birky Hill)</v>
      </c>
    </row>
    <row r="3633">
      <c r="A3633" s="3">
        <v>1300.0</v>
      </c>
      <c r="B3633" s="3">
        <v>31.0</v>
      </c>
      <c r="C3633" s="3">
        <v>1.0</v>
      </c>
      <c r="D3633" t="str">
        <f>VLOOKUP(B3633,ERA_MOTIF_TYPES.csv!$A$1:$C$119,2,1)</f>
        <v>Cup and Groove</v>
      </c>
      <c r="E3633" t="str">
        <f>VLOOKUP(A3633,Panels!$A$1:$E$2104,5,0)</f>
        <v>West Lordenshaw (Birky Hill)</v>
      </c>
    </row>
    <row r="3634">
      <c r="A3634" s="3">
        <v>1300.0</v>
      </c>
      <c r="B3634" s="3">
        <v>52.0</v>
      </c>
      <c r="C3634" s="3">
        <v>24.0</v>
      </c>
      <c r="D3634" t="str">
        <f>VLOOKUP(B3634,ERA_MOTIF_TYPES.csv!$A$1:$C$119,2,1)</f>
        <v>Single or multiple cups</v>
      </c>
      <c r="E3634" t="str">
        <f>VLOOKUP(A3634,Panels!$A$1:$E$2104,5,0)</f>
        <v>West Lordenshaw (Birky Hill)</v>
      </c>
    </row>
    <row r="3635">
      <c r="A3635" s="3">
        <v>1300.0</v>
      </c>
      <c r="B3635" s="3">
        <v>55.0</v>
      </c>
      <c r="C3635" s="3">
        <v>3.0</v>
      </c>
      <c r="D3635" t="str">
        <f>VLOOKUP(B3635,ERA_MOTIF_TYPES.csv!$A$1:$C$119,2,1)</f>
        <v>Cups in a straight or curved line</v>
      </c>
      <c r="E3635" t="str">
        <f>VLOOKUP(A3635,Panels!$A$1:$E$2104,5,0)</f>
        <v>West Lordenshaw (Birky Hill)</v>
      </c>
    </row>
    <row r="3636">
      <c r="A3636" s="3">
        <v>1300.0</v>
      </c>
      <c r="B3636" s="3">
        <v>56.0</v>
      </c>
      <c r="C3636" s="3">
        <v>2.0</v>
      </c>
      <c r="D3636" t="str">
        <f>VLOOKUP(B3636,ERA_MOTIF_TYPES.csv!$A$1:$C$119,2,1)</f>
        <v>Cups countersunk</v>
      </c>
      <c r="E3636" t="str">
        <f>VLOOKUP(A3636,Panels!$A$1:$E$2104,5,0)</f>
        <v>West Lordenshaw (Birky Hill)</v>
      </c>
    </row>
    <row r="3637">
      <c r="A3637" s="3">
        <v>1300.0</v>
      </c>
      <c r="B3637" s="3">
        <v>57.0</v>
      </c>
      <c r="C3637" s="3">
        <v>1.0</v>
      </c>
      <c r="D3637" t="str">
        <f>VLOOKUP(B3637,ERA_MOTIF_TYPES.csv!$A$1:$C$119,2,1)</f>
        <v>Cup and ring</v>
      </c>
      <c r="E3637" t="str">
        <f>VLOOKUP(A3637,Panels!$A$1:$E$2104,5,0)</f>
        <v>West Lordenshaw (Birky Hill)</v>
      </c>
    </row>
    <row r="3638">
      <c r="A3638" s="3">
        <v>1300.0</v>
      </c>
      <c r="B3638" s="3">
        <v>58.0</v>
      </c>
      <c r="C3638" s="3">
        <v>1.0</v>
      </c>
      <c r="D3638" t="str">
        <f>VLOOKUP(B3638,ERA_MOTIF_TYPES.csv!$A$1:$C$119,2,1)</f>
        <v>Cup and multiple rings</v>
      </c>
      <c r="E3638" t="str">
        <f>VLOOKUP(A3638,Panels!$A$1:$E$2104,5,0)</f>
        <v>West Lordenshaw (Birky Hill)</v>
      </c>
    </row>
    <row r="3639">
      <c r="A3639" s="3">
        <v>1300.0</v>
      </c>
      <c r="B3639" s="3">
        <v>61.0</v>
      </c>
      <c r="C3639" s="3">
        <v>1.0</v>
      </c>
      <c r="D3639" t="str">
        <f>VLOOKUP(B3639,ERA_MOTIF_TYPES.csv!$A$1:$C$119,2,1)</f>
        <v>Cup and arc (or semi-ovoid)</v>
      </c>
      <c r="E3639" t="str">
        <f>VLOOKUP(A3639,Panels!$A$1:$E$2104,5,0)</f>
        <v>West Lordenshaw (Birky Hill)</v>
      </c>
    </row>
    <row r="3640">
      <c r="A3640" s="3">
        <v>1300.0</v>
      </c>
      <c r="B3640" s="3">
        <v>66.0</v>
      </c>
      <c r="C3640" s="3">
        <v>1.0</v>
      </c>
      <c r="D3640" t="str">
        <f>VLOOKUP(B3640,ERA_MOTIF_TYPES.csv!$A$1:$C$119,2,1)</f>
        <v>Cup and groove with multiple penannulars</v>
      </c>
      <c r="E3640" t="str">
        <f>VLOOKUP(A3640,Panels!$A$1:$E$2104,5,0)</f>
        <v>West Lordenshaw (Birky Hill)</v>
      </c>
    </row>
    <row r="3641">
      <c r="A3641" s="3">
        <v>1300.0</v>
      </c>
      <c r="B3641" s="3">
        <v>87.0</v>
      </c>
      <c r="C3641" s="3">
        <v>3.0</v>
      </c>
      <c r="D3641" t="str">
        <f>VLOOKUP(B3641,ERA_MOTIF_TYPES.csv!$A$1:$C$119,2,1)</f>
        <v>Linear and angular groove</v>
      </c>
      <c r="E3641" t="str">
        <f>VLOOKUP(A3641,Panels!$A$1:$E$2104,5,0)</f>
        <v>West Lordenshaw (Birky Hill)</v>
      </c>
    </row>
    <row r="3642">
      <c r="A3642" s="3">
        <v>1300.0</v>
      </c>
      <c r="B3642" s="3">
        <v>100.0</v>
      </c>
      <c r="C3642" s="3">
        <v>1.0</v>
      </c>
      <c r="D3642" t="str">
        <f>VLOOKUP(B3642,ERA_MOTIF_TYPES.csv!$A$1:$C$119,2,1)</f>
        <v>Pick marks</v>
      </c>
      <c r="E3642" t="str">
        <f>VLOOKUP(A3642,Panels!$A$1:$E$2104,5,0)</f>
        <v>West Lordenshaw (Birky Hill)</v>
      </c>
    </row>
    <row r="3643">
      <c r="A3643" s="3">
        <v>1300.0</v>
      </c>
      <c r="B3643" s="3">
        <v>103.0</v>
      </c>
      <c r="C3643" s="3">
        <v>6.0</v>
      </c>
      <c r="D3643" t="str">
        <f>VLOOKUP(B3643,ERA_MOTIF_TYPES.csv!$A$1:$C$119,2,1)</f>
        <v>Cup and groove</v>
      </c>
      <c r="E3643" t="str">
        <f>VLOOKUP(A3643,Panels!$A$1:$E$2104,5,0)</f>
        <v>West Lordenshaw (Birky Hill)</v>
      </c>
    </row>
    <row r="3644">
      <c r="A3644" s="3">
        <v>1300.0</v>
      </c>
      <c r="B3644" s="3">
        <v>107.0</v>
      </c>
      <c r="C3644" s="3">
        <v>1.0</v>
      </c>
      <c r="D3644" t="str">
        <f>VLOOKUP(B3644,ERA_MOTIF_TYPES.csv!$A$1:$C$119,2,1)</f>
        <v>Cup and ring with exterior groove</v>
      </c>
      <c r="E3644" t="str">
        <f>VLOOKUP(A3644,Panels!$A$1:$E$2104,5,0)</f>
        <v>West Lordenshaw (Birky Hill)</v>
      </c>
    </row>
    <row r="3645">
      <c r="A3645" s="3">
        <v>1300.0</v>
      </c>
      <c r="B3645" s="3">
        <v>110.0</v>
      </c>
      <c r="C3645" s="3">
        <v>1.0</v>
      </c>
      <c r="D3645" t="str">
        <f>VLOOKUP(B3645,ERA_MOTIF_TYPES.csv!$A$1:$C$119,2,1)</f>
        <v>Curved groove</v>
      </c>
      <c r="E3645" t="str">
        <f>VLOOKUP(A3645,Panels!$A$1:$E$2104,5,0)</f>
        <v>West Lordenshaw (Birky Hill)</v>
      </c>
    </row>
    <row r="3646">
      <c r="A3646" s="3">
        <v>1301.0</v>
      </c>
      <c r="B3646" s="3">
        <v>2.0</v>
      </c>
      <c r="C3646" s="3">
        <v>1.0</v>
      </c>
      <c r="D3646" t="str">
        <f>VLOOKUP(B3646,ERA_MOTIF_TYPES.csv!$A$1:$C$119,2,1)</f>
        <v>Random Cluster</v>
      </c>
      <c r="E3646" t="str">
        <f>VLOOKUP(A3646,Panels!$A$1:$E$2104,5,0)</f>
        <v>West Lordenshaw (Birky Hill)</v>
      </c>
    </row>
    <row r="3647">
      <c r="A3647" s="3">
        <v>1302.0</v>
      </c>
      <c r="B3647" s="3">
        <v>1.0</v>
      </c>
      <c r="C3647" s="3">
        <v>1.0</v>
      </c>
      <c r="D3647" t="str">
        <f>VLOOKUP(B3647,ERA_MOTIF_TYPES.csv!$A$1:$C$119,2,1)</f>
        <v>Cups Single</v>
      </c>
      <c r="E3647" t="str">
        <f>VLOOKUP(A3647,Panels!$A$1:$E$2104,5,0)</f>
        <v>West Lordenshaw (Birky Hill)</v>
      </c>
    </row>
    <row r="3648">
      <c r="A3648" s="3">
        <v>1303.0</v>
      </c>
      <c r="B3648" s="3">
        <v>1.0</v>
      </c>
      <c r="C3648" s="3">
        <v>2.0</v>
      </c>
      <c r="D3648" t="str">
        <f>VLOOKUP(B3648,ERA_MOTIF_TYPES.csv!$A$1:$C$119,2,1)</f>
        <v>Cups Single</v>
      </c>
      <c r="E3648" t="str">
        <f>VLOOKUP(A3648,Panels!$A$1:$E$2104,5,0)</f>
        <v>Lordenshaw Hillfort</v>
      </c>
    </row>
    <row r="3649">
      <c r="A3649" s="3">
        <v>1303.0</v>
      </c>
      <c r="B3649" s="3">
        <v>52.0</v>
      </c>
      <c r="C3649" s="3">
        <v>2.0</v>
      </c>
      <c r="D3649" t="str">
        <f>VLOOKUP(B3649,ERA_MOTIF_TYPES.csv!$A$1:$C$119,2,1)</f>
        <v>Single or multiple cups</v>
      </c>
      <c r="E3649" t="str">
        <f>VLOOKUP(A3649,Panels!$A$1:$E$2104,5,0)</f>
        <v>Lordenshaw Hillfort</v>
      </c>
    </row>
    <row r="3650">
      <c r="A3650" s="3">
        <v>1304.0</v>
      </c>
      <c r="B3650" s="3">
        <v>52.0</v>
      </c>
      <c r="C3650" s="3">
        <v>1.0</v>
      </c>
      <c r="D3650" t="str">
        <f>VLOOKUP(B3650,ERA_MOTIF_TYPES.csv!$A$1:$C$119,2,1)</f>
        <v>Single or multiple cups</v>
      </c>
      <c r="E3650" t="str">
        <f>VLOOKUP(A3650,Panels!$A$1:$E$2104,5,0)</f>
        <v>East Lordenshaw</v>
      </c>
    </row>
    <row r="3651">
      <c r="A3651" s="3">
        <v>1305.0</v>
      </c>
      <c r="B3651" s="3">
        <v>1.0</v>
      </c>
      <c r="C3651" s="3">
        <v>11.0</v>
      </c>
      <c r="D3651" t="str">
        <f>VLOOKUP(B3651,ERA_MOTIF_TYPES.csv!$A$1:$C$119,2,1)</f>
        <v>Cups Single</v>
      </c>
      <c r="E3651" t="str">
        <f>VLOOKUP(A3651,Panels!$A$1:$E$2104,5,0)</f>
        <v>East Lordenshaw</v>
      </c>
    </row>
    <row r="3652">
      <c r="A3652" s="3">
        <v>1305.0</v>
      </c>
      <c r="B3652" s="3">
        <v>13.0</v>
      </c>
      <c r="C3652" s="3">
        <v>1.0</v>
      </c>
      <c r="D3652" t="str">
        <f>VLOOKUP(B3652,ERA_MOTIF_TYPES.csv!$A$1:$C$119,2,1)</f>
        <v>Single Ring + cup</v>
      </c>
      <c r="E3652" t="str">
        <f>VLOOKUP(A3652,Panels!$A$1:$E$2104,5,0)</f>
        <v>East Lordenshaw</v>
      </c>
    </row>
    <row r="3653">
      <c r="A3653" s="3">
        <v>1305.0</v>
      </c>
      <c r="B3653" s="3">
        <v>16.0</v>
      </c>
      <c r="C3653" s="3">
        <v>1.0</v>
      </c>
      <c r="D3653" t="str">
        <f>VLOOKUP(B3653,ERA_MOTIF_TYPES.csv!$A$1:$C$119,2,1)</f>
        <v>Single Arc + cup</v>
      </c>
      <c r="E3653" t="str">
        <f>VLOOKUP(A3653,Panels!$A$1:$E$2104,5,0)</f>
        <v>East Lordenshaw</v>
      </c>
    </row>
    <row r="3654">
      <c r="A3654" s="3">
        <v>1305.0</v>
      </c>
      <c r="B3654" s="3">
        <v>25.0</v>
      </c>
      <c r="C3654" s="3">
        <v>1.0</v>
      </c>
      <c r="D3654" t="str">
        <f>VLOOKUP(B3654,ERA_MOTIF_TYPES.csv!$A$1:$C$119,2,1)</f>
        <v>Linear</v>
      </c>
      <c r="E3654" t="str">
        <f>VLOOKUP(A3654,Panels!$A$1:$E$2104,5,0)</f>
        <v>East Lordenshaw</v>
      </c>
    </row>
    <row r="3655">
      <c r="A3655" s="3">
        <v>1305.0</v>
      </c>
      <c r="B3655" s="3">
        <v>52.0</v>
      </c>
      <c r="C3655" s="3">
        <v>10.0</v>
      </c>
      <c r="D3655" t="str">
        <f>VLOOKUP(B3655,ERA_MOTIF_TYPES.csv!$A$1:$C$119,2,1)</f>
        <v>Single or multiple cups</v>
      </c>
      <c r="E3655" t="str">
        <f>VLOOKUP(A3655,Panels!$A$1:$E$2104,5,0)</f>
        <v>East Lordenshaw</v>
      </c>
    </row>
    <row r="3656">
      <c r="A3656" s="3">
        <v>1305.0</v>
      </c>
      <c r="B3656" s="3">
        <v>57.0</v>
      </c>
      <c r="C3656" s="3">
        <v>2.0</v>
      </c>
      <c r="D3656" t="str">
        <f>VLOOKUP(B3656,ERA_MOTIF_TYPES.csv!$A$1:$C$119,2,1)</f>
        <v>Cup and ring</v>
      </c>
      <c r="E3656" t="str">
        <f>VLOOKUP(A3656,Panels!$A$1:$E$2104,5,0)</f>
        <v>East Lordenshaw</v>
      </c>
    </row>
    <row r="3657">
      <c r="A3657" s="3">
        <v>1305.0</v>
      </c>
      <c r="B3657" s="3">
        <v>103.0</v>
      </c>
      <c r="C3657" s="3">
        <v>1.0</v>
      </c>
      <c r="D3657" t="str">
        <f>VLOOKUP(B3657,ERA_MOTIF_TYPES.csv!$A$1:$C$119,2,1)</f>
        <v>Cup and groove</v>
      </c>
      <c r="E3657" t="str">
        <f>VLOOKUP(A3657,Panels!$A$1:$E$2104,5,0)</f>
        <v>East Lordenshaw</v>
      </c>
    </row>
    <row r="3658">
      <c r="A3658" s="3">
        <v>1306.0</v>
      </c>
      <c r="B3658" s="3">
        <v>1.0</v>
      </c>
      <c r="C3658" s="3">
        <v>6.0</v>
      </c>
      <c r="D3658" t="str">
        <f>VLOOKUP(B3658,ERA_MOTIF_TYPES.csv!$A$1:$C$119,2,1)</f>
        <v>Cups Single</v>
      </c>
      <c r="E3658" t="str">
        <f>VLOOKUP(A3658,Panels!$A$1:$E$2104,5,0)</f>
        <v>Lordenshaw Hillfort</v>
      </c>
    </row>
    <row r="3659">
      <c r="A3659" s="3">
        <v>1306.0</v>
      </c>
      <c r="B3659" s="3">
        <v>52.0</v>
      </c>
      <c r="C3659" s="3">
        <v>8.0</v>
      </c>
      <c r="D3659" t="str">
        <f>VLOOKUP(B3659,ERA_MOTIF_TYPES.csv!$A$1:$C$119,2,1)</f>
        <v>Single or multiple cups</v>
      </c>
      <c r="E3659" t="str">
        <f>VLOOKUP(A3659,Panels!$A$1:$E$2104,5,0)</f>
        <v>Lordenshaw Hillfort</v>
      </c>
    </row>
    <row r="3660">
      <c r="A3660" s="3">
        <v>1307.0</v>
      </c>
      <c r="B3660" s="3">
        <v>52.0</v>
      </c>
      <c r="C3660" s="3">
        <v>5.0</v>
      </c>
      <c r="D3660" t="str">
        <f>VLOOKUP(B3660,ERA_MOTIF_TYPES.csv!$A$1:$C$119,2,1)</f>
        <v>Single or multiple cups</v>
      </c>
      <c r="E3660" t="str">
        <f>VLOOKUP(A3660,Panels!$A$1:$E$2104,5,0)</f>
        <v>East Lordenshaw</v>
      </c>
    </row>
    <row r="3661">
      <c r="A3661" s="3">
        <v>1307.0</v>
      </c>
      <c r="B3661" s="3">
        <v>57.0</v>
      </c>
      <c r="C3661" s="3">
        <v>1.0</v>
      </c>
      <c r="D3661" t="str">
        <f>VLOOKUP(B3661,ERA_MOTIF_TYPES.csv!$A$1:$C$119,2,1)</f>
        <v>Cup and ring</v>
      </c>
      <c r="E3661" t="str">
        <f>VLOOKUP(A3661,Panels!$A$1:$E$2104,5,0)</f>
        <v>East Lordenshaw</v>
      </c>
    </row>
    <row r="3662">
      <c r="A3662" s="3">
        <v>1308.0</v>
      </c>
      <c r="B3662" s="3">
        <v>1.0</v>
      </c>
      <c r="C3662" s="3">
        <v>4.0</v>
      </c>
      <c r="D3662" t="str">
        <f>VLOOKUP(B3662,ERA_MOTIF_TYPES.csv!$A$1:$C$119,2,1)</f>
        <v>Cups Single</v>
      </c>
      <c r="E3662" t="str">
        <f>VLOOKUP(A3662,Panels!$A$1:$E$2104,5,0)</f>
        <v>Lordenshaw Hillfort</v>
      </c>
    </row>
    <row r="3663">
      <c r="A3663" s="3">
        <v>1308.0</v>
      </c>
      <c r="B3663" s="3">
        <v>52.0</v>
      </c>
      <c r="C3663" s="3">
        <v>3.0</v>
      </c>
      <c r="D3663" t="str">
        <f>VLOOKUP(B3663,ERA_MOTIF_TYPES.csv!$A$1:$C$119,2,1)</f>
        <v>Single or multiple cups</v>
      </c>
      <c r="E3663" t="str">
        <f>VLOOKUP(A3663,Panels!$A$1:$E$2104,5,0)</f>
        <v>Lordenshaw Hillfort</v>
      </c>
    </row>
    <row r="3664">
      <c r="A3664" s="3">
        <v>1309.0</v>
      </c>
      <c r="B3664" s="3">
        <v>1.0</v>
      </c>
      <c r="C3664" s="3">
        <v>4.0</v>
      </c>
      <c r="D3664" t="str">
        <f>VLOOKUP(B3664,ERA_MOTIF_TYPES.csv!$A$1:$C$119,2,1)</f>
        <v>Cups Single</v>
      </c>
      <c r="E3664" t="str">
        <f>VLOOKUP(A3664,Panels!$A$1:$E$2104,5,0)</f>
        <v>Lordenshaw Hillfort</v>
      </c>
    </row>
    <row r="3665">
      <c r="A3665" s="3">
        <v>1309.0</v>
      </c>
      <c r="B3665" s="3">
        <v>52.0</v>
      </c>
      <c r="C3665" s="3">
        <v>8.0</v>
      </c>
      <c r="D3665" t="str">
        <f>VLOOKUP(B3665,ERA_MOTIF_TYPES.csv!$A$1:$C$119,2,1)</f>
        <v>Single or multiple cups</v>
      </c>
      <c r="E3665" t="str">
        <f>VLOOKUP(A3665,Panels!$A$1:$E$2104,5,0)</f>
        <v>Lordenshaw Hillfort</v>
      </c>
    </row>
    <row r="3666">
      <c r="A3666" s="3">
        <v>1310.0</v>
      </c>
      <c r="B3666" s="3">
        <v>1.0</v>
      </c>
      <c r="C3666" s="3">
        <v>2.0</v>
      </c>
      <c r="D3666" t="str">
        <f>VLOOKUP(B3666,ERA_MOTIF_TYPES.csv!$A$1:$C$119,2,1)</f>
        <v>Cups Single</v>
      </c>
      <c r="E3666" t="str">
        <f>VLOOKUP(A3666,Panels!$A$1:$E$2104,5,0)</f>
        <v>Lordenshaw Hillfort</v>
      </c>
    </row>
    <row r="3667">
      <c r="A3667" s="3">
        <v>1311.0</v>
      </c>
      <c r="B3667" s="3">
        <v>1.0</v>
      </c>
      <c r="C3667" s="3">
        <v>1.0</v>
      </c>
      <c r="D3667" t="str">
        <f>VLOOKUP(B3667,ERA_MOTIF_TYPES.csv!$A$1:$C$119,2,1)</f>
        <v>Cups Single</v>
      </c>
      <c r="E3667" t="str">
        <f>VLOOKUP(A3667,Panels!$A$1:$E$2104,5,0)</f>
        <v>Lordenshaw Hillfort</v>
      </c>
    </row>
    <row r="3668">
      <c r="A3668" s="3">
        <v>1311.0</v>
      </c>
      <c r="B3668" s="3">
        <v>52.0</v>
      </c>
      <c r="C3668" s="3">
        <v>4.0</v>
      </c>
      <c r="D3668" t="str">
        <f>VLOOKUP(B3668,ERA_MOTIF_TYPES.csv!$A$1:$C$119,2,1)</f>
        <v>Single or multiple cups</v>
      </c>
      <c r="E3668" t="str">
        <f>VLOOKUP(A3668,Panels!$A$1:$E$2104,5,0)</f>
        <v>Lordenshaw Hillfort</v>
      </c>
    </row>
    <row r="3669">
      <c r="A3669" s="3">
        <v>1312.0</v>
      </c>
      <c r="B3669" s="3">
        <v>1.0</v>
      </c>
      <c r="C3669" s="3">
        <v>3.0</v>
      </c>
      <c r="D3669" t="str">
        <f>VLOOKUP(B3669,ERA_MOTIF_TYPES.csv!$A$1:$C$119,2,1)</f>
        <v>Cups Single</v>
      </c>
      <c r="E3669" t="str">
        <f>VLOOKUP(A3669,Panels!$A$1:$E$2104,5,0)</f>
        <v>East Lordenshaw</v>
      </c>
    </row>
    <row r="3670">
      <c r="A3670" s="3">
        <v>1312.0</v>
      </c>
      <c r="B3670" s="3">
        <v>25.0</v>
      </c>
      <c r="C3670" s="3">
        <v>1.0</v>
      </c>
      <c r="D3670" t="str">
        <f>VLOOKUP(B3670,ERA_MOTIF_TYPES.csv!$A$1:$C$119,2,1)</f>
        <v>Linear</v>
      </c>
      <c r="E3670" t="str">
        <f>VLOOKUP(A3670,Panels!$A$1:$E$2104,5,0)</f>
        <v>East Lordenshaw</v>
      </c>
    </row>
    <row r="3671">
      <c r="A3671" s="3">
        <v>1312.0</v>
      </c>
      <c r="B3671" s="3">
        <v>52.0</v>
      </c>
      <c r="C3671" s="3">
        <v>2.0</v>
      </c>
      <c r="D3671" t="str">
        <f>VLOOKUP(B3671,ERA_MOTIF_TYPES.csv!$A$1:$C$119,2,1)</f>
        <v>Single or multiple cups</v>
      </c>
      <c r="E3671" t="str">
        <f>VLOOKUP(A3671,Panels!$A$1:$E$2104,5,0)</f>
        <v>East Lordenshaw</v>
      </c>
    </row>
    <row r="3672">
      <c r="A3672" s="3">
        <v>1312.0</v>
      </c>
      <c r="B3672" s="3">
        <v>103.0</v>
      </c>
      <c r="C3672" s="3">
        <v>1.0</v>
      </c>
      <c r="D3672" t="str">
        <f>VLOOKUP(B3672,ERA_MOTIF_TYPES.csv!$A$1:$C$119,2,1)</f>
        <v>Cup and groove</v>
      </c>
      <c r="E3672" t="str">
        <f>VLOOKUP(A3672,Panels!$A$1:$E$2104,5,0)</f>
        <v>East Lordenshaw</v>
      </c>
    </row>
    <row r="3673">
      <c r="A3673" s="3">
        <v>1313.0</v>
      </c>
      <c r="B3673" s="3">
        <v>1.0</v>
      </c>
      <c r="C3673" s="3">
        <v>11.0</v>
      </c>
      <c r="D3673" t="str">
        <f>VLOOKUP(B3673,ERA_MOTIF_TYPES.csv!$A$1:$C$119,2,1)</f>
        <v>Cups Single</v>
      </c>
      <c r="E3673" t="str">
        <f>VLOOKUP(A3673,Panels!$A$1:$E$2104,5,0)</f>
        <v>West Lordenshaw</v>
      </c>
    </row>
    <row r="3674">
      <c r="A3674" s="3">
        <v>1314.0</v>
      </c>
      <c r="B3674" s="3">
        <v>1.0</v>
      </c>
      <c r="C3674" s="3">
        <v>4.0</v>
      </c>
      <c r="D3674" t="str">
        <f>VLOOKUP(B3674,ERA_MOTIF_TYPES.csv!$A$1:$C$119,2,1)</f>
        <v>Cups Single</v>
      </c>
      <c r="E3674" t="str">
        <f>VLOOKUP(A3674,Panels!$A$1:$E$2104,5,0)</f>
        <v>East Lordenshaw</v>
      </c>
    </row>
    <row r="3675">
      <c r="A3675" s="3">
        <v>1314.0</v>
      </c>
      <c r="B3675" s="3">
        <v>25.0</v>
      </c>
      <c r="C3675" s="3">
        <v>5.0</v>
      </c>
      <c r="D3675" t="str">
        <f>VLOOKUP(B3675,ERA_MOTIF_TYPES.csv!$A$1:$C$119,2,1)</f>
        <v>Linear</v>
      </c>
      <c r="E3675" t="str">
        <f>VLOOKUP(A3675,Panels!$A$1:$E$2104,5,0)</f>
        <v>East Lordenshaw</v>
      </c>
    </row>
    <row r="3676">
      <c r="A3676" s="3">
        <v>1314.0</v>
      </c>
      <c r="B3676" s="3">
        <v>27.0</v>
      </c>
      <c r="C3676" s="3">
        <v>1.0</v>
      </c>
      <c r="D3676" t="str">
        <f>VLOOKUP(B3676,ERA_MOTIF_TYPES.csv!$A$1:$C$119,2,1)</f>
        <v>Serpentine</v>
      </c>
      <c r="E3676" t="str">
        <f>VLOOKUP(A3676,Panels!$A$1:$E$2104,5,0)</f>
        <v>East Lordenshaw</v>
      </c>
    </row>
    <row r="3677">
      <c r="A3677" s="3">
        <v>1314.0</v>
      </c>
      <c r="B3677" s="3">
        <v>52.0</v>
      </c>
      <c r="C3677" s="3">
        <v>4.0</v>
      </c>
      <c r="D3677" t="str">
        <f>VLOOKUP(B3677,ERA_MOTIF_TYPES.csv!$A$1:$C$119,2,1)</f>
        <v>Single or multiple cups</v>
      </c>
      <c r="E3677" t="str">
        <f>VLOOKUP(A3677,Panels!$A$1:$E$2104,5,0)</f>
        <v>East Lordenshaw</v>
      </c>
    </row>
    <row r="3678">
      <c r="A3678" s="3">
        <v>1315.0</v>
      </c>
      <c r="B3678" s="3">
        <v>1.0</v>
      </c>
      <c r="C3678" s="3">
        <v>9.0</v>
      </c>
      <c r="D3678" t="str">
        <f>VLOOKUP(B3678,ERA_MOTIF_TYPES.csv!$A$1:$C$119,2,1)</f>
        <v>Cups Single</v>
      </c>
      <c r="E3678" t="str">
        <f>VLOOKUP(A3678,Panels!$A$1:$E$2104,5,0)</f>
        <v>Lordenshaw Hillfort</v>
      </c>
    </row>
    <row r="3679">
      <c r="A3679" s="3">
        <v>1315.0</v>
      </c>
      <c r="B3679" s="3">
        <v>52.0</v>
      </c>
      <c r="C3679" s="3">
        <v>7.0</v>
      </c>
      <c r="D3679" t="str">
        <f>VLOOKUP(B3679,ERA_MOTIF_TYPES.csv!$A$1:$C$119,2,1)</f>
        <v>Single or multiple cups</v>
      </c>
      <c r="E3679" t="str">
        <f>VLOOKUP(A3679,Panels!$A$1:$E$2104,5,0)</f>
        <v>Lordenshaw Hillfort</v>
      </c>
    </row>
    <row r="3680">
      <c r="A3680" s="3">
        <v>1317.0</v>
      </c>
      <c r="B3680" s="3">
        <v>1.0</v>
      </c>
      <c r="C3680" s="3">
        <v>4.0</v>
      </c>
      <c r="D3680" t="str">
        <f>VLOOKUP(B3680,ERA_MOTIF_TYPES.csv!$A$1:$C$119,2,1)</f>
        <v>Cups Single</v>
      </c>
      <c r="E3680" t="str">
        <f>VLOOKUP(A3680,Panels!$A$1:$E$2104,5,0)</f>
        <v>East Lordenshaw</v>
      </c>
    </row>
    <row r="3681">
      <c r="A3681" s="3">
        <v>1317.0</v>
      </c>
      <c r="B3681" s="3">
        <v>50.0</v>
      </c>
      <c r="C3681" s="3">
        <v>1.0</v>
      </c>
      <c r="D3681" t="str">
        <f>VLOOKUP(B3681,ERA_MOTIF_TYPES.csv!$A$1:$C$119,2,1)</f>
        <v>Channels</v>
      </c>
      <c r="E3681" t="str">
        <f>VLOOKUP(A3681,Panels!$A$1:$E$2104,5,0)</f>
        <v>East Lordenshaw</v>
      </c>
    </row>
    <row r="3682">
      <c r="A3682" s="3">
        <v>1317.0</v>
      </c>
      <c r="B3682" s="3">
        <v>52.0</v>
      </c>
      <c r="C3682" s="3">
        <v>1.0</v>
      </c>
      <c r="D3682" t="str">
        <f>VLOOKUP(B3682,ERA_MOTIF_TYPES.csv!$A$1:$C$119,2,1)</f>
        <v>Single or multiple cups</v>
      </c>
      <c r="E3682" t="str">
        <f>VLOOKUP(A3682,Panels!$A$1:$E$2104,5,0)</f>
        <v>East Lordenshaw</v>
      </c>
    </row>
    <row r="3683">
      <c r="A3683" s="3">
        <v>1317.0</v>
      </c>
      <c r="B3683" s="3">
        <v>57.0</v>
      </c>
      <c r="C3683" s="3">
        <v>1.0</v>
      </c>
      <c r="D3683" t="str">
        <f>VLOOKUP(B3683,ERA_MOTIF_TYPES.csv!$A$1:$C$119,2,1)</f>
        <v>Cup and ring</v>
      </c>
      <c r="E3683" t="str">
        <f>VLOOKUP(A3683,Panels!$A$1:$E$2104,5,0)</f>
        <v>East Lordenshaw</v>
      </c>
    </row>
    <row r="3684">
      <c r="A3684" s="3">
        <v>1318.0</v>
      </c>
      <c r="B3684" s="3">
        <v>1.0</v>
      </c>
      <c r="C3684" s="3">
        <v>72.0</v>
      </c>
      <c r="D3684" t="str">
        <f>VLOOKUP(B3684,ERA_MOTIF_TYPES.csv!$A$1:$C$119,2,1)</f>
        <v>Cups Single</v>
      </c>
      <c r="E3684" t="str">
        <f>VLOOKUP(A3684,Panels!$A$1:$E$2104,5,0)</f>
        <v>West Lordenshaw</v>
      </c>
    </row>
    <row r="3685">
      <c r="A3685" s="3">
        <v>1318.0</v>
      </c>
      <c r="B3685" s="3">
        <v>10.0</v>
      </c>
      <c r="C3685" s="3">
        <v>8.0</v>
      </c>
      <c r="D3685" t="str">
        <f>VLOOKUP(B3685,ERA_MOTIF_TYPES.csv!$A$1:$C$119,2,1)</f>
        <v>Single Arc</v>
      </c>
      <c r="E3685" t="str">
        <f>VLOOKUP(A3685,Panels!$A$1:$E$2104,5,0)</f>
        <v>West Lordenshaw</v>
      </c>
    </row>
    <row r="3686">
      <c r="A3686" s="3">
        <v>1318.0</v>
      </c>
      <c r="B3686" s="3">
        <v>13.0</v>
      </c>
      <c r="C3686" s="3">
        <v>3.0</v>
      </c>
      <c r="D3686" t="str">
        <f>VLOOKUP(B3686,ERA_MOTIF_TYPES.csv!$A$1:$C$119,2,1)</f>
        <v>Single Ring + cup</v>
      </c>
      <c r="E3686" t="str">
        <f>VLOOKUP(A3686,Panels!$A$1:$E$2104,5,0)</f>
        <v>West Lordenshaw</v>
      </c>
    </row>
    <row r="3687">
      <c r="A3687" s="3">
        <v>1318.0</v>
      </c>
      <c r="B3687" s="3">
        <v>15.0</v>
      </c>
      <c r="C3687" s="3">
        <v>3.0</v>
      </c>
      <c r="D3687" t="str">
        <f>VLOOKUP(B3687,ERA_MOTIF_TYPES.csv!$A$1:$C$119,2,1)</f>
        <v>Multi Penanular + cup</v>
      </c>
      <c r="E3687" t="str">
        <f>VLOOKUP(A3687,Panels!$A$1:$E$2104,5,0)</f>
        <v>West Lordenshaw</v>
      </c>
    </row>
    <row r="3688">
      <c r="A3688" s="3">
        <v>1318.0</v>
      </c>
      <c r="B3688" s="3">
        <v>16.0</v>
      </c>
      <c r="C3688" s="3">
        <v>7.0</v>
      </c>
      <c r="D3688" t="str">
        <f>VLOOKUP(B3688,ERA_MOTIF_TYPES.csv!$A$1:$C$119,2,1)</f>
        <v>Single Arc + cup</v>
      </c>
      <c r="E3688" t="str">
        <f>VLOOKUP(A3688,Panels!$A$1:$E$2104,5,0)</f>
        <v>West Lordenshaw</v>
      </c>
    </row>
    <row r="3689">
      <c r="A3689" s="3">
        <v>1318.0</v>
      </c>
      <c r="B3689" s="3">
        <v>18.0</v>
      </c>
      <c r="C3689" s="3">
        <v>2.0</v>
      </c>
      <c r="D3689" t="str">
        <f>VLOOKUP(B3689,ERA_MOTIF_TYPES.csv!$A$1:$C$119,2,1)</f>
        <v>Multi Arc + cup</v>
      </c>
      <c r="E3689" t="str">
        <f>VLOOKUP(A3689,Panels!$A$1:$E$2104,5,0)</f>
        <v>West Lordenshaw</v>
      </c>
    </row>
    <row r="3690">
      <c r="A3690" s="3">
        <v>1318.0</v>
      </c>
      <c r="B3690" s="3">
        <v>22.0</v>
      </c>
      <c r="C3690" s="3">
        <v>1.0</v>
      </c>
      <c r="D3690" t="str">
        <f>VLOOKUP(B3690,ERA_MOTIF_TYPES.csv!$A$1:$C$119,2,1)</f>
        <v>Keyhole and cup</v>
      </c>
      <c r="E3690" t="str">
        <f>VLOOKUP(A3690,Panels!$A$1:$E$2104,5,0)</f>
        <v>West Lordenshaw</v>
      </c>
    </row>
    <row r="3691">
      <c r="A3691" s="3">
        <v>1318.0</v>
      </c>
      <c r="B3691" s="3">
        <v>25.0</v>
      </c>
      <c r="C3691" s="3">
        <v>8.0</v>
      </c>
      <c r="D3691" t="str">
        <f>VLOOKUP(B3691,ERA_MOTIF_TYPES.csv!$A$1:$C$119,2,1)</f>
        <v>Linear</v>
      </c>
      <c r="E3691" t="str">
        <f>VLOOKUP(A3691,Panels!$A$1:$E$2104,5,0)</f>
        <v>West Lordenshaw</v>
      </c>
    </row>
    <row r="3692">
      <c r="A3692" s="3">
        <v>1318.0</v>
      </c>
      <c r="B3692" s="3">
        <v>31.0</v>
      </c>
      <c r="C3692" s="3">
        <v>10.0</v>
      </c>
      <c r="D3692" t="str">
        <f>VLOOKUP(B3692,ERA_MOTIF_TYPES.csv!$A$1:$C$119,2,1)</f>
        <v>Cup and Groove</v>
      </c>
      <c r="E3692" t="str">
        <f>VLOOKUP(A3692,Panels!$A$1:$E$2104,5,0)</f>
        <v>West Lordenshaw</v>
      </c>
    </row>
    <row r="3693">
      <c r="A3693" s="3">
        <v>1318.0</v>
      </c>
      <c r="B3693" s="3">
        <v>32.0</v>
      </c>
      <c r="C3693" s="3">
        <v>2.0</v>
      </c>
      <c r="D3693" t="str">
        <f>VLOOKUP(B3693,ERA_MOTIF_TYPES.csv!$A$1:$C$119,2,1)</f>
        <v>Cup Groove and single ring</v>
      </c>
      <c r="E3693" t="str">
        <f>VLOOKUP(A3693,Panels!$A$1:$E$2104,5,0)</f>
        <v>West Lordenshaw</v>
      </c>
    </row>
    <row r="3694">
      <c r="A3694" s="3">
        <v>1318.0</v>
      </c>
      <c r="B3694" s="3">
        <v>33.0</v>
      </c>
      <c r="C3694" s="3">
        <v>3.0</v>
      </c>
      <c r="D3694" t="str">
        <f>VLOOKUP(B3694,ERA_MOTIF_TYPES.csv!$A$1:$C$119,2,1)</f>
        <v>Cup Groove and multi ring</v>
      </c>
      <c r="E3694" t="str">
        <f>VLOOKUP(A3694,Panels!$A$1:$E$2104,5,0)</f>
        <v>West Lordenshaw</v>
      </c>
    </row>
    <row r="3695">
      <c r="A3695" s="3">
        <v>1318.0</v>
      </c>
      <c r="B3695" s="3">
        <v>35.0</v>
      </c>
      <c r="C3695" s="3">
        <v>2.0</v>
      </c>
      <c r="D3695" t="str">
        <f>VLOOKUP(B3695,ERA_MOTIF_TYPES.csv!$A$1:$C$119,2,1)</f>
        <v>Cup Groove and multi penannular</v>
      </c>
      <c r="E3695" t="str">
        <f>VLOOKUP(A3695,Panels!$A$1:$E$2104,5,0)</f>
        <v>West Lordenshaw</v>
      </c>
    </row>
    <row r="3696">
      <c r="A3696" s="3">
        <v>1318.0</v>
      </c>
      <c r="B3696" s="3">
        <v>51.0</v>
      </c>
      <c r="C3696" s="3">
        <v>7.0</v>
      </c>
      <c r="D3696" t="str">
        <f>VLOOKUP(B3696,ERA_MOTIF_TYPES.csv!$A$1:$C$119,2,1)</f>
        <v>Bowls</v>
      </c>
      <c r="E3696" t="str">
        <f>VLOOKUP(A3696,Panels!$A$1:$E$2104,5,0)</f>
        <v>West Lordenshaw</v>
      </c>
    </row>
    <row r="3697">
      <c r="A3697" s="3">
        <v>1318.0</v>
      </c>
      <c r="B3697" s="3">
        <v>52.0</v>
      </c>
      <c r="C3697" s="3">
        <v>92.0</v>
      </c>
      <c r="D3697" t="str">
        <f>VLOOKUP(B3697,ERA_MOTIF_TYPES.csv!$A$1:$C$119,2,1)</f>
        <v>Single or multiple cups</v>
      </c>
      <c r="E3697" t="str">
        <f>VLOOKUP(A3697,Panels!$A$1:$E$2104,5,0)</f>
        <v>West Lordenshaw</v>
      </c>
    </row>
    <row r="3698">
      <c r="A3698" s="3">
        <v>1318.0</v>
      </c>
      <c r="B3698" s="3">
        <v>55.0</v>
      </c>
      <c r="C3698" s="3">
        <v>2.0</v>
      </c>
      <c r="D3698" t="str">
        <f>VLOOKUP(B3698,ERA_MOTIF_TYPES.csv!$A$1:$C$119,2,1)</f>
        <v>Cups in a straight or curved line</v>
      </c>
      <c r="E3698" t="str">
        <f>VLOOKUP(A3698,Panels!$A$1:$E$2104,5,0)</f>
        <v>West Lordenshaw</v>
      </c>
    </row>
    <row r="3699">
      <c r="A3699" s="3">
        <v>1318.0</v>
      </c>
      <c r="B3699" s="3">
        <v>57.0</v>
      </c>
      <c r="C3699" s="3">
        <v>9.0</v>
      </c>
      <c r="D3699" t="str">
        <f>VLOOKUP(B3699,ERA_MOTIF_TYPES.csv!$A$1:$C$119,2,1)</f>
        <v>Cup and ring</v>
      </c>
      <c r="E3699" t="str">
        <f>VLOOKUP(A3699,Panels!$A$1:$E$2104,5,0)</f>
        <v>West Lordenshaw</v>
      </c>
    </row>
    <row r="3700">
      <c r="A3700" s="3">
        <v>1318.0</v>
      </c>
      <c r="B3700" s="3">
        <v>58.0</v>
      </c>
      <c r="C3700" s="3">
        <v>6.0</v>
      </c>
      <c r="D3700" t="str">
        <f>VLOOKUP(B3700,ERA_MOTIF_TYPES.csv!$A$1:$C$119,2,1)</f>
        <v>Cup and multiple rings</v>
      </c>
      <c r="E3700" t="str">
        <f>VLOOKUP(A3700,Panels!$A$1:$E$2104,5,0)</f>
        <v>West Lordenshaw</v>
      </c>
    </row>
    <row r="3701">
      <c r="A3701" s="3">
        <v>1318.0</v>
      </c>
      <c r="B3701" s="3">
        <v>59.0</v>
      </c>
      <c r="C3701" s="3">
        <v>4.0</v>
      </c>
      <c r="D3701" t="str">
        <f>VLOOKUP(B3701,ERA_MOTIF_TYPES.csv!$A$1:$C$119,2,1)</f>
        <v>Cup and penannular</v>
      </c>
      <c r="E3701" t="str">
        <f>VLOOKUP(A3701,Panels!$A$1:$E$2104,5,0)</f>
        <v>West Lordenshaw</v>
      </c>
    </row>
    <row r="3702">
      <c r="A3702" s="3">
        <v>1318.0</v>
      </c>
      <c r="B3702" s="3">
        <v>61.0</v>
      </c>
      <c r="C3702" s="3">
        <v>2.0</v>
      </c>
      <c r="D3702" t="str">
        <f>VLOOKUP(B3702,ERA_MOTIF_TYPES.csv!$A$1:$C$119,2,1)</f>
        <v>Cup and arc (or semi-ovoid)</v>
      </c>
      <c r="E3702" t="str">
        <f>VLOOKUP(A3702,Panels!$A$1:$E$2104,5,0)</f>
        <v>West Lordenshaw</v>
      </c>
    </row>
    <row r="3703">
      <c r="A3703" s="3">
        <v>1318.0</v>
      </c>
      <c r="B3703" s="3">
        <v>63.0</v>
      </c>
      <c r="C3703" s="3">
        <v>4.0</v>
      </c>
      <c r="D3703" t="str">
        <f>VLOOKUP(B3703,ERA_MOTIF_TYPES.csv!$A$1:$C$119,2,1)</f>
        <v>Cup with groove cutting through ring</v>
      </c>
      <c r="E3703" t="str">
        <f>VLOOKUP(A3703,Panels!$A$1:$E$2104,5,0)</f>
        <v>West Lordenshaw</v>
      </c>
    </row>
    <row r="3704">
      <c r="A3704" s="3">
        <v>1318.0</v>
      </c>
      <c r="B3704" s="3">
        <v>64.0</v>
      </c>
      <c r="C3704" s="3">
        <v>2.0</v>
      </c>
      <c r="D3704" t="str">
        <f>VLOOKUP(B3704,ERA_MOTIF_TYPES.csv!$A$1:$C$119,2,1)</f>
        <v>Cup with groove cutting through multiple rings</v>
      </c>
      <c r="E3704" t="str">
        <f>VLOOKUP(A3704,Panels!$A$1:$E$2104,5,0)</f>
        <v>West Lordenshaw</v>
      </c>
    </row>
    <row r="3705">
      <c r="A3705" s="3">
        <v>1318.0</v>
      </c>
      <c r="B3705" s="3">
        <v>66.0</v>
      </c>
      <c r="C3705" s="3">
        <v>2.0</v>
      </c>
      <c r="D3705" t="str">
        <f>VLOOKUP(B3705,ERA_MOTIF_TYPES.csv!$A$1:$C$119,2,1)</f>
        <v>Cup and groove with multiple penannulars</v>
      </c>
      <c r="E3705" t="str">
        <f>VLOOKUP(A3705,Panels!$A$1:$E$2104,5,0)</f>
        <v>West Lordenshaw</v>
      </c>
    </row>
    <row r="3706">
      <c r="A3706" s="3">
        <v>1318.0</v>
      </c>
      <c r="B3706" s="3">
        <v>70.0</v>
      </c>
      <c r="C3706" s="3">
        <v>1.0</v>
      </c>
      <c r="D3706" t="str">
        <f>VLOOKUP(B3706,ERA_MOTIF_TYPES.csv!$A$1:$C$119,2,1)</f>
        <v>Concentric rings</v>
      </c>
      <c r="E3706" t="str">
        <f>VLOOKUP(A3706,Panels!$A$1:$E$2104,5,0)</f>
        <v>West Lordenshaw</v>
      </c>
    </row>
    <row r="3707">
      <c r="A3707" s="3">
        <v>1318.0</v>
      </c>
      <c r="B3707" s="3">
        <v>71.0</v>
      </c>
      <c r="C3707" s="3">
        <v>2.0</v>
      </c>
      <c r="D3707" t="str">
        <f>VLOOKUP(B3707,ERA_MOTIF_TYPES.csv!$A$1:$C$119,2,1)</f>
        <v>Penannular</v>
      </c>
      <c r="E3707" t="str">
        <f>VLOOKUP(A3707,Panels!$A$1:$E$2104,5,0)</f>
        <v>West Lordenshaw</v>
      </c>
    </row>
    <row r="3708">
      <c r="A3708" s="3">
        <v>1318.0</v>
      </c>
      <c r="B3708" s="3">
        <v>72.0</v>
      </c>
      <c r="C3708" s="3">
        <v>1.0</v>
      </c>
      <c r="D3708" t="str">
        <f>VLOOKUP(B3708,ERA_MOTIF_TYPES.csv!$A$1:$C$119,2,1)</f>
        <v>Multiple penannulars</v>
      </c>
      <c r="E3708" t="str">
        <f>VLOOKUP(A3708,Panels!$A$1:$E$2104,5,0)</f>
        <v>West Lordenshaw</v>
      </c>
    </row>
    <row r="3709">
      <c r="A3709" s="3">
        <v>1318.0</v>
      </c>
      <c r="B3709" s="3">
        <v>73.0</v>
      </c>
      <c r="C3709" s="3">
        <v>2.0</v>
      </c>
      <c r="D3709" t="str">
        <f>VLOOKUP(B3709,ERA_MOTIF_TYPES.csv!$A$1:$C$119,2,1)</f>
        <v>Arc</v>
      </c>
      <c r="E3709" t="str">
        <f>VLOOKUP(A3709,Panels!$A$1:$E$2104,5,0)</f>
        <v>West Lordenshaw</v>
      </c>
    </row>
    <row r="3710">
      <c r="A3710" s="3">
        <v>1318.0</v>
      </c>
      <c r="B3710" s="3">
        <v>74.0</v>
      </c>
      <c r="C3710" s="3">
        <v>1.0</v>
      </c>
      <c r="D3710" t="str">
        <f>VLOOKUP(B3710,ERA_MOTIF_TYPES.csv!$A$1:$C$119,2,1)</f>
        <v>Multiple arcs</v>
      </c>
      <c r="E3710" t="str">
        <f>VLOOKUP(A3710,Panels!$A$1:$E$2104,5,0)</f>
        <v>West Lordenshaw</v>
      </c>
    </row>
    <row r="3711">
      <c r="A3711" s="3">
        <v>1318.0</v>
      </c>
      <c r="B3711" s="3">
        <v>87.0</v>
      </c>
      <c r="C3711" s="3">
        <v>7.0</v>
      </c>
      <c r="D3711" t="str">
        <f>VLOOKUP(B3711,ERA_MOTIF_TYPES.csv!$A$1:$C$119,2,1)</f>
        <v>Linear and angular groove</v>
      </c>
      <c r="E3711" t="str">
        <f>VLOOKUP(A3711,Panels!$A$1:$E$2104,5,0)</f>
        <v>West Lordenshaw</v>
      </c>
    </row>
    <row r="3712">
      <c r="A3712" s="3">
        <v>1318.0</v>
      </c>
      <c r="B3712" s="3">
        <v>90.0</v>
      </c>
      <c r="C3712" s="3">
        <v>2.0</v>
      </c>
      <c r="D3712" t="str">
        <f>VLOOKUP(B3712,ERA_MOTIF_TYPES.csv!$A$1:$C$119,2,1)</f>
        <v>Serpentine groove</v>
      </c>
      <c r="E3712" t="str">
        <f>VLOOKUP(A3712,Panels!$A$1:$E$2104,5,0)</f>
        <v>West Lordenshaw</v>
      </c>
    </row>
    <row r="3713">
      <c r="A3713" s="3">
        <v>1318.0</v>
      </c>
      <c r="B3713" s="3">
        <v>103.0</v>
      </c>
      <c r="C3713" s="3">
        <v>6.0</v>
      </c>
      <c r="D3713" t="str">
        <f>VLOOKUP(B3713,ERA_MOTIF_TYPES.csv!$A$1:$C$119,2,1)</f>
        <v>Cup and groove</v>
      </c>
      <c r="E3713" t="str">
        <f>VLOOKUP(A3713,Panels!$A$1:$E$2104,5,0)</f>
        <v>West Lordenshaw</v>
      </c>
    </row>
    <row r="3714">
      <c r="A3714" s="3">
        <v>1318.0</v>
      </c>
      <c r="B3714" s="3">
        <v>105.0</v>
      </c>
      <c r="C3714" s="3">
        <v>2.0</v>
      </c>
      <c r="D3714" t="str">
        <f>VLOOKUP(B3714,ERA_MOTIF_TYPES.csv!$A$1:$C$119,2,1)</f>
        <v>Two cups linked by a groove</v>
      </c>
      <c r="E3714" t="str">
        <f>VLOOKUP(A3714,Panels!$A$1:$E$2104,5,0)</f>
        <v>West Lordenshaw</v>
      </c>
    </row>
    <row r="3715">
      <c r="A3715" s="3">
        <v>1318.0</v>
      </c>
      <c r="B3715" s="3">
        <v>107.0</v>
      </c>
      <c r="C3715" s="3">
        <v>2.0</v>
      </c>
      <c r="D3715" t="str">
        <f>VLOOKUP(B3715,ERA_MOTIF_TYPES.csv!$A$1:$C$119,2,1)</f>
        <v>Cup and ring with exterior groove</v>
      </c>
      <c r="E3715" t="str">
        <f>VLOOKUP(A3715,Panels!$A$1:$E$2104,5,0)</f>
        <v>West Lordenshaw</v>
      </c>
    </row>
    <row r="3716">
      <c r="A3716" s="3">
        <v>1318.0</v>
      </c>
      <c r="B3716" s="3">
        <v>110.0</v>
      </c>
      <c r="C3716" s="3">
        <v>3.0</v>
      </c>
      <c r="D3716" t="str">
        <f>VLOOKUP(B3716,ERA_MOTIF_TYPES.csv!$A$1:$C$119,2,1)</f>
        <v>Curved groove</v>
      </c>
      <c r="E3716" t="str">
        <f>VLOOKUP(A3716,Panels!$A$1:$E$2104,5,0)</f>
        <v>West Lordenshaw</v>
      </c>
    </row>
    <row r="3717">
      <c r="A3717" s="3">
        <v>1319.0</v>
      </c>
      <c r="B3717" s="3">
        <v>1.0</v>
      </c>
      <c r="C3717" s="3">
        <v>7.0</v>
      </c>
      <c r="D3717" t="str">
        <f>VLOOKUP(B3717,ERA_MOTIF_TYPES.csv!$A$1:$C$119,2,1)</f>
        <v>Cups Single</v>
      </c>
      <c r="E3717" t="str">
        <f>VLOOKUP(A3717,Panels!$A$1:$E$2104,5,0)</f>
        <v>East Lordenshaw</v>
      </c>
    </row>
    <row r="3718">
      <c r="A3718" s="3">
        <v>1319.0</v>
      </c>
      <c r="B3718" s="3">
        <v>31.0</v>
      </c>
      <c r="C3718" s="3">
        <v>3.0</v>
      </c>
      <c r="D3718" t="str">
        <f>VLOOKUP(B3718,ERA_MOTIF_TYPES.csv!$A$1:$C$119,2,1)</f>
        <v>Cup and Groove</v>
      </c>
      <c r="E3718" t="str">
        <f>VLOOKUP(A3718,Panels!$A$1:$E$2104,5,0)</f>
        <v>East Lordenshaw</v>
      </c>
    </row>
    <row r="3719">
      <c r="A3719" s="3">
        <v>1319.0</v>
      </c>
      <c r="B3719" s="3">
        <v>51.0</v>
      </c>
      <c r="C3719" s="3">
        <v>2.0</v>
      </c>
      <c r="D3719" t="str">
        <f>VLOOKUP(B3719,ERA_MOTIF_TYPES.csv!$A$1:$C$119,2,1)</f>
        <v>Bowls</v>
      </c>
      <c r="E3719" t="str">
        <f>VLOOKUP(A3719,Panels!$A$1:$E$2104,5,0)</f>
        <v>East Lordenshaw</v>
      </c>
    </row>
    <row r="3720">
      <c r="A3720" s="3">
        <v>1319.0</v>
      </c>
      <c r="B3720" s="3">
        <v>52.0</v>
      </c>
      <c r="C3720" s="3">
        <v>7.0</v>
      </c>
      <c r="D3720" t="str">
        <f>VLOOKUP(B3720,ERA_MOTIF_TYPES.csv!$A$1:$C$119,2,1)</f>
        <v>Single or multiple cups</v>
      </c>
      <c r="E3720" t="str">
        <f>VLOOKUP(A3720,Panels!$A$1:$E$2104,5,0)</f>
        <v>East Lordenshaw</v>
      </c>
    </row>
    <row r="3721">
      <c r="A3721" s="3">
        <v>1319.0</v>
      </c>
      <c r="B3721" s="3">
        <v>57.0</v>
      </c>
      <c r="C3721" s="3">
        <v>1.0</v>
      </c>
      <c r="D3721" t="str">
        <f>VLOOKUP(B3721,ERA_MOTIF_TYPES.csv!$A$1:$C$119,2,1)</f>
        <v>Cup and ring</v>
      </c>
      <c r="E3721" t="str">
        <f>VLOOKUP(A3721,Panels!$A$1:$E$2104,5,0)</f>
        <v>East Lordenshaw</v>
      </c>
    </row>
    <row r="3722">
      <c r="A3722" s="3">
        <v>1319.0</v>
      </c>
      <c r="B3722" s="3">
        <v>94.0</v>
      </c>
      <c r="C3722" s="3">
        <v>2.0</v>
      </c>
      <c r="D3722" t="str">
        <f>VLOOKUP(B3722,ERA_MOTIF_TYPES.csv!$A$1:$C$119,2,1)</f>
        <v>Basin</v>
      </c>
      <c r="E3722" t="str">
        <f>VLOOKUP(A3722,Panels!$A$1:$E$2104,5,0)</f>
        <v>East Lordenshaw</v>
      </c>
    </row>
    <row r="3723">
      <c r="A3723" s="3">
        <v>1319.0</v>
      </c>
      <c r="B3723" s="3">
        <v>106.0</v>
      </c>
      <c r="C3723" s="3">
        <v>4.0</v>
      </c>
      <c r="D3723" t="str">
        <f>VLOOKUP(B3723,ERA_MOTIF_TYPES.csv!$A$1:$C$119,2,1)</f>
        <v>Long groove</v>
      </c>
      <c r="E3723" t="str">
        <f>VLOOKUP(A3723,Panels!$A$1:$E$2104,5,0)</f>
        <v>East Lordenshaw</v>
      </c>
    </row>
    <row r="3724">
      <c r="A3724" s="3">
        <v>1320.0</v>
      </c>
      <c r="B3724" s="3">
        <v>1.0</v>
      </c>
      <c r="C3724" s="3">
        <v>2.0</v>
      </c>
      <c r="D3724" t="str">
        <f>VLOOKUP(B3724,ERA_MOTIF_TYPES.csv!$A$1:$C$119,2,1)</f>
        <v>Cups Single</v>
      </c>
      <c r="E3724" t="str">
        <f>VLOOKUP(A3724,Panels!$A$1:$E$2104,5,0)</f>
        <v>West Lordenshaw</v>
      </c>
    </row>
    <row r="3725">
      <c r="A3725" s="3">
        <v>1320.0</v>
      </c>
      <c r="B3725" s="3">
        <v>35.0</v>
      </c>
      <c r="C3725" s="3">
        <v>1.0</v>
      </c>
      <c r="D3725" t="str">
        <f>VLOOKUP(B3725,ERA_MOTIF_TYPES.csv!$A$1:$C$119,2,1)</f>
        <v>Cup Groove and multi penannular</v>
      </c>
      <c r="E3725" t="str">
        <f>VLOOKUP(A3725,Panels!$A$1:$E$2104,5,0)</f>
        <v>West Lordenshaw</v>
      </c>
    </row>
    <row r="3726">
      <c r="A3726" s="3">
        <v>1320.0</v>
      </c>
      <c r="B3726" s="3">
        <v>52.0</v>
      </c>
      <c r="C3726" s="3">
        <v>2.0</v>
      </c>
      <c r="D3726" t="str">
        <f>VLOOKUP(B3726,ERA_MOTIF_TYPES.csv!$A$1:$C$119,2,1)</f>
        <v>Single or multiple cups</v>
      </c>
      <c r="E3726" t="str">
        <f>VLOOKUP(A3726,Panels!$A$1:$E$2104,5,0)</f>
        <v>West Lordenshaw</v>
      </c>
    </row>
    <row r="3727">
      <c r="A3727" s="3">
        <v>1320.0</v>
      </c>
      <c r="B3727" s="3">
        <v>58.0</v>
      </c>
      <c r="C3727" s="3">
        <v>1.0</v>
      </c>
      <c r="D3727" t="str">
        <f>VLOOKUP(B3727,ERA_MOTIF_TYPES.csv!$A$1:$C$119,2,1)</f>
        <v>Cup and multiple rings</v>
      </c>
      <c r="E3727" t="str">
        <f>VLOOKUP(A3727,Panels!$A$1:$E$2104,5,0)</f>
        <v>West Lordenshaw</v>
      </c>
    </row>
    <row r="3728">
      <c r="A3728" s="3">
        <v>1321.0</v>
      </c>
      <c r="B3728" s="3">
        <v>1.0</v>
      </c>
      <c r="C3728" s="3">
        <v>5.0</v>
      </c>
      <c r="D3728" t="str">
        <f>VLOOKUP(B3728,ERA_MOTIF_TYPES.csv!$A$1:$C$119,2,1)</f>
        <v>Cups Single</v>
      </c>
      <c r="E3728" t="str">
        <f>VLOOKUP(A3728,Panels!$A$1:$E$2104,5,0)</f>
        <v>West Lordenshaw (Birky Hill)</v>
      </c>
    </row>
    <row r="3729">
      <c r="A3729" s="3">
        <v>1321.0</v>
      </c>
      <c r="B3729" s="3">
        <v>6.0</v>
      </c>
      <c r="C3729" s="3">
        <v>4.0</v>
      </c>
      <c r="D3729" t="str">
        <f>VLOOKUP(B3729,ERA_MOTIF_TYPES.csv!$A$1:$C$119,2,1)</f>
        <v>curved or straight line</v>
      </c>
      <c r="E3729" t="str">
        <f>VLOOKUP(A3729,Panels!$A$1:$E$2104,5,0)</f>
        <v>West Lordenshaw (Birky Hill)</v>
      </c>
    </row>
    <row r="3730">
      <c r="A3730" s="3">
        <v>1321.0</v>
      </c>
      <c r="B3730" s="3">
        <v>16.0</v>
      </c>
      <c r="C3730" s="3">
        <v>1.0</v>
      </c>
      <c r="D3730" t="str">
        <f>VLOOKUP(B3730,ERA_MOTIF_TYPES.csv!$A$1:$C$119,2,1)</f>
        <v>Single Arc + cup</v>
      </c>
      <c r="E3730" t="str">
        <f>VLOOKUP(A3730,Panels!$A$1:$E$2104,5,0)</f>
        <v>West Lordenshaw (Birky Hill)</v>
      </c>
    </row>
    <row r="3731">
      <c r="A3731" s="3">
        <v>1321.0</v>
      </c>
      <c r="B3731" s="3">
        <v>25.0</v>
      </c>
      <c r="C3731" s="3">
        <v>1.0</v>
      </c>
      <c r="D3731" t="str">
        <f>VLOOKUP(B3731,ERA_MOTIF_TYPES.csv!$A$1:$C$119,2,1)</f>
        <v>Linear</v>
      </c>
      <c r="E3731" t="str">
        <f>VLOOKUP(A3731,Panels!$A$1:$E$2104,5,0)</f>
        <v>West Lordenshaw (Birky Hill)</v>
      </c>
    </row>
    <row r="3732">
      <c r="A3732" s="3">
        <v>1321.0</v>
      </c>
      <c r="B3732" s="3">
        <v>31.0</v>
      </c>
      <c r="C3732" s="3">
        <v>3.0</v>
      </c>
      <c r="D3732" t="str">
        <f>VLOOKUP(B3732,ERA_MOTIF_TYPES.csv!$A$1:$C$119,2,1)</f>
        <v>Cup and Groove</v>
      </c>
      <c r="E3732" t="str">
        <f>VLOOKUP(A3732,Panels!$A$1:$E$2104,5,0)</f>
        <v>West Lordenshaw (Birky Hill)</v>
      </c>
    </row>
    <row r="3733">
      <c r="A3733" s="3">
        <v>1321.0</v>
      </c>
      <c r="B3733" s="3">
        <v>52.0</v>
      </c>
      <c r="C3733" s="3">
        <v>7.0</v>
      </c>
      <c r="D3733" t="str">
        <f>VLOOKUP(B3733,ERA_MOTIF_TYPES.csv!$A$1:$C$119,2,1)</f>
        <v>Single or multiple cups</v>
      </c>
      <c r="E3733" t="str">
        <f>VLOOKUP(A3733,Panels!$A$1:$E$2104,5,0)</f>
        <v>West Lordenshaw (Birky Hill)</v>
      </c>
    </row>
    <row r="3734">
      <c r="A3734" s="3">
        <v>1321.0</v>
      </c>
      <c r="B3734" s="3">
        <v>53.0</v>
      </c>
      <c r="C3734" s="3">
        <v>1.0</v>
      </c>
      <c r="D3734" t="str">
        <f>VLOOKUP(B3734,ERA_MOTIF_TYPES.csv!$A$1:$C$119,2,1)</f>
        <v>Domino patterns and parallel lines</v>
      </c>
      <c r="E3734" t="str">
        <f>VLOOKUP(A3734,Panels!$A$1:$E$2104,5,0)</f>
        <v>West Lordenshaw (Birky Hill)</v>
      </c>
    </row>
    <row r="3735">
      <c r="A3735" s="3">
        <v>1321.0</v>
      </c>
      <c r="B3735" s="3">
        <v>55.0</v>
      </c>
      <c r="C3735" s="3">
        <v>1.0</v>
      </c>
      <c r="D3735" t="str">
        <f>VLOOKUP(B3735,ERA_MOTIF_TYPES.csv!$A$1:$C$119,2,1)</f>
        <v>Cups in a straight or curved line</v>
      </c>
      <c r="E3735" t="str">
        <f>VLOOKUP(A3735,Panels!$A$1:$E$2104,5,0)</f>
        <v>West Lordenshaw (Birky Hill)</v>
      </c>
    </row>
    <row r="3736">
      <c r="A3736" s="3">
        <v>1321.0</v>
      </c>
      <c r="B3736" s="3">
        <v>94.0</v>
      </c>
      <c r="C3736" s="3">
        <v>2.0</v>
      </c>
      <c r="D3736" t="str">
        <f>VLOOKUP(B3736,ERA_MOTIF_TYPES.csv!$A$1:$C$119,2,1)</f>
        <v>Basin</v>
      </c>
      <c r="E3736" t="str">
        <f>VLOOKUP(A3736,Panels!$A$1:$E$2104,5,0)</f>
        <v>West Lordenshaw (Birky Hill)</v>
      </c>
    </row>
    <row r="3737">
      <c r="A3737" s="3">
        <v>1321.0</v>
      </c>
      <c r="B3737" s="3">
        <v>103.0</v>
      </c>
      <c r="C3737" s="3">
        <v>2.0</v>
      </c>
      <c r="D3737" t="str">
        <f>VLOOKUP(B3737,ERA_MOTIF_TYPES.csv!$A$1:$C$119,2,1)</f>
        <v>Cup and groove</v>
      </c>
      <c r="E3737" t="str">
        <f>VLOOKUP(A3737,Panels!$A$1:$E$2104,5,0)</f>
        <v>West Lordenshaw (Birky Hill)</v>
      </c>
    </row>
    <row r="3738">
      <c r="A3738" s="3">
        <v>1321.0</v>
      </c>
      <c r="B3738" s="3">
        <v>105.0</v>
      </c>
      <c r="C3738" s="3">
        <v>2.0</v>
      </c>
      <c r="D3738" t="str">
        <f>VLOOKUP(B3738,ERA_MOTIF_TYPES.csv!$A$1:$C$119,2,1)</f>
        <v>Two cups linked by a groove</v>
      </c>
      <c r="E3738" t="str">
        <f>VLOOKUP(A3738,Panels!$A$1:$E$2104,5,0)</f>
        <v>West Lordenshaw (Birky Hill)</v>
      </c>
    </row>
    <row r="3739">
      <c r="A3739" s="3">
        <v>1322.0</v>
      </c>
      <c r="B3739" s="3">
        <v>18.0</v>
      </c>
      <c r="C3739" s="3">
        <v>1.0</v>
      </c>
      <c r="D3739" t="str">
        <f>VLOOKUP(B3739,ERA_MOTIF_TYPES.csv!$A$1:$C$119,2,1)</f>
        <v>Multi Arc + cup</v>
      </c>
      <c r="E3739" t="str">
        <f>VLOOKUP(A3739,Panels!$A$1:$E$2104,5,0)</f>
        <v>West Lordenshaw (Birky Hill)</v>
      </c>
    </row>
    <row r="3740">
      <c r="A3740" s="3">
        <v>1322.0</v>
      </c>
      <c r="B3740" s="3">
        <v>58.0</v>
      </c>
      <c r="C3740" s="3">
        <v>1.0</v>
      </c>
      <c r="D3740" t="str">
        <f>VLOOKUP(B3740,ERA_MOTIF_TYPES.csv!$A$1:$C$119,2,1)</f>
        <v>Cup and multiple rings</v>
      </c>
      <c r="E3740" t="str">
        <f>VLOOKUP(A3740,Panels!$A$1:$E$2104,5,0)</f>
        <v>West Lordenshaw (Birky Hill)</v>
      </c>
    </row>
    <row r="3741">
      <c r="A3741" s="3">
        <v>1322.0</v>
      </c>
      <c r="B3741" s="3">
        <v>87.0</v>
      </c>
      <c r="C3741" s="3">
        <v>1.0</v>
      </c>
      <c r="D3741" t="str">
        <f>VLOOKUP(B3741,ERA_MOTIF_TYPES.csv!$A$1:$C$119,2,1)</f>
        <v>Linear and angular groove</v>
      </c>
      <c r="E3741" t="str">
        <f>VLOOKUP(A3741,Panels!$A$1:$E$2104,5,0)</f>
        <v>West Lordenshaw (Birky Hill)</v>
      </c>
    </row>
    <row r="3742">
      <c r="A3742" s="3">
        <v>1323.0</v>
      </c>
      <c r="B3742" s="3">
        <v>1.0</v>
      </c>
      <c r="C3742" s="3">
        <v>3.0</v>
      </c>
      <c r="D3742" t="str">
        <f>VLOOKUP(B3742,ERA_MOTIF_TYPES.csv!$A$1:$C$119,2,1)</f>
        <v>Cups Single</v>
      </c>
      <c r="E3742" t="str">
        <f>VLOOKUP(A3742,Panels!$A$1:$E$2104,5,0)</f>
        <v>West Lordenshaw (Birky Hill)</v>
      </c>
    </row>
    <row r="3743">
      <c r="A3743" s="3">
        <v>1323.0</v>
      </c>
      <c r="B3743" s="3">
        <v>50.0</v>
      </c>
      <c r="C3743" s="3">
        <v>2.0</v>
      </c>
      <c r="D3743" t="str">
        <f>VLOOKUP(B3743,ERA_MOTIF_TYPES.csv!$A$1:$C$119,2,1)</f>
        <v>Channels</v>
      </c>
      <c r="E3743" t="str">
        <f>VLOOKUP(A3743,Panels!$A$1:$E$2104,5,0)</f>
        <v>West Lordenshaw (Birky Hill)</v>
      </c>
    </row>
    <row r="3744">
      <c r="A3744" s="3">
        <v>1323.0</v>
      </c>
      <c r="B3744" s="3">
        <v>51.0</v>
      </c>
      <c r="C3744" s="3">
        <v>3.0</v>
      </c>
      <c r="D3744" t="str">
        <f>VLOOKUP(B3744,ERA_MOTIF_TYPES.csv!$A$1:$C$119,2,1)</f>
        <v>Bowls</v>
      </c>
      <c r="E3744" t="str">
        <f>VLOOKUP(A3744,Panels!$A$1:$E$2104,5,0)</f>
        <v>West Lordenshaw (Birky Hill)</v>
      </c>
    </row>
    <row r="3745">
      <c r="A3745" s="3">
        <v>1323.0</v>
      </c>
      <c r="B3745" s="3">
        <v>52.0</v>
      </c>
      <c r="C3745" s="3">
        <v>5.0</v>
      </c>
      <c r="D3745" t="str">
        <f>VLOOKUP(B3745,ERA_MOTIF_TYPES.csv!$A$1:$C$119,2,1)</f>
        <v>Single or multiple cups</v>
      </c>
      <c r="E3745" t="str">
        <f>VLOOKUP(A3745,Panels!$A$1:$E$2104,5,0)</f>
        <v>West Lordenshaw (Birky Hill)</v>
      </c>
    </row>
    <row r="3746">
      <c r="A3746" s="3">
        <v>1323.0</v>
      </c>
      <c r="B3746" s="3">
        <v>87.0</v>
      </c>
      <c r="C3746" s="3">
        <v>1.0</v>
      </c>
      <c r="D3746" t="str">
        <f>VLOOKUP(B3746,ERA_MOTIF_TYPES.csv!$A$1:$C$119,2,1)</f>
        <v>Linear and angular groove</v>
      </c>
      <c r="E3746" t="str">
        <f>VLOOKUP(A3746,Panels!$A$1:$E$2104,5,0)</f>
        <v>West Lordenshaw (Birky Hill)</v>
      </c>
    </row>
    <row r="3747">
      <c r="A3747" s="3">
        <v>1323.0</v>
      </c>
      <c r="B3747" s="3">
        <v>94.0</v>
      </c>
      <c r="C3747" s="3">
        <v>3.0</v>
      </c>
      <c r="D3747" t="str">
        <f>VLOOKUP(B3747,ERA_MOTIF_TYPES.csv!$A$1:$C$119,2,1)</f>
        <v>Basin</v>
      </c>
      <c r="E3747" t="str">
        <f>VLOOKUP(A3747,Panels!$A$1:$E$2104,5,0)</f>
        <v>West Lordenshaw (Birky Hill)</v>
      </c>
    </row>
    <row r="3748">
      <c r="A3748" s="3">
        <v>1324.0</v>
      </c>
      <c r="B3748" s="3">
        <v>1.0</v>
      </c>
      <c r="C3748" s="3">
        <v>2.0</v>
      </c>
      <c r="D3748" t="str">
        <f>VLOOKUP(B3748,ERA_MOTIF_TYPES.csv!$A$1:$C$119,2,1)</f>
        <v>Cups Single</v>
      </c>
      <c r="E3748" t="str">
        <f>VLOOKUP(A3748,Panels!$A$1:$E$2104,5,0)</f>
        <v>East Lordenshaw</v>
      </c>
    </row>
    <row r="3749">
      <c r="A3749" s="3">
        <v>1324.0</v>
      </c>
      <c r="B3749" s="3">
        <v>51.0</v>
      </c>
      <c r="C3749" s="3">
        <v>5.0</v>
      </c>
      <c r="D3749" t="str">
        <f>VLOOKUP(B3749,ERA_MOTIF_TYPES.csv!$A$1:$C$119,2,1)</f>
        <v>Bowls</v>
      </c>
      <c r="E3749" t="str">
        <f>VLOOKUP(A3749,Panels!$A$1:$E$2104,5,0)</f>
        <v>East Lordenshaw</v>
      </c>
    </row>
    <row r="3750">
      <c r="A3750" s="3">
        <v>1324.0</v>
      </c>
      <c r="B3750" s="3">
        <v>52.0</v>
      </c>
      <c r="C3750" s="3">
        <v>8.0</v>
      </c>
      <c r="D3750" t="str">
        <f>VLOOKUP(B3750,ERA_MOTIF_TYPES.csv!$A$1:$C$119,2,1)</f>
        <v>Single or multiple cups</v>
      </c>
      <c r="E3750" t="str">
        <f>VLOOKUP(A3750,Panels!$A$1:$E$2104,5,0)</f>
        <v>East Lordenshaw</v>
      </c>
    </row>
    <row r="3751">
      <c r="A3751" s="3">
        <v>1325.0</v>
      </c>
      <c r="B3751" s="3">
        <v>1.0</v>
      </c>
      <c r="C3751" s="3">
        <v>3.0</v>
      </c>
      <c r="D3751" t="str">
        <f>VLOOKUP(B3751,ERA_MOTIF_TYPES.csv!$A$1:$C$119,2,1)</f>
        <v>Cups Single</v>
      </c>
      <c r="E3751" t="str">
        <f>VLOOKUP(A3751,Panels!$A$1:$E$2104,5,0)</f>
        <v>West Lordenshaw</v>
      </c>
    </row>
    <row r="3752">
      <c r="A3752" s="3">
        <v>1325.0</v>
      </c>
      <c r="B3752" s="3">
        <v>55.0</v>
      </c>
      <c r="C3752" s="3">
        <v>1.0</v>
      </c>
      <c r="D3752" t="str">
        <f>VLOOKUP(B3752,ERA_MOTIF_TYPES.csv!$A$1:$C$119,2,1)</f>
        <v>Cups in a straight or curved line</v>
      </c>
      <c r="E3752" t="str">
        <f>VLOOKUP(A3752,Panels!$A$1:$E$2104,5,0)</f>
        <v>West Lordenshaw</v>
      </c>
    </row>
    <row r="3753">
      <c r="A3753" s="3">
        <v>1326.0</v>
      </c>
      <c r="B3753" s="3">
        <v>52.0</v>
      </c>
      <c r="C3753" s="3">
        <v>1.0</v>
      </c>
      <c r="D3753" t="str">
        <f>VLOOKUP(B3753,ERA_MOTIF_TYPES.csv!$A$1:$C$119,2,1)</f>
        <v>Single or multiple cups</v>
      </c>
      <c r="E3753" t="str">
        <f>VLOOKUP(A3753,Panels!$A$1:$E$2104,5,0)</f>
        <v>West Lordenshaw</v>
      </c>
    </row>
    <row r="3754">
      <c r="A3754" s="3">
        <v>1327.0</v>
      </c>
      <c r="B3754" s="3">
        <v>1.0</v>
      </c>
      <c r="C3754" s="3">
        <v>2.0</v>
      </c>
      <c r="D3754" t="str">
        <f>VLOOKUP(B3754,ERA_MOTIF_TYPES.csv!$A$1:$C$119,2,1)</f>
        <v>Cups Single</v>
      </c>
      <c r="E3754" t="str">
        <f>VLOOKUP(A3754,Panels!$A$1:$E$2104,5,0)</f>
        <v>South Lordenshaw</v>
      </c>
    </row>
    <row r="3755">
      <c r="A3755" s="3">
        <v>1327.0</v>
      </c>
      <c r="B3755" s="3">
        <v>52.0</v>
      </c>
      <c r="C3755" s="3">
        <v>3.0</v>
      </c>
      <c r="D3755" t="str">
        <f>VLOOKUP(B3755,ERA_MOTIF_TYPES.csv!$A$1:$C$119,2,1)</f>
        <v>Single or multiple cups</v>
      </c>
      <c r="E3755" t="str">
        <f>VLOOKUP(A3755,Panels!$A$1:$E$2104,5,0)</f>
        <v>South Lordenshaw</v>
      </c>
    </row>
    <row r="3756">
      <c r="A3756" s="3">
        <v>1328.0</v>
      </c>
      <c r="B3756" s="3">
        <v>1.0</v>
      </c>
      <c r="C3756" s="3">
        <v>10.0</v>
      </c>
      <c r="D3756" t="str">
        <f>VLOOKUP(B3756,ERA_MOTIF_TYPES.csv!$A$1:$C$119,2,1)</f>
        <v>Cups Single</v>
      </c>
      <c r="E3756" t="str">
        <f>VLOOKUP(A3756,Panels!$A$1:$E$2104,5,0)</f>
        <v>East Lordenshaw</v>
      </c>
    </row>
    <row r="3757">
      <c r="A3757" s="3">
        <v>1328.0</v>
      </c>
      <c r="B3757" s="3">
        <v>52.0</v>
      </c>
      <c r="C3757" s="3">
        <v>14.0</v>
      </c>
      <c r="D3757" t="str">
        <f>VLOOKUP(B3757,ERA_MOTIF_TYPES.csv!$A$1:$C$119,2,1)</f>
        <v>Single or multiple cups</v>
      </c>
      <c r="E3757" t="str">
        <f>VLOOKUP(A3757,Panels!$A$1:$E$2104,5,0)</f>
        <v>East Lordenshaw</v>
      </c>
    </row>
    <row r="3758">
      <c r="A3758" s="3">
        <v>1329.0</v>
      </c>
      <c r="B3758" s="3">
        <v>1.0</v>
      </c>
      <c r="C3758" s="3">
        <v>1.0</v>
      </c>
      <c r="D3758" t="str">
        <f>VLOOKUP(B3758,ERA_MOTIF_TYPES.csv!$A$1:$C$119,2,1)</f>
        <v>Cups Single</v>
      </c>
      <c r="E3758" t="str">
        <f>VLOOKUP(A3758,Panels!$A$1:$E$2104,5,0)</f>
        <v>South Lordenshaw</v>
      </c>
    </row>
    <row r="3759">
      <c r="A3759" s="3">
        <v>1329.0</v>
      </c>
      <c r="B3759" s="3">
        <v>2.0</v>
      </c>
      <c r="C3759" s="3">
        <v>1.0</v>
      </c>
      <c r="D3759" t="str">
        <f>VLOOKUP(B3759,ERA_MOTIF_TYPES.csv!$A$1:$C$119,2,1)</f>
        <v>Random Cluster</v>
      </c>
      <c r="E3759" t="str">
        <f>VLOOKUP(A3759,Panels!$A$1:$E$2104,5,0)</f>
        <v>South Lordenshaw</v>
      </c>
    </row>
    <row r="3760">
      <c r="A3760" s="3">
        <v>1329.0</v>
      </c>
      <c r="B3760" s="3">
        <v>51.0</v>
      </c>
      <c r="C3760" s="3">
        <v>2.0</v>
      </c>
      <c r="D3760" t="str">
        <f>VLOOKUP(B3760,ERA_MOTIF_TYPES.csv!$A$1:$C$119,2,1)</f>
        <v>Bowls</v>
      </c>
      <c r="E3760" t="str">
        <f>VLOOKUP(A3760,Panels!$A$1:$E$2104,5,0)</f>
        <v>South Lordenshaw</v>
      </c>
    </row>
    <row r="3761">
      <c r="A3761" s="3">
        <v>1329.0</v>
      </c>
      <c r="B3761" s="3">
        <v>94.0</v>
      </c>
      <c r="C3761" s="3">
        <v>1.0</v>
      </c>
      <c r="D3761" t="str">
        <f>VLOOKUP(B3761,ERA_MOTIF_TYPES.csv!$A$1:$C$119,2,1)</f>
        <v>Basin</v>
      </c>
      <c r="E3761" t="str">
        <f>VLOOKUP(A3761,Panels!$A$1:$E$2104,5,0)</f>
        <v>South Lordenshaw</v>
      </c>
    </row>
    <row r="3762">
      <c r="A3762" s="3">
        <v>1329.0</v>
      </c>
      <c r="B3762" s="3">
        <v>112.0</v>
      </c>
      <c r="C3762" s="3">
        <v>1.0</v>
      </c>
      <c r="D3762" t="str">
        <f>VLOOKUP(B3762,ERA_MOTIF_TYPES.csv!$A$1:$C$119,2,1)</f>
        <v>Row of midget cups</v>
      </c>
      <c r="E3762" t="str">
        <f>VLOOKUP(A3762,Panels!$A$1:$E$2104,5,0)</f>
        <v>South Lordenshaw</v>
      </c>
    </row>
    <row r="3763">
      <c r="A3763" s="3">
        <v>1330.0</v>
      </c>
      <c r="B3763" s="3">
        <v>1.0</v>
      </c>
      <c r="C3763" s="3">
        <v>4.0</v>
      </c>
      <c r="D3763" t="str">
        <f>VLOOKUP(B3763,ERA_MOTIF_TYPES.csv!$A$1:$C$119,2,1)</f>
        <v>Cups Single</v>
      </c>
      <c r="E3763" t="str">
        <f>VLOOKUP(A3763,Panels!$A$1:$E$2104,5,0)</f>
        <v>East Lordenshaw</v>
      </c>
    </row>
    <row r="3764">
      <c r="A3764" s="3">
        <v>1330.0</v>
      </c>
      <c r="B3764" s="3">
        <v>57.0</v>
      </c>
      <c r="C3764" s="3">
        <v>2.0</v>
      </c>
      <c r="D3764" t="str">
        <f>VLOOKUP(B3764,ERA_MOTIF_TYPES.csv!$A$1:$C$119,2,1)</f>
        <v>Cup and ring</v>
      </c>
      <c r="E3764" t="str">
        <f>VLOOKUP(A3764,Panels!$A$1:$E$2104,5,0)</f>
        <v>East Lordenshaw</v>
      </c>
    </row>
    <row r="3765">
      <c r="A3765" s="3">
        <v>1331.0</v>
      </c>
      <c r="B3765" s="3">
        <v>1.0</v>
      </c>
      <c r="C3765" s="3">
        <v>1.0</v>
      </c>
      <c r="D3765" t="str">
        <f>VLOOKUP(B3765,ERA_MOTIF_TYPES.csv!$A$1:$C$119,2,1)</f>
        <v>Cups Single</v>
      </c>
      <c r="E3765" t="str">
        <f>VLOOKUP(A3765,Panels!$A$1:$E$2104,5,0)</f>
        <v>West Lordenshaw (Birky Hill)</v>
      </c>
    </row>
    <row r="3766">
      <c r="A3766" s="3">
        <v>1332.0</v>
      </c>
      <c r="B3766" s="3">
        <v>1.0</v>
      </c>
      <c r="C3766" s="3">
        <v>8.0</v>
      </c>
      <c r="D3766" t="str">
        <f>VLOOKUP(B3766,ERA_MOTIF_TYPES.csv!$A$1:$C$119,2,1)</f>
        <v>Cups Single</v>
      </c>
      <c r="E3766" t="str">
        <f>VLOOKUP(A3766,Panels!$A$1:$E$2104,5,0)</f>
        <v>East Lordenshaw</v>
      </c>
    </row>
    <row r="3767">
      <c r="A3767" s="3">
        <v>1332.0</v>
      </c>
      <c r="B3767" s="3">
        <v>51.0</v>
      </c>
      <c r="C3767" s="3">
        <v>3.0</v>
      </c>
      <c r="D3767" t="str">
        <f>VLOOKUP(B3767,ERA_MOTIF_TYPES.csv!$A$1:$C$119,2,1)</f>
        <v>Bowls</v>
      </c>
      <c r="E3767" t="str">
        <f>VLOOKUP(A3767,Panels!$A$1:$E$2104,5,0)</f>
        <v>East Lordenshaw</v>
      </c>
    </row>
    <row r="3768">
      <c r="A3768" s="3">
        <v>1332.0</v>
      </c>
      <c r="B3768" s="3">
        <v>55.0</v>
      </c>
      <c r="C3768" s="3">
        <v>8.0</v>
      </c>
      <c r="D3768" t="str">
        <f>VLOOKUP(B3768,ERA_MOTIF_TYPES.csv!$A$1:$C$119,2,1)</f>
        <v>Cups in a straight or curved line</v>
      </c>
      <c r="E3768" t="str">
        <f>VLOOKUP(A3768,Panels!$A$1:$E$2104,5,0)</f>
        <v>East Lordenshaw</v>
      </c>
    </row>
    <row r="3769">
      <c r="A3769" s="3">
        <v>1333.0</v>
      </c>
      <c r="B3769" s="3">
        <v>1.0</v>
      </c>
      <c r="C3769" s="3">
        <v>11.0</v>
      </c>
      <c r="D3769" t="str">
        <f>VLOOKUP(B3769,ERA_MOTIF_TYPES.csv!$A$1:$C$119,2,1)</f>
        <v>Cups Single</v>
      </c>
      <c r="E3769" t="str">
        <f>VLOOKUP(A3769,Panels!$A$1:$E$2104,5,0)</f>
        <v>East Lordenshaw</v>
      </c>
    </row>
    <row r="3770">
      <c r="A3770" s="3">
        <v>1333.0</v>
      </c>
      <c r="B3770" s="3">
        <v>52.0</v>
      </c>
      <c r="C3770" s="3">
        <v>11.0</v>
      </c>
      <c r="D3770" t="str">
        <f>VLOOKUP(B3770,ERA_MOTIF_TYPES.csv!$A$1:$C$119,2,1)</f>
        <v>Single or multiple cups</v>
      </c>
      <c r="E3770" t="str">
        <f>VLOOKUP(A3770,Panels!$A$1:$E$2104,5,0)</f>
        <v>East Lordenshaw</v>
      </c>
    </row>
    <row r="3771">
      <c r="A3771" s="3">
        <v>1334.0</v>
      </c>
      <c r="B3771" s="3">
        <v>1.0</v>
      </c>
      <c r="C3771" s="3">
        <v>4.0</v>
      </c>
      <c r="D3771" t="str">
        <f>VLOOKUP(B3771,ERA_MOTIF_TYPES.csv!$A$1:$C$119,2,1)</f>
        <v>Cups Single</v>
      </c>
      <c r="E3771" t="str">
        <f>VLOOKUP(A3771,Panels!$A$1:$E$2104,5,0)</f>
        <v>West Lordenshaw</v>
      </c>
    </row>
    <row r="3772">
      <c r="A3772" s="3">
        <v>1334.0</v>
      </c>
      <c r="B3772" s="3">
        <v>52.0</v>
      </c>
      <c r="C3772" s="3">
        <v>5.0</v>
      </c>
      <c r="D3772" t="str">
        <f>VLOOKUP(B3772,ERA_MOTIF_TYPES.csv!$A$1:$C$119,2,1)</f>
        <v>Single or multiple cups</v>
      </c>
      <c r="E3772" t="str">
        <f>VLOOKUP(A3772,Panels!$A$1:$E$2104,5,0)</f>
        <v>West Lordenshaw</v>
      </c>
    </row>
    <row r="3773">
      <c r="A3773" s="3">
        <v>1335.0</v>
      </c>
      <c r="B3773" s="3">
        <v>1.0</v>
      </c>
      <c r="C3773" s="3">
        <v>4.0</v>
      </c>
      <c r="D3773" t="str">
        <f>VLOOKUP(B3773,ERA_MOTIF_TYPES.csv!$A$1:$C$119,2,1)</f>
        <v>Cups Single</v>
      </c>
      <c r="E3773" t="str">
        <f>VLOOKUP(A3773,Panels!$A$1:$E$2104,5,0)</f>
        <v>West Lordenshaw</v>
      </c>
    </row>
    <row r="3774">
      <c r="A3774" s="3">
        <v>1335.0</v>
      </c>
      <c r="B3774" s="3">
        <v>52.0</v>
      </c>
      <c r="C3774" s="3">
        <v>3.0</v>
      </c>
      <c r="D3774" t="str">
        <f>VLOOKUP(B3774,ERA_MOTIF_TYPES.csv!$A$1:$C$119,2,1)</f>
        <v>Single or multiple cups</v>
      </c>
      <c r="E3774" t="str">
        <f>VLOOKUP(A3774,Panels!$A$1:$E$2104,5,0)</f>
        <v>West Lordenshaw</v>
      </c>
    </row>
    <row r="3775">
      <c r="A3775" s="3">
        <v>1336.0</v>
      </c>
      <c r="B3775" s="3">
        <v>1.0</v>
      </c>
      <c r="C3775" s="3">
        <v>1.0</v>
      </c>
      <c r="D3775" t="str">
        <f>VLOOKUP(B3775,ERA_MOTIF_TYPES.csv!$A$1:$C$119,2,1)</f>
        <v>Cups Single</v>
      </c>
      <c r="E3775" t="str">
        <f>VLOOKUP(A3775,Panels!$A$1:$E$2104,5,0)</f>
        <v>South Lordenshaw</v>
      </c>
    </row>
    <row r="3776">
      <c r="A3776" s="3">
        <v>1336.0</v>
      </c>
      <c r="B3776" s="3">
        <v>52.0</v>
      </c>
      <c r="C3776" s="3">
        <v>1.0</v>
      </c>
      <c r="D3776" t="str">
        <f>VLOOKUP(B3776,ERA_MOTIF_TYPES.csv!$A$1:$C$119,2,1)</f>
        <v>Single or multiple cups</v>
      </c>
      <c r="E3776" t="str">
        <f>VLOOKUP(A3776,Panels!$A$1:$E$2104,5,0)</f>
        <v>South Lordenshaw</v>
      </c>
    </row>
    <row r="3777">
      <c r="A3777" s="3">
        <v>1339.0</v>
      </c>
      <c r="B3777" s="3">
        <v>25.0</v>
      </c>
      <c r="C3777" s="3">
        <v>1.0</v>
      </c>
      <c r="D3777" t="str">
        <f>VLOOKUP(B3777,ERA_MOTIF_TYPES.csv!$A$1:$C$119,2,1)</f>
        <v>Linear</v>
      </c>
      <c r="E3777" t="str">
        <f>VLOOKUP(A3777,Panels!$A$1:$E$2104,5,0)</f>
        <v>East Lordenshaw</v>
      </c>
    </row>
    <row r="3778">
      <c r="A3778" s="3">
        <v>1339.0</v>
      </c>
      <c r="B3778" s="3">
        <v>31.0</v>
      </c>
      <c r="C3778" s="3">
        <v>1.0</v>
      </c>
      <c r="D3778" t="str">
        <f>VLOOKUP(B3778,ERA_MOTIF_TYPES.csv!$A$1:$C$119,2,1)</f>
        <v>Cup and Groove</v>
      </c>
      <c r="E3778" t="str">
        <f>VLOOKUP(A3778,Panels!$A$1:$E$2104,5,0)</f>
        <v>East Lordenshaw</v>
      </c>
    </row>
    <row r="3779">
      <c r="A3779" s="3">
        <v>1339.0</v>
      </c>
      <c r="B3779" s="3">
        <v>52.0</v>
      </c>
      <c r="C3779" s="3">
        <v>1.0</v>
      </c>
      <c r="D3779" t="str">
        <f>VLOOKUP(B3779,ERA_MOTIF_TYPES.csv!$A$1:$C$119,2,1)</f>
        <v>Single or multiple cups</v>
      </c>
      <c r="E3779" t="str">
        <f>VLOOKUP(A3779,Panels!$A$1:$E$2104,5,0)</f>
        <v>East Lordenshaw</v>
      </c>
    </row>
    <row r="3780">
      <c r="A3780" s="3">
        <v>1339.0</v>
      </c>
      <c r="B3780" s="3">
        <v>87.0</v>
      </c>
      <c r="C3780" s="3">
        <v>1.0</v>
      </c>
      <c r="D3780" t="str">
        <f>VLOOKUP(B3780,ERA_MOTIF_TYPES.csv!$A$1:$C$119,2,1)</f>
        <v>Linear and angular groove</v>
      </c>
      <c r="E3780" t="str">
        <f>VLOOKUP(A3780,Panels!$A$1:$E$2104,5,0)</f>
        <v>East Lordenshaw</v>
      </c>
    </row>
    <row r="3781">
      <c r="A3781" s="3">
        <v>1340.0</v>
      </c>
      <c r="B3781" s="3">
        <v>52.0</v>
      </c>
      <c r="C3781" s="3">
        <v>1.0</v>
      </c>
      <c r="D3781" t="str">
        <f>VLOOKUP(B3781,ERA_MOTIF_TYPES.csv!$A$1:$C$119,2,1)</f>
        <v>Single or multiple cups</v>
      </c>
      <c r="E3781" t="str">
        <f>VLOOKUP(A3781,Panels!$A$1:$E$2104,5,0)</f>
        <v>East Lordenshaw</v>
      </c>
    </row>
    <row r="3782">
      <c r="A3782" s="3">
        <v>1340.0</v>
      </c>
      <c r="B3782" s="3">
        <v>73.0</v>
      </c>
      <c r="C3782" s="3">
        <v>1.0</v>
      </c>
      <c r="D3782" t="str">
        <f>VLOOKUP(B3782,ERA_MOTIF_TYPES.csv!$A$1:$C$119,2,1)</f>
        <v>Arc</v>
      </c>
      <c r="E3782" t="str">
        <f>VLOOKUP(A3782,Panels!$A$1:$E$2104,5,0)</f>
        <v>East Lordenshaw</v>
      </c>
    </row>
    <row r="3783">
      <c r="A3783" s="3">
        <v>1340.0</v>
      </c>
      <c r="B3783" s="3">
        <v>103.0</v>
      </c>
      <c r="C3783" s="3">
        <v>1.0</v>
      </c>
      <c r="D3783" t="str">
        <f>VLOOKUP(B3783,ERA_MOTIF_TYPES.csv!$A$1:$C$119,2,1)</f>
        <v>Cup and groove</v>
      </c>
      <c r="E3783" t="str">
        <f>VLOOKUP(A3783,Panels!$A$1:$E$2104,5,0)</f>
        <v>East Lordenshaw</v>
      </c>
    </row>
    <row r="3784">
      <c r="A3784" s="3">
        <v>1342.0</v>
      </c>
      <c r="B3784" s="3">
        <v>1.0</v>
      </c>
      <c r="C3784" s="3">
        <v>1.0</v>
      </c>
      <c r="D3784" t="str">
        <f>VLOOKUP(B3784,ERA_MOTIF_TYPES.csv!$A$1:$C$119,2,1)</f>
        <v>Cups Single</v>
      </c>
      <c r="E3784" t="str">
        <f>VLOOKUP(A3784,Panels!$A$1:$E$2104,5,0)</f>
        <v>East Lordenshaw</v>
      </c>
    </row>
    <row r="3785">
      <c r="A3785" s="3">
        <v>1342.0</v>
      </c>
      <c r="B3785" s="3">
        <v>51.0</v>
      </c>
      <c r="C3785" s="3">
        <v>1.0</v>
      </c>
      <c r="D3785" t="str">
        <f>VLOOKUP(B3785,ERA_MOTIF_TYPES.csv!$A$1:$C$119,2,1)</f>
        <v>Bowls</v>
      </c>
      <c r="E3785" t="str">
        <f>VLOOKUP(A3785,Panels!$A$1:$E$2104,5,0)</f>
        <v>East Lordenshaw</v>
      </c>
    </row>
    <row r="3786">
      <c r="A3786" s="3">
        <v>1343.0</v>
      </c>
      <c r="B3786" s="3">
        <v>1.0</v>
      </c>
      <c r="C3786" s="3">
        <v>1.0</v>
      </c>
      <c r="D3786" t="str">
        <f>VLOOKUP(B3786,ERA_MOTIF_TYPES.csv!$A$1:$C$119,2,1)</f>
        <v>Cups Single</v>
      </c>
      <c r="E3786" t="str">
        <f>VLOOKUP(A3786,Panels!$A$1:$E$2104,5,0)</f>
        <v>South Lordenshaw</v>
      </c>
    </row>
    <row r="3787">
      <c r="A3787" s="3">
        <v>1343.0</v>
      </c>
      <c r="B3787" s="3">
        <v>52.0</v>
      </c>
      <c r="C3787" s="3">
        <v>1.0</v>
      </c>
      <c r="D3787" t="str">
        <f>VLOOKUP(B3787,ERA_MOTIF_TYPES.csv!$A$1:$C$119,2,1)</f>
        <v>Single or multiple cups</v>
      </c>
      <c r="E3787" t="str">
        <f>VLOOKUP(A3787,Panels!$A$1:$E$2104,5,0)</f>
        <v>South Lordenshaw</v>
      </c>
    </row>
    <row r="3788">
      <c r="A3788" s="3">
        <v>1343.0</v>
      </c>
      <c r="B3788" s="3">
        <v>87.0</v>
      </c>
      <c r="C3788" s="3">
        <v>1.0</v>
      </c>
      <c r="D3788" t="str">
        <f>VLOOKUP(B3788,ERA_MOTIF_TYPES.csv!$A$1:$C$119,2,1)</f>
        <v>Linear and angular groove</v>
      </c>
      <c r="E3788" t="str">
        <f>VLOOKUP(A3788,Panels!$A$1:$E$2104,5,0)</f>
        <v>South Lordenshaw</v>
      </c>
    </row>
    <row r="3789">
      <c r="A3789" s="3">
        <v>1344.0</v>
      </c>
      <c r="B3789" s="3">
        <v>1.0</v>
      </c>
      <c r="C3789" s="3">
        <v>1.0</v>
      </c>
      <c r="D3789" t="str">
        <f>VLOOKUP(B3789,ERA_MOTIF_TYPES.csv!$A$1:$C$119,2,1)</f>
        <v>Cups Single</v>
      </c>
      <c r="E3789" t="str">
        <f>VLOOKUP(A3789,Panels!$A$1:$E$2104,5,0)</f>
        <v>East Lordenshaw</v>
      </c>
    </row>
    <row r="3790">
      <c r="A3790" s="3">
        <v>1344.0</v>
      </c>
      <c r="B3790" s="3">
        <v>51.0</v>
      </c>
      <c r="C3790" s="3">
        <v>1.0</v>
      </c>
      <c r="D3790" t="str">
        <f>VLOOKUP(B3790,ERA_MOTIF_TYPES.csv!$A$1:$C$119,2,1)</f>
        <v>Bowls</v>
      </c>
      <c r="E3790" t="str">
        <f>VLOOKUP(A3790,Panels!$A$1:$E$2104,5,0)</f>
        <v>East Lordenshaw</v>
      </c>
    </row>
    <row r="3791">
      <c r="A3791" s="3">
        <v>1345.0</v>
      </c>
      <c r="B3791" s="3">
        <v>1.0</v>
      </c>
      <c r="C3791" s="3">
        <v>1.0</v>
      </c>
      <c r="D3791" t="str">
        <f>VLOOKUP(B3791,ERA_MOTIF_TYPES.csv!$A$1:$C$119,2,1)</f>
        <v>Cups Single</v>
      </c>
      <c r="E3791" t="str">
        <f>VLOOKUP(A3791,Panels!$A$1:$E$2104,5,0)</f>
        <v>East Lordenshaw</v>
      </c>
    </row>
    <row r="3792">
      <c r="A3792" s="3">
        <v>1345.0</v>
      </c>
      <c r="B3792" s="3">
        <v>25.0</v>
      </c>
      <c r="C3792" s="3">
        <v>2.0</v>
      </c>
      <c r="D3792" t="str">
        <f>VLOOKUP(B3792,ERA_MOTIF_TYPES.csv!$A$1:$C$119,2,1)</f>
        <v>Linear</v>
      </c>
      <c r="E3792" t="str">
        <f>VLOOKUP(A3792,Panels!$A$1:$E$2104,5,0)</f>
        <v>East Lordenshaw</v>
      </c>
    </row>
    <row r="3793">
      <c r="A3793" s="3">
        <v>1345.0</v>
      </c>
      <c r="B3793" s="3">
        <v>31.0</v>
      </c>
      <c r="C3793" s="3">
        <v>1.0</v>
      </c>
      <c r="D3793" t="str">
        <f>VLOOKUP(B3793,ERA_MOTIF_TYPES.csv!$A$1:$C$119,2,1)</f>
        <v>Cup and Groove</v>
      </c>
      <c r="E3793" t="str">
        <f>VLOOKUP(A3793,Panels!$A$1:$E$2104,5,0)</f>
        <v>East Lordenshaw</v>
      </c>
    </row>
    <row r="3794">
      <c r="A3794" s="3">
        <v>1345.0</v>
      </c>
      <c r="B3794" s="3">
        <v>52.0</v>
      </c>
      <c r="C3794" s="3">
        <v>1.0</v>
      </c>
      <c r="D3794" t="str">
        <f>VLOOKUP(B3794,ERA_MOTIF_TYPES.csv!$A$1:$C$119,2,1)</f>
        <v>Single or multiple cups</v>
      </c>
      <c r="E3794" t="str">
        <f>VLOOKUP(A3794,Panels!$A$1:$E$2104,5,0)</f>
        <v>East Lordenshaw</v>
      </c>
    </row>
    <row r="3795">
      <c r="A3795" s="3">
        <v>1345.0</v>
      </c>
      <c r="B3795" s="3">
        <v>87.0</v>
      </c>
      <c r="C3795" s="3">
        <v>3.0</v>
      </c>
      <c r="D3795" t="str">
        <f>VLOOKUP(B3795,ERA_MOTIF_TYPES.csv!$A$1:$C$119,2,1)</f>
        <v>Linear and angular groove</v>
      </c>
      <c r="E3795" t="str">
        <f>VLOOKUP(A3795,Panels!$A$1:$E$2104,5,0)</f>
        <v>East Lordenshaw</v>
      </c>
    </row>
    <row r="3796">
      <c r="A3796" s="3">
        <v>1346.0</v>
      </c>
      <c r="B3796" s="3">
        <v>1.0</v>
      </c>
      <c r="C3796" s="3">
        <v>6.0</v>
      </c>
      <c r="D3796" t="str">
        <f>VLOOKUP(B3796,ERA_MOTIF_TYPES.csv!$A$1:$C$119,2,1)</f>
        <v>Cups Single</v>
      </c>
      <c r="E3796" t="str">
        <f>VLOOKUP(A3796,Panels!$A$1:$E$2104,5,0)</f>
        <v>Garleigh Moor East</v>
      </c>
    </row>
    <row r="3797">
      <c r="A3797" s="3">
        <v>1346.0</v>
      </c>
      <c r="B3797" s="3">
        <v>52.0</v>
      </c>
      <c r="C3797" s="3">
        <v>3.0</v>
      </c>
      <c r="D3797" t="str">
        <f>VLOOKUP(B3797,ERA_MOTIF_TYPES.csv!$A$1:$C$119,2,1)</f>
        <v>Single or multiple cups</v>
      </c>
      <c r="E3797" t="str">
        <f>VLOOKUP(A3797,Panels!$A$1:$E$2104,5,0)</f>
        <v>Garleigh Moor East</v>
      </c>
    </row>
    <row r="3798">
      <c r="A3798" s="3">
        <v>1347.0</v>
      </c>
      <c r="B3798" s="3">
        <v>1.0</v>
      </c>
      <c r="C3798" s="3">
        <v>6.0</v>
      </c>
      <c r="D3798" t="str">
        <f>VLOOKUP(B3798,ERA_MOTIF_TYPES.csv!$A$1:$C$119,2,1)</f>
        <v>Cups Single</v>
      </c>
      <c r="E3798" t="str">
        <f>VLOOKUP(A3798,Panels!$A$1:$E$2104,5,0)</f>
        <v>Garleigh Moor East</v>
      </c>
    </row>
    <row r="3799">
      <c r="A3799" s="3">
        <v>1347.0</v>
      </c>
      <c r="B3799" s="3">
        <v>25.0</v>
      </c>
      <c r="C3799" s="3">
        <v>1.0</v>
      </c>
      <c r="D3799" t="str">
        <f>VLOOKUP(B3799,ERA_MOTIF_TYPES.csv!$A$1:$C$119,2,1)</f>
        <v>Linear</v>
      </c>
      <c r="E3799" t="str">
        <f>VLOOKUP(A3799,Panels!$A$1:$E$2104,5,0)</f>
        <v>Garleigh Moor East</v>
      </c>
    </row>
    <row r="3800">
      <c r="A3800" s="3">
        <v>1347.0</v>
      </c>
      <c r="B3800" s="3">
        <v>52.0</v>
      </c>
      <c r="C3800" s="3">
        <v>6.0</v>
      </c>
      <c r="D3800" t="str">
        <f>VLOOKUP(B3800,ERA_MOTIF_TYPES.csv!$A$1:$C$119,2,1)</f>
        <v>Single or multiple cups</v>
      </c>
      <c r="E3800" t="str">
        <f>VLOOKUP(A3800,Panels!$A$1:$E$2104,5,0)</f>
        <v>Garleigh Moor East</v>
      </c>
    </row>
    <row r="3801">
      <c r="A3801" s="3">
        <v>1348.0</v>
      </c>
      <c r="B3801" s="3">
        <v>1.0</v>
      </c>
      <c r="C3801" s="3">
        <v>1.0</v>
      </c>
      <c r="D3801" t="str">
        <f>VLOOKUP(B3801,ERA_MOTIF_TYPES.csv!$A$1:$C$119,2,1)</f>
        <v>Cups Single</v>
      </c>
      <c r="E3801" t="str">
        <f>VLOOKUP(A3801,Panels!$A$1:$E$2104,5,0)</f>
        <v>Fontburn</v>
      </c>
    </row>
    <row r="3802">
      <c r="A3802" s="3">
        <v>1348.0</v>
      </c>
      <c r="B3802" s="3">
        <v>52.0</v>
      </c>
      <c r="C3802" s="3">
        <v>1.0</v>
      </c>
      <c r="D3802" t="str">
        <f>VLOOKUP(B3802,ERA_MOTIF_TYPES.csv!$A$1:$C$119,2,1)</f>
        <v>Single or multiple cups</v>
      </c>
      <c r="E3802" t="str">
        <f>VLOOKUP(A3802,Panels!$A$1:$E$2104,5,0)</f>
        <v>Fontburn</v>
      </c>
    </row>
    <row r="3803">
      <c r="A3803" s="3">
        <v>1349.0</v>
      </c>
      <c r="B3803" s="3">
        <v>1.0</v>
      </c>
      <c r="C3803" s="3">
        <v>1.0</v>
      </c>
      <c r="D3803" t="str">
        <f>VLOOKUP(B3803,ERA_MOTIF_TYPES.csv!$A$1:$C$119,2,1)</f>
        <v>Cups Single</v>
      </c>
      <c r="E3803" t="str">
        <f>VLOOKUP(A3803,Panels!$A$1:$E$2104,5,0)</f>
        <v>Fontburn</v>
      </c>
    </row>
    <row r="3804">
      <c r="A3804" s="3">
        <v>1349.0</v>
      </c>
      <c r="B3804" s="3">
        <v>52.0</v>
      </c>
      <c r="C3804" s="3">
        <v>1.0</v>
      </c>
      <c r="D3804" t="str">
        <f>VLOOKUP(B3804,ERA_MOTIF_TYPES.csv!$A$1:$C$119,2,1)</f>
        <v>Single or multiple cups</v>
      </c>
      <c r="E3804" t="str">
        <f>VLOOKUP(A3804,Panels!$A$1:$E$2104,5,0)</f>
        <v>Fontburn</v>
      </c>
    </row>
    <row r="3805">
      <c r="A3805" s="3">
        <v>1350.0</v>
      </c>
      <c r="B3805" s="3">
        <v>1.0</v>
      </c>
      <c r="C3805" s="3">
        <v>9.0</v>
      </c>
      <c r="D3805" t="str">
        <f>VLOOKUP(B3805,ERA_MOTIF_TYPES.csv!$A$1:$C$119,2,1)</f>
        <v>Cups Single</v>
      </c>
      <c r="E3805" t="str">
        <f>VLOOKUP(A3805,Panels!$A$1:$E$2104,5,0)</f>
        <v>Fontburn</v>
      </c>
    </row>
    <row r="3806">
      <c r="A3806" s="3">
        <v>1350.0</v>
      </c>
      <c r="B3806" s="3">
        <v>52.0</v>
      </c>
      <c r="C3806" s="3">
        <v>15.0</v>
      </c>
      <c r="D3806" t="str">
        <f>VLOOKUP(B3806,ERA_MOTIF_TYPES.csv!$A$1:$C$119,2,1)</f>
        <v>Single or multiple cups</v>
      </c>
      <c r="E3806" t="str">
        <f>VLOOKUP(A3806,Panels!$A$1:$E$2104,5,0)</f>
        <v>Fontburn</v>
      </c>
    </row>
    <row r="3807">
      <c r="A3807" s="3">
        <v>1351.0</v>
      </c>
      <c r="B3807" s="3">
        <v>1.0</v>
      </c>
      <c r="C3807" s="3">
        <v>3.0</v>
      </c>
      <c r="D3807" t="str">
        <f>VLOOKUP(B3807,ERA_MOTIF_TYPES.csv!$A$1:$C$119,2,1)</f>
        <v>Cups Single</v>
      </c>
      <c r="E3807" t="str">
        <f>VLOOKUP(A3807,Panels!$A$1:$E$2104,5,0)</f>
        <v>Fontburn</v>
      </c>
    </row>
    <row r="3808">
      <c r="A3808" s="3">
        <v>1351.0</v>
      </c>
      <c r="B3808" s="3">
        <v>52.0</v>
      </c>
      <c r="C3808" s="3">
        <v>12.0</v>
      </c>
      <c r="D3808" t="str">
        <f>VLOOKUP(B3808,ERA_MOTIF_TYPES.csv!$A$1:$C$119,2,1)</f>
        <v>Single or multiple cups</v>
      </c>
      <c r="E3808" t="str">
        <f>VLOOKUP(A3808,Panels!$A$1:$E$2104,5,0)</f>
        <v>Fontburn</v>
      </c>
    </row>
    <row r="3809">
      <c r="A3809" s="3">
        <v>1351.0</v>
      </c>
      <c r="B3809" s="3">
        <v>55.0</v>
      </c>
      <c r="C3809" s="3">
        <v>1.0</v>
      </c>
      <c r="D3809" t="str">
        <f>VLOOKUP(B3809,ERA_MOTIF_TYPES.csv!$A$1:$C$119,2,1)</f>
        <v>Cups in a straight or curved line</v>
      </c>
      <c r="E3809" t="str">
        <f>VLOOKUP(A3809,Panels!$A$1:$E$2104,5,0)</f>
        <v>Fontburn</v>
      </c>
    </row>
    <row r="3810">
      <c r="A3810" s="3">
        <v>1351.0</v>
      </c>
      <c r="B3810" s="3">
        <v>100.0</v>
      </c>
      <c r="C3810" s="3">
        <v>2.0</v>
      </c>
      <c r="D3810" t="str">
        <f>VLOOKUP(B3810,ERA_MOTIF_TYPES.csv!$A$1:$C$119,2,1)</f>
        <v>Pick marks</v>
      </c>
      <c r="E3810" t="str">
        <f>VLOOKUP(A3810,Panels!$A$1:$E$2104,5,0)</f>
        <v>Fontburn</v>
      </c>
    </row>
    <row r="3811">
      <c r="A3811" s="3">
        <v>1352.0</v>
      </c>
      <c r="B3811" s="3">
        <v>1.0</v>
      </c>
      <c r="C3811" s="3">
        <v>1.0</v>
      </c>
      <c r="D3811" t="str">
        <f>VLOOKUP(B3811,ERA_MOTIF_TYPES.csv!$A$1:$C$119,2,1)</f>
        <v>Cups Single</v>
      </c>
      <c r="E3811" t="str">
        <f>VLOOKUP(A3811,Panels!$A$1:$E$2104,5,0)</f>
        <v>Fontburn</v>
      </c>
    </row>
    <row r="3812">
      <c r="A3812" s="3">
        <v>1352.0</v>
      </c>
      <c r="B3812" s="3">
        <v>52.0</v>
      </c>
      <c r="C3812" s="3">
        <v>1.0</v>
      </c>
      <c r="D3812" t="str">
        <f>VLOOKUP(B3812,ERA_MOTIF_TYPES.csv!$A$1:$C$119,2,1)</f>
        <v>Single or multiple cups</v>
      </c>
      <c r="E3812" t="str">
        <f>VLOOKUP(A3812,Panels!$A$1:$E$2104,5,0)</f>
        <v>Fontburn</v>
      </c>
    </row>
    <row r="3813">
      <c r="A3813" s="3">
        <v>1353.0</v>
      </c>
      <c r="B3813" s="3">
        <v>1.0</v>
      </c>
      <c r="C3813" s="3">
        <v>6.0</v>
      </c>
      <c r="D3813" t="str">
        <f>VLOOKUP(B3813,ERA_MOTIF_TYPES.csv!$A$1:$C$119,2,1)</f>
        <v>Cups Single</v>
      </c>
      <c r="E3813" t="str">
        <f>VLOOKUP(A3813,Panels!$A$1:$E$2104,5,0)</f>
        <v>Fontburn</v>
      </c>
    </row>
    <row r="3814">
      <c r="A3814" s="3">
        <v>1353.0</v>
      </c>
      <c r="B3814" s="3">
        <v>25.0</v>
      </c>
      <c r="C3814" s="3">
        <v>3.0</v>
      </c>
      <c r="D3814" t="str">
        <f>VLOOKUP(B3814,ERA_MOTIF_TYPES.csv!$A$1:$C$119,2,1)</f>
        <v>Linear</v>
      </c>
      <c r="E3814" t="str">
        <f>VLOOKUP(A3814,Panels!$A$1:$E$2104,5,0)</f>
        <v>Fontburn</v>
      </c>
    </row>
    <row r="3815">
      <c r="A3815" s="3">
        <v>1353.0</v>
      </c>
      <c r="B3815" s="3">
        <v>52.0</v>
      </c>
      <c r="C3815" s="3">
        <v>6.0</v>
      </c>
      <c r="D3815" t="str">
        <f>VLOOKUP(B3815,ERA_MOTIF_TYPES.csv!$A$1:$C$119,2,1)</f>
        <v>Single or multiple cups</v>
      </c>
      <c r="E3815" t="str">
        <f>VLOOKUP(A3815,Panels!$A$1:$E$2104,5,0)</f>
        <v>Fontburn</v>
      </c>
    </row>
    <row r="3816">
      <c r="A3816" s="3">
        <v>1353.0</v>
      </c>
      <c r="B3816" s="3">
        <v>70.0</v>
      </c>
      <c r="C3816" s="3">
        <v>1.0</v>
      </c>
      <c r="D3816" t="str">
        <f>VLOOKUP(B3816,ERA_MOTIF_TYPES.csv!$A$1:$C$119,2,1)</f>
        <v>Concentric rings</v>
      </c>
      <c r="E3816" t="str">
        <f>VLOOKUP(A3816,Panels!$A$1:$E$2104,5,0)</f>
        <v>Fontburn</v>
      </c>
    </row>
    <row r="3817">
      <c r="A3817" s="3">
        <v>1354.0</v>
      </c>
      <c r="B3817" s="3">
        <v>52.0</v>
      </c>
      <c r="C3817" s="3">
        <v>3.0</v>
      </c>
      <c r="D3817" t="str">
        <f>VLOOKUP(B3817,ERA_MOTIF_TYPES.csv!$A$1:$C$119,2,1)</f>
        <v>Single or multiple cups</v>
      </c>
      <c r="E3817" t="str">
        <f>VLOOKUP(A3817,Panels!$A$1:$E$2104,5,0)</f>
        <v>Fontburn</v>
      </c>
    </row>
    <row r="3818">
      <c r="A3818" s="3">
        <v>1355.0</v>
      </c>
      <c r="B3818" s="3">
        <v>1.0</v>
      </c>
      <c r="C3818" s="3">
        <v>2.0</v>
      </c>
      <c r="D3818" t="str">
        <f>VLOOKUP(B3818,ERA_MOTIF_TYPES.csv!$A$1:$C$119,2,1)</f>
        <v>Cups Single</v>
      </c>
      <c r="E3818" t="str">
        <f>VLOOKUP(A3818,Panels!$A$1:$E$2104,5,0)</f>
        <v>Fontburn</v>
      </c>
    </row>
    <row r="3819">
      <c r="A3819" s="3">
        <v>1355.0</v>
      </c>
      <c r="B3819" s="3">
        <v>52.0</v>
      </c>
      <c r="C3819" s="3">
        <v>2.0</v>
      </c>
      <c r="D3819" t="str">
        <f>VLOOKUP(B3819,ERA_MOTIF_TYPES.csv!$A$1:$C$119,2,1)</f>
        <v>Single or multiple cups</v>
      </c>
      <c r="E3819" t="str">
        <f>VLOOKUP(A3819,Panels!$A$1:$E$2104,5,0)</f>
        <v>Fontburn</v>
      </c>
    </row>
    <row r="3820">
      <c r="A3820" s="3">
        <v>1356.0</v>
      </c>
      <c r="B3820" s="3">
        <v>1.0</v>
      </c>
      <c r="C3820" s="3">
        <v>1.0</v>
      </c>
      <c r="D3820" t="str">
        <f>VLOOKUP(B3820,ERA_MOTIF_TYPES.csv!$A$1:$C$119,2,1)</f>
        <v>Cups Single</v>
      </c>
      <c r="E3820" t="str">
        <f>VLOOKUP(A3820,Panels!$A$1:$E$2104,5,0)</f>
        <v>Fontburn</v>
      </c>
    </row>
    <row r="3821">
      <c r="A3821" s="3">
        <v>1356.0</v>
      </c>
      <c r="B3821" s="3">
        <v>52.0</v>
      </c>
      <c r="C3821" s="3">
        <v>1.0</v>
      </c>
      <c r="D3821" t="str">
        <f>VLOOKUP(B3821,ERA_MOTIF_TYPES.csv!$A$1:$C$119,2,1)</f>
        <v>Single or multiple cups</v>
      </c>
      <c r="E3821" t="str">
        <f>VLOOKUP(A3821,Panels!$A$1:$E$2104,5,0)</f>
        <v>Fontburn</v>
      </c>
    </row>
    <row r="3822">
      <c r="A3822" s="3">
        <v>1357.0</v>
      </c>
      <c r="B3822" s="3">
        <v>1.0</v>
      </c>
      <c r="C3822" s="3">
        <v>4.0</v>
      </c>
      <c r="D3822" t="str">
        <f>VLOOKUP(B3822,ERA_MOTIF_TYPES.csv!$A$1:$C$119,2,1)</f>
        <v>Cups Single</v>
      </c>
      <c r="E3822" t="str">
        <f>VLOOKUP(A3822,Panels!$A$1:$E$2104,5,0)</f>
        <v>Fontburn</v>
      </c>
    </row>
    <row r="3823">
      <c r="A3823" s="3">
        <v>1357.0</v>
      </c>
      <c r="B3823" s="3">
        <v>52.0</v>
      </c>
      <c r="C3823" s="3">
        <v>4.0</v>
      </c>
      <c r="D3823" t="str">
        <f>VLOOKUP(B3823,ERA_MOTIF_TYPES.csv!$A$1:$C$119,2,1)</f>
        <v>Single or multiple cups</v>
      </c>
      <c r="E3823" t="str">
        <f>VLOOKUP(A3823,Panels!$A$1:$E$2104,5,0)</f>
        <v>Fontburn</v>
      </c>
    </row>
    <row r="3824">
      <c r="A3824" s="3">
        <v>1358.0</v>
      </c>
      <c r="B3824" s="3">
        <v>1.0</v>
      </c>
      <c r="C3824" s="3">
        <v>9.0</v>
      </c>
      <c r="D3824" t="str">
        <f>VLOOKUP(B3824,ERA_MOTIF_TYPES.csv!$A$1:$C$119,2,1)</f>
        <v>Cups Single</v>
      </c>
      <c r="E3824" t="str">
        <f>VLOOKUP(A3824,Panels!$A$1:$E$2104,5,0)</f>
        <v>Fontburn</v>
      </c>
    </row>
    <row r="3825">
      <c r="A3825" s="3">
        <v>1358.0</v>
      </c>
      <c r="B3825" s="3">
        <v>6.0</v>
      </c>
      <c r="C3825" s="3">
        <v>1.0</v>
      </c>
      <c r="D3825" t="str">
        <f>VLOOKUP(B3825,ERA_MOTIF_TYPES.csv!$A$1:$C$119,2,1)</f>
        <v>curved or straight line</v>
      </c>
      <c r="E3825" t="str">
        <f>VLOOKUP(A3825,Panels!$A$1:$E$2104,5,0)</f>
        <v>Fontburn</v>
      </c>
    </row>
    <row r="3826">
      <c r="A3826" s="3">
        <v>1358.0</v>
      </c>
      <c r="B3826" s="3">
        <v>52.0</v>
      </c>
      <c r="C3826" s="3">
        <v>7.0</v>
      </c>
      <c r="D3826" t="str">
        <f>VLOOKUP(B3826,ERA_MOTIF_TYPES.csv!$A$1:$C$119,2,1)</f>
        <v>Single or multiple cups</v>
      </c>
      <c r="E3826" t="str">
        <f>VLOOKUP(A3826,Panels!$A$1:$E$2104,5,0)</f>
        <v>Fontburn</v>
      </c>
    </row>
    <row r="3827">
      <c r="A3827" s="3">
        <v>1359.0</v>
      </c>
      <c r="B3827" s="3">
        <v>52.0</v>
      </c>
      <c r="C3827" s="3">
        <v>6.0</v>
      </c>
      <c r="D3827" t="str">
        <f>VLOOKUP(B3827,ERA_MOTIF_TYPES.csv!$A$1:$C$119,2,1)</f>
        <v>Single or multiple cups</v>
      </c>
      <c r="E3827" t="str">
        <f>VLOOKUP(A3827,Panels!$A$1:$E$2104,5,0)</f>
        <v>Fontburn</v>
      </c>
    </row>
    <row r="3828">
      <c r="A3828" s="3">
        <v>1360.0</v>
      </c>
      <c r="B3828" s="3">
        <v>1.0</v>
      </c>
      <c r="C3828" s="3">
        <v>3.0</v>
      </c>
      <c r="D3828" t="str">
        <f>VLOOKUP(B3828,ERA_MOTIF_TYPES.csv!$A$1:$C$119,2,1)</f>
        <v>Cups Single</v>
      </c>
      <c r="E3828" t="str">
        <f>VLOOKUP(A3828,Panels!$A$1:$E$2104,5,0)</f>
        <v>Fontburn</v>
      </c>
    </row>
    <row r="3829">
      <c r="A3829" s="3">
        <v>1360.0</v>
      </c>
      <c r="B3829" s="3">
        <v>6.0</v>
      </c>
      <c r="C3829" s="3">
        <v>1.0</v>
      </c>
      <c r="D3829" t="str">
        <f>VLOOKUP(B3829,ERA_MOTIF_TYPES.csv!$A$1:$C$119,2,1)</f>
        <v>curved or straight line</v>
      </c>
      <c r="E3829" t="str">
        <f>VLOOKUP(A3829,Panels!$A$1:$E$2104,5,0)</f>
        <v>Fontburn</v>
      </c>
    </row>
    <row r="3830">
      <c r="A3830" s="3">
        <v>1361.0</v>
      </c>
      <c r="B3830" s="3">
        <v>1.0</v>
      </c>
      <c r="C3830" s="3">
        <v>50.0</v>
      </c>
      <c r="D3830" t="str">
        <f>VLOOKUP(B3830,ERA_MOTIF_TYPES.csv!$A$1:$C$119,2,1)</f>
        <v>Cups Single</v>
      </c>
      <c r="E3830" t="str">
        <f>VLOOKUP(A3830,Panels!$A$1:$E$2104,5,0)</f>
        <v>Fontburn</v>
      </c>
    </row>
    <row r="3831">
      <c r="A3831" s="3">
        <v>1361.0</v>
      </c>
      <c r="B3831" s="3">
        <v>13.0</v>
      </c>
      <c r="C3831" s="3">
        <v>2.0</v>
      </c>
      <c r="D3831" t="str">
        <f>VLOOKUP(B3831,ERA_MOTIF_TYPES.csv!$A$1:$C$119,2,1)</f>
        <v>Single Ring + cup</v>
      </c>
      <c r="E3831" t="str">
        <f>VLOOKUP(A3831,Panels!$A$1:$E$2104,5,0)</f>
        <v>Fontburn</v>
      </c>
    </row>
    <row r="3832">
      <c r="A3832" s="3">
        <v>1361.0</v>
      </c>
      <c r="B3832" s="3">
        <v>31.0</v>
      </c>
      <c r="C3832" s="3">
        <v>1.0</v>
      </c>
      <c r="D3832" t="str">
        <f>VLOOKUP(B3832,ERA_MOTIF_TYPES.csv!$A$1:$C$119,2,1)</f>
        <v>Cup and Groove</v>
      </c>
      <c r="E3832" t="str">
        <f>VLOOKUP(A3832,Panels!$A$1:$E$2104,5,0)</f>
        <v>Fontburn</v>
      </c>
    </row>
    <row r="3833">
      <c r="A3833" s="3">
        <v>1361.0</v>
      </c>
      <c r="B3833" s="3">
        <v>52.0</v>
      </c>
      <c r="C3833" s="3">
        <v>79.0</v>
      </c>
      <c r="D3833" t="str">
        <f>VLOOKUP(B3833,ERA_MOTIF_TYPES.csv!$A$1:$C$119,2,1)</f>
        <v>Single or multiple cups</v>
      </c>
      <c r="E3833" t="str">
        <f>VLOOKUP(A3833,Panels!$A$1:$E$2104,5,0)</f>
        <v>Fontburn</v>
      </c>
    </row>
    <row r="3834">
      <c r="A3834" s="3">
        <v>1361.0</v>
      </c>
      <c r="B3834" s="3">
        <v>57.0</v>
      </c>
      <c r="C3834" s="3">
        <v>7.0</v>
      </c>
      <c r="D3834" t="str">
        <f>VLOOKUP(B3834,ERA_MOTIF_TYPES.csv!$A$1:$C$119,2,1)</f>
        <v>Cup and ring</v>
      </c>
      <c r="E3834" t="str">
        <f>VLOOKUP(A3834,Panels!$A$1:$E$2104,5,0)</f>
        <v>Fontburn</v>
      </c>
    </row>
    <row r="3835">
      <c r="A3835" s="3">
        <v>1361.0</v>
      </c>
      <c r="B3835" s="3">
        <v>59.0</v>
      </c>
      <c r="C3835" s="3">
        <v>4.0</v>
      </c>
      <c r="D3835" t="str">
        <f>VLOOKUP(B3835,ERA_MOTIF_TYPES.csv!$A$1:$C$119,2,1)</f>
        <v>Cup and penannular</v>
      </c>
      <c r="E3835" t="str">
        <f>VLOOKUP(A3835,Panels!$A$1:$E$2104,5,0)</f>
        <v>Fontburn</v>
      </c>
    </row>
    <row r="3836">
      <c r="A3836" s="3">
        <v>1361.0</v>
      </c>
      <c r="B3836" s="3">
        <v>61.0</v>
      </c>
      <c r="C3836" s="3">
        <v>2.0</v>
      </c>
      <c r="D3836" t="str">
        <f>VLOOKUP(B3836,ERA_MOTIF_TYPES.csv!$A$1:$C$119,2,1)</f>
        <v>Cup and arc (or semi-ovoid)</v>
      </c>
      <c r="E3836" t="str">
        <f>VLOOKUP(A3836,Panels!$A$1:$E$2104,5,0)</f>
        <v>Fontburn</v>
      </c>
    </row>
    <row r="3837">
      <c r="A3837" s="3">
        <v>1362.0</v>
      </c>
      <c r="B3837" s="3">
        <v>1.0</v>
      </c>
      <c r="C3837" s="3">
        <v>1.0</v>
      </c>
      <c r="D3837" t="str">
        <f>VLOOKUP(B3837,ERA_MOTIF_TYPES.csv!$A$1:$C$119,2,1)</f>
        <v>Cups Single</v>
      </c>
      <c r="E3837" t="str">
        <f>VLOOKUP(A3837,Panels!$A$1:$E$2104,5,0)</f>
        <v>Fontburn</v>
      </c>
    </row>
    <row r="3838">
      <c r="A3838" s="3">
        <v>1362.0</v>
      </c>
      <c r="B3838" s="3">
        <v>50.0</v>
      </c>
      <c r="C3838" s="3">
        <v>2.0</v>
      </c>
      <c r="D3838" t="str">
        <f>VLOOKUP(B3838,ERA_MOTIF_TYPES.csv!$A$1:$C$119,2,1)</f>
        <v>Channels</v>
      </c>
      <c r="E3838" t="str">
        <f>VLOOKUP(A3838,Panels!$A$1:$E$2104,5,0)</f>
        <v>Fontburn</v>
      </c>
    </row>
    <row r="3839">
      <c r="A3839" s="3">
        <v>1363.0</v>
      </c>
      <c r="B3839" s="3">
        <v>1.0</v>
      </c>
      <c r="C3839" s="3">
        <v>2.0</v>
      </c>
      <c r="D3839" t="str">
        <f>VLOOKUP(B3839,ERA_MOTIF_TYPES.csv!$A$1:$C$119,2,1)</f>
        <v>Cups Single</v>
      </c>
      <c r="E3839" t="str">
        <f>VLOOKUP(A3839,Panels!$A$1:$E$2104,5,0)</f>
        <v>Fontburn</v>
      </c>
    </row>
    <row r="3840">
      <c r="A3840" s="3">
        <v>1364.0</v>
      </c>
      <c r="B3840" s="3">
        <v>1.0</v>
      </c>
      <c r="C3840" s="3">
        <v>1.0</v>
      </c>
      <c r="D3840" t="str">
        <f>VLOOKUP(B3840,ERA_MOTIF_TYPES.csv!$A$1:$C$119,2,1)</f>
        <v>Cups Single</v>
      </c>
      <c r="E3840" t="str">
        <f>VLOOKUP(A3840,Panels!$A$1:$E$2104,5,0)</f>
        <v>Salters Nick Rock Shelter</v>
      </c>
    </row>
    <row r="3841">
      <c r="A3841" s="3">
        <v>1364.0</v>
      </c>
      <c r="B3841" s="3">
        <v>52.0</v>
      </c>
      <c r="C3841" s="3">
        <v>1.0</v>
      </c>
      <c r="D3841" t="str">
        <f>VLOOKUP(B3841,ERA_MOTIF_TYPES.csv!$A$1:$C$119,2,1)</f>
        <v>Single or multiple cups</v>
      </c>
      <c r="E3841" t="str">
        <f>VLOOKUP(A3841,Panels!$A$1:$E$2104,5,0)</f>
        <v>Salters Nick Rock Shelter</v>
      </c>
    </row>
    <row r="3842">
      <c r="A3842" s="3">
        <v>1365.0</v>
      </c>
      <c r="B3842" s="3">
        <v>52.0</v>
      </c>
      <c r="C3842" s="3">
        <v>14.0</v>
      </c>
      <c r="D3842" t="str">
        <f>VLOOKUP(B3842,ERA_MOTIF_TYPES.csv!$A$1:$C$119,2,1)</f>
        <v>Single or multiple cups</v>
      </c>
      <c r="E3842" t="str">
        <f>VLOOKUP(A3842,Panels!$A$1:$E$2104,5,0)</f>
        <v>Throckley Bank</v>
      </c>
    </row>
    <row r="3843">
      <c r="A3843" s="3">
        <v>1365.0</v>
      </c>
      <c r="B3843" s="3">
        <v>53.0</v>
      </c>
      <c r="C3843" s="3">
        <v>1.0</v>
      </c>
      <c r="D3843" t="str">
        <f>VLOOKUP(B3843,ERA_MOTIF_TYPES.csv!$A$1:$C$119,2,1)</f>
        <v>Domino patterns and parallel lines</v>
      </c>
      <c r="E3843" t="str">
        <f>VLOOKUP(A3843,Panels!$A$1:$E$2104,5,0)</f>
        <v>Throckley Bank</v>
      </c>
    </row>
    <row r="3844">
      <c r="A3844" s="3">
        <v>1365.0</v>
      </c>
      <c r="B3844" s="3">
        <v>58.0</v>
      </c>
      <c r="C3844" s="3">
        <v>1.0</v>
      </c>
      <c r="D3844" t="str">
        <f>VLOOKUP(B3844,ERA_MOTIF_TYPES.csv!$A$1:$C$119,2,1)</f>
        <v>Cup and multiple rings</v>
      </c>
      <c r="E3844" t="str">
        <f>VLOOKUP(A3844,Panels!$A$1:$E$2104,5,0)</f>
        <v>Throckley Bank</v>
      </c>
    </row>
    <row r="3845">
      <c r="A3845" s="3">
        <v>1365.0</v>
      </c>
      <c r="B3845" s="3">
        <v>60.0</v>
      </c>
      <c r="C3845" s="3">
        <v>1.0</v>
      </c>
      <c r="D3845" t="str">
        <f>VLOOKUP(B3845,ERA_MOTIF_TYPES.csv!$A$1:$C$119,2,1)</f>
        <v>Cup and multiple penannulars</v>
      </c>
      <c r="E3845" t="str">
        <f>VLOOKUP(A3845,Panels!$A$1:$E$2104,5,0)</f>
        <v>Throckley Bank</v>
      </c>
    </row>
    <row r="3846">
      <c r="A3846" s="3">
        <v>1365.0</v>
      </c>
      <c r="B3846" s="3">
        <v>61.0</v>
      </c>
      <c r="C3846" s="3">
        <v>2.0</v>
      </c>
      <c r="D3846" t="str">
        <f>VLOOKUP(B3846,ERA_MOTIF_TYPES.csv!$A$1:$C$119,2,1)</f>
        <v>Cup and arc (or semi-ovoid)</v>
      </c>
      <c r="E3846" t="str">
        <f>VLOOKUP(A3846,Panels!$A$1:$E$2104,5,0)</f>
        <v>Throckley Bank</v>
      </c>
    </row>
    <row r="3847">
      <c r="A3847" s="3">
        <v>1365.0</v>
      </c>
      <c r="B3847" s="3">
        <v>100.0</v>
      </c>
      <c r="C3847" s="3">
        <v>1.0</v>
      </c>
      <c r="D3847" t="str">
        <f>VLOOKUP(B3847,ERA_MOTIF_TYPES.csv!$A$1:$C$119,2,1)</f>
        <v>Pick marks</v>
      </c>
      <c r="E3847" t="str">
        <f>VLOOKUP(A3847,Panels!$A$1:$E$2104,5,0)</f>
        <v>Throckley Bank</v>
      </c>
    </row>
    <row r="3848">
      <c r="A3848" s="3">
        <v>1365.0</v>
      </c>
      <c r="B3848" s="3">
        <v>103.0</v>
      </c>
      <c r="C3848" s="3">
        <v>1.0</v>
      </c>
      <c r="D3848" t="str">
        <f>VLOOKUP(B3848,ERA_MOTIF_TYPES.csv!$A$1:$C$119,2,1)</f>
        <v>Cup and groove</v>
      </c>
      <c r="E3848" t="str">
        <f>VLOOKUP(A3848,Panels!$A$1:$E$2104,5,0)</f>
        <v>Throckley Bank</v>
      </c>
    </row>
    <row r="3849">
      <c r="A3849" s="3">
        <v>1367.0</v>
      </c>
      <c r="B3849" s="3">
        <v>58.0</v>
      </c>
      <c r="C3849" s="3">
        <v>1.0</v>
      </c>
      <c r="D3849" t="str">
        <f>VLOOKUP(B3849,ERA_MOTIF_TYPES.csv!$A$1:$C$119,2,1)</f>
        <v>Cup and multiple rings</v>
      </c>
      <c r="E3849" t="str">
        <f>VLOOKUP(A3849,Panels!$A$1:$E$2104,5,0)</f>
        <v>Low Thornhope Farm</v>
      </c>
    </row>
    <row r="3850">
      <c r="A3850" s="3">
        <v>1368.0</v>
      </c>
      <c r="B3850" s="3">
        <v>1.0</v>
      </c>
      <c r="C3850" s="3">
        <v>3.0</v>
      </c>
      <c r="D3850" t="str">
        <f>VLOOKUP(B3850,ERA_MOTIF_TYPES.csv!$A$1:$C$119,2,1)</f>
        <v>Cups Single</v>
      </c>
      <c r="E3850" t="str">
        <f>VLOOKUP(A3850,Panels!$A$1:$E$2104,5,0)</f>
        <v>Knarsdale</v>
      </c>
    </row>
    <row r="3851">
      <c r="A3851" s="3">
        <v>1369.0</v>
      </c>
      <c r="B3851" s="3">
        <v>1.0</v>
      </c>
      <c r="C3851" s="3">
        <v>6.0</v>
      </c>
      <c r="D3851" t="str">
        <f>VLOOKUP(B3851,ERA_MOTIF_TYPES.csv!$A$1:$C$119,2,1)</f>
        <v>Cups Single</v>
      </c>
      <c r="E3851" t="str">
        <f>VLOOKUP(A3851,Panels!$A$1:$E$2104,5,0)</f>
        <v>Millstone Hill portable</v>
      </c>
    </row>
    <row r="3852">
      <c r="A3852" s="3">
        <v>1369.0</v>
      </c>
      <c r="B3852" s="3">
        <v>52.0</v>
      </c>
      <c r="C3852" s="3">
        <v>2.0</v>
      </c>
      <c r="D3852" t="str">
        <f>VLOOKUP(B3852,ERA_MOTIF_TYPES.csv!$A$1:$C$119,2,1)</f>
        <v>Single or multiple cups</v>
      </c>
      <c r="E3852" t="str">
        <f>VLOOKUP(A3852,Panels!$A$1:$E$2104,5,0)</f>
        <v>Millstone Hill portable</v>
      </c>
    </row>
    <row r="3853">
      <c r="A3853" s="3">
        <v>1369.0</v>
      </c>
      <c r="B3853" s="3">
        <v>53.0</v>
      </c>
      <c r="C3853" s="3">
        <v>1.0</v>
      </c>
      <c r="D3853" t="str">
        <f>VLOOKUP(B3853,ERA_MOTIF_TYPES.csv!$A$1:$C$119,2,1)</f>
        <v>Domino patterns and parallel lines</v>
      </c>
      <c r="E3853" t="str">
        <f>VLOOKUP(A3853,Panels!$A$1:$E$2104,5,0)</f>
        <v>Millstone Hill portable</v>
      </c>
    </row>
    <row r="3854">
      <c r="A3854" s="3">
        <v>1373.0</v>
      </c>
      <c r="B3854" s="3">
        <v>1.0</v>
      </c>
      <c r="C3854" s="3">
        <v>23.0</v>
      </c>
      <c r="D3854" t="str">
        <f>VLOOKUP(B3854,ERA_MOTIF_TYPES.csv!$A$1:$C$119,2,1)</f>
        <v>Cups Single</v>
      </c>
      <c r="E3854" t="str">
        <f>VLOOKUP(A3854,Panels!$A$1:$E$2104,5,0)</f>
        <v>The Knitsley Stone</v>
      </c>
    </row>
    <row r="3855">
      <c r="A3855" s="3">
        <v>1373.0</v>
      </c>
      <c r="B3855" s="3">
        <v>7.0</v>
      </c>
      <c r="C3855" s="3">
        <v>1.0</v>
      </c>
      <c r="D3855" t="str">
        <f>VLOOKUP(B3855,ERA_MOTIF_TYPES.csv!$A$1:$C$119,2,1)</f>
        <v>Single Ring</v>
      </c>
      <c r="E3855" t="str">
        <f>VLOOKUP(A3855,Panels!$A$1:$E$2104,5,0)</f>
        <v>The Knitsley Stone</v>
      </c>
    </row>
    <row r="3856">
      <c r="A3856" s="3">
        <v>1374.0</v>
      </c>
      <c r="B3856" s="3">
        <v>1.0</v>
      </c>
      <c r="C3856" s="3">
        <v>1.0</v>
      </c>
      <c r="D3856" t="str">
        <f>VLOOKUP(B3856,ERA_MOTIF_TYPES.csv!$A$1:$C$119,2,1)</f>
        <v>Cups Single</v>
      </c>
      <c r="E3856" t="str">
        <f>VLOOKUP(A3856,Panels!$A$1:$E$2104,5,0)</f>
        <v>Fulforth Farm stone</v>
      </c>
    </row>
    <row r="3857">
      <c r="A3857" s="3">
        <v>1374.0</v>
      </c>
      <c r="B3857" s="3">
        <v>13.0</v>
      </c>
      <c r="C3857" s="3">
        <v>24.0</v>
      </c>
      <c r="D3857" t="str">
        <f>VLOOKUP(B3857,ERA_MOTIF_TYPES.csv!$A$1:$C$119,2,1)</f>
        <v>Single Ring + cup</v>
      </c>
      <c r="E3857" t="str">
        <f>VLOOKUP(A3857,Panels!$A$1:$E$2104,5,0)</f>
        <v>Fulforth Farm stone</v>
      </c>
    </row>
    <row r="3858">
      <c r="A3858" s="3">
        <v>1374.0</v>
      </c>
      <c r="B3858" s="3">
        <v>14.0</v>
      </c>
      <c r="C3858" s="3">
        <v>2.0</v>
      </c>
      <c r="D3858" t="str">
        <f>VLOOKUP(B3858,ERA_MOTIF_TYPES.csv!$A$1:$C$119,2,1)</f>
        <v>Multi Ring + cup</v>
      </c>
      <c r="E3858" t="str">
        <f>VLOOKUP(A3858,Panels!$A$1:$E$2104,5,0)</f>
        <v>Fulforth Farm stone</v>
      </c>
    </row>
    <row r="3859">
      <c r="A3859" s="3">
        <v>1375.0</v>
      </c>
      <c r="B3859" s="3">
        <v>1.0</v>
      </c>
      <c r="C3859" s="3">
        <v>24.0</v>
      </c>
      <c r="D3859" t="str">
        <f>VLOOKUP(B3859,ERA_MOTIF_TYPES.csv!$A$1:$C$119,2,1)</f>
        <v>Cups Single</v>
      </c>
      <c r="E3859" t="str">
        <f>VLOOKUP(A3859,Panels!$A$1:$E$2104,5,0)</f>
        <v>White House Farm, Witton Gilbert</v>
      </c>
    </row>
    <row r="3860">
      <c r="A3860" s="3">
        <v>1399.0</v>
      </c>
      <c r="B3860" s="3">
        <v>1.0</v>
      </c>
      <c r="C3860" s="3">
        <v>1.0</v>
      </c>
      <c r="D3860" t="str">
        <f>VLOOKUP(B3860,ERA_MOTIF_TYPES.csv!$A$1:$C$119,2,1)</f>
        <v>Cups Single</v>
      </c>
      <c r="E3860" t="str">
        <f>VLOOKUP(A3860,Panels!$A$1:$E$2104,5,0)</f>
        <v>Woolly Hills</v>
      </c>
    </row>
    <row r="3861">
      <c r="A3861" s="3">
        <v>1400.0</v>
      </c>
      <c r="B3861" s="3">
        <v>1.0</v>
      </c>
      <c r="C3861" s="3">
        <v>1.0</v>
      </c>
      <c r="D3861" t="str">
        <f>VLOOKUP(B3861,ERA_MOTIF_TYPES.csv!$A$1:$C$119,2,1)</f>
        <v>Cups Single</v>
      </c>
      <c r="E3861" t="str">
        <f>VLOOKUP(A3861,Panels!$A$1:$E$2104,5,0)</f>
        <v>Ray-Sunniside</v>
      </c>
    </row>
    <row r="3862">
      <c r="A3862" s="3">
        <v>1400.0</v>
      </c>
      <c r="B3862" s="3">
        <v>52.0</v>
      </c>
      <c r="C3862" s="3">
        <v>1.0</v>
      </c>
      <c r="D3862" t="str">
        <f>VLOOKUP(B3862,ERA_MOTIF_TYPES.csv!$A$1:$C$119,2,1)</f>
        <v>Single or multiple cups</v>
      </c>
      <c r="E3862" t="str">
        <f>VLOOKUP(A3862,Panels!$A$1:$E$2104,5,0)</f>
        <v>Ray-Sunniside</v>
      </c>
    </row>
    <row r="3863">
      <c r="A3863" s="3">
        <v>1401.0</v>
      </c>
      <c r="B3863" s="3">
        <v>1.0</v>
      </c>
      <c r="C3863" s="3">
        <v>1.0</v>
      </c>
      <c r="D3863" t="str">
        <f>VLOOKUP(B3863,ERA_MOTIF_TYPES.csv!$A$1:$C$119,2,1)</f>
        <v>Cups Single</v>
      </c>
      <c r="E3863" t="str">
        <f>VLOOKUP(A3863,Panels!$A$1:$E$2104,5,0)</f>
        <v>Ray-Sunniside</v>
      </c>
    </row>
    <row r="3864">
      <c r="A3864" s="3">
        <v>1401.0</v>
      </c>
      <c r="B3864" s="3">
        <v>52.0</v>
      </c>
      <c r="C3864" s="3">
        <v>1.0</v>
      </c>
      <c r="D3864" t="str">
        <f>VLOOKUP(B3864,ERA_MOTIF_TYPES.csv!$A$1:$C$119,2,1)</f>
        <v>Single or multiple cups</v>
      </c>
      <c r="E3864" t="str">
        <f>VLOOKUP(A3864,Panels!$A$1:$E$2104,5,0)</f>
        <v>Ray-Sunniside</v>
      </c>
    </row>
    <row r="3865">
      <c r="A3865" s="3">
        <v>1402.0</v>
      </c>
      <c r="B3865" s="3">
        <v>52.0</v>
      </c>
      <c r="C3865" s="3">
        <v>1.0</v>
      </c>
      <c r="D3865" t="str">
        <f>VLOOKUP(B3865,ERA_MOTIF_TYPES.csv!$A$1:$C$119,2,1)</f>
        <v>Single or multiple cups</v>
      </c>
      <c r="E3865" t="str">
        <f>VLOOKUP(A3865,Panels!$A$1:$E$2104,5,0)</f>
        <v>Ray-Sunniside</v>
      </c>
    </row>
    <row r="3866">
      <c r="A3866" s="3">
        <v>1403.0</v>
      </c>
      <c r="B3866" s="3">
        <v>1.0</v>
      </c>
      <c r="C3866" s="3">
        <v>1.0</v>
      </c>
      <c r="D3866" t="str">
        <f>VLOOKUP(B3866,ERA_MOTIF_TYPES.csv!$A$1:$C$119,2,1)</f>
        <v>Cups Single</v>
      </c>
      <c r="E3866" t="str">
        <f>VLOOKUP(A3866,Panels!$A$1:$E$2104,5,0)</f>
        <v>Ray-Sunniside</v>
      </c>
    </row>
    <row r="3867">
      <c r="A3867" s="3">
        <v>1403.0</v>
      </c>
      <c r="B3867" s="3">
        <v>52.0</v>
      </c>
      <c r="C3867" s="3">
        <v>1.0</v>
      </c>
      <c r="D3867" t="str">
        <f>VLOOKUP(B3867,ERA_MOTIF_TYPES.csv!$A$1:$C$119,2,1)</f>
        <v>Single or multiple cups</v>
      </c>
      <c r="E3867" t="str">
        <f>VLOOKUP(A3867,Panels!$A$1:$E$2104,5,0)</f>
        <v>Ray-Sunniside</v>
      </c>
    </row>
    <row r="3868">
      <c r="A3868" s="3">
        <v>1404.0</v>
      </c>
      <c r="B3868" s="3">
        <v>1.0</v>
      </c>
      <c r="C3868" s="3">
        <v>1.0</v>
      </c>
      <c r="D3868" t="str">
        <f>VLOOKUP(B3868,ERA_MOTIF_TYPES.csv!$A$1:$C$119,2,1)</f>
        <v>Cups Single</v>
      </c>
      <c r="E3868" t="str">
        <f>VLOOKUP(A3868,Panels!$A$1:$E$2104,5,0)</f>
        <v>Ray-Sunniside</v>
      </c>
    </row>
    <row r="3869">
      <c r="A3869" s="3">
        <v>1404.0</v>
      </c>
      <c r="B3869" s="3">
        <v>52.0</v>
      </c>
      <c r="C3869" s="3">
        <v>1.0</v>
      </c>
      <c r="D3869" t="str">
        <f>VLOOKUP(B3869,ERA_MOTIF_TYPES.csv!$A$1:$C$119,2,1)</f>
        <v>Single or multiple cups</v>
      </c>
      <c r="E3869" t="str">
        <f>VLOOKUP(A3869,Panels!$A$1:$E$2104,5,0)</f>
        <v>Ray-Sunniside</v>
      </c>
    </row>
    <row r="3870">
      <c r="A3870" s="3">
        <v>1405.0</v>
      </c>
      <c r="B3870" s="3">
        <v>1.0</v>
      </c>
      <c r="C3870" s="3">
        <v>5.0</v>
      </c>
      <c r="D3870" t="str">
        <f>VLOOKUP(B3870,ERA_MOTIF_TYPES.csv!$A$1:$C$119,2,1)</f>
        <v>Cups Single</v>
      </c>
      <c r="E3870" t="str">
        <f>VLOOKUP(A3870,Panels!$A$1:$E$2104,5,0)</f>
        <v>Ray-Sunniside</v>
      </c>
    </row>
    <row r="3871">
      <c r="A3871" s="3">
        <v>1405.0</v>
      </c>
      <c r="B3871" s="3">
        <v>52.0</v>
      </c>
      <c r="C3871" s="3">
        <v>2.0</v>
      </c>
      <c r="D3871" t="str">
        <f>VLOOKUP(B3871,ERA_MOTIF_TYPES.csv!$A$1:$C$119,2,1)</f>
        <v>Single or multiple cups</v>
      </c>
      <c r="E3871" t="str">
        <f>VLOOKUP(A3871,Panels!$A$1:$E$2104,5,0)</f>
        <v>Ray-Sunniside</v>
      </c>
    </row>
    <row r="3872">
      <c r="A3872" s="3">
        <v>1405.0</v>
      </c>
      <c r="B3872" s="3">
        <v>93.0</v>
      </c>
      <c r="C3872" s="3">
        <v>2.0</v>
      </c>
      <c r="D3872" t="str">
        <f>VLOOKUP(B3872,ERA_MOTIF_TYPES.csv!$A$1:$C$119,2,1)</f>
        <v>Midget cup</v>
      </c>
      <c r="E3872" t="str">
        <f>VLOOKUP(A3872,Panels!$A$1:$E$2104,5,0)</f>
        <v>Ray-Sunniside</v>
      </c>
    </row>
    <row r="3873">
      <c r="A3873" s="3">
        <v>1406.0</v>
      </c>
      <c r="B3873" s="3">
        <v>1.0</v>
      </c>
      <c r="C3873" s="3">
        <v>3.0</v>
      </c>
      <c r="D3873" t="str">
        <f>VLOOKUP(B3873,ERA_MOTIF_TYPES.csv!$A$1:$C$119,2,1)</f>
        <v>Cups Single</v>
      </c>
      <c r="E3873" t="str">
        <f>VLOOKUP(A3873,Panels!$A$1:$E$2104,5,0)</f>
        <v>Ray-Sunniside</v>
      </c>
    </row>
    <row r="3874">
      <c r="A3874" s="3">
        <v>1406.0</v>
      </c>
      <c r="B3874" s="3">
        <v>52.0</v>
      </c>
      <c r="C3874" s="3">
        <v>3.0</v>
      </c>
      <c r="D3874" t="str">
        <f>VLOOKUP(B3874,ERA_MOTIF_TYPES.csv!$A$1:$C$119,2,1)</f>
        <v>Single or multiple cups</v>
      </c>
      <c r="E3874" t="str">
        <f>VLOOKUP(A3874,Panels!$A$1:$E$2104,5,0)</f>
        <v>Ray-Sunniside</v>
      </c>
    </row>
    <row r="3875">
      <c r="A3875" s="3">
        <v>1407.0</v>
      </c>
      <c r="B3875" s="3">
        <v>1.0</v>
      </c>
      <c r="C3875" s="3">
        <v>1.0</v>
      </c>
      <c r="D3875" t="str">
        <f>VLOOKUP(B3875,ERA_MOTIF_TYPES.csv!$A$1:$C$119,2,1)</f>
        <v>Cups Single</v>
      </c>
      <c r="E3875" t="str">
        <f>VLOOKUP(A3875,Panels!$A$1:$E$2104,5,0)</f>
        <v>Ray-Sunniside</v>
      </c>
    </row>
    <row r="3876">
      <c r="A3876" s="3">
        <v>1407.0</v>
      </c>
      <c r="B3876" s="3">
        <v>25.0</v>
      </c>
      <c r="C3876" s="3">
        <v>1.0</v>
      </c>
      <c r="D3876" t="str">
        <f>VLOOKUP(B3876,ERA_MOTIF_TYPES.csv!$A$1:$C$119,2,1)</f>
        <v>Linear</v>
      </c>
      <c r="E3876" t="str">
        <f>VLOOKUP(A3876,Panels!$A$1:$E$2104,5,0)</f>
        <v>Ray-Sunniside</v>
      </c>
    </row>
    <row r="3877">
      <c r="A3877" s="3">
        <v>1407.0</v>
      </c>
      <c r="B3877" s="3">
        <v>52.0</v>
      </c>
      <c r="C3877" s="3">
        <v>1.0</v>
      </c>
      <c r="D3877" t="str">
        <f>VLOOKUP(B3877,ERA_MOTIF_TYPES.csv!$A$1:$C$119,2,1)</f>
        <v>Single or multiple cups</v>
      </c>
      <c r="E3877" t="str">
        <f>VLOOKUP(A3877,Panels!$A$1:$E$2104,5,0)</f>
        <v>Ray-Sunniside</v>
      </c>
    </row>
    <row r="3878">
      <c r="A3878" s="3">
        <v>1408.0</v>
      </c>
      <c r="B3878" s="3">
        <v>1.0</v>
      </c>
      <c r="C3878" s="3">
        <v>17.0</v>
      </c>
      <c r="D3878" t="str">
        <f>VLOOKUP(B3878,ERA_MOTIF_TYPES.csv!$A$1:$C$119,2,1)</f>
        <v>Cups Single</v>
      </c>
      <c r="E3878" t="str">
        <f>VLOOKUP(A3878,Panels!$A$1:$E$2104,5,0)</f>
        <v>Ray-Sunniside</v>
      </c>
    </row>
    <row r="3879">
      <c r="A3879" s="3">
        <v>1408.0</v>
      </c>
      <c r="B3879" s="3">
        <v>52.0</v>
      </c>
      <c r="C3879" s="3">
        <v>15.0</v>
      </c>
      <c r="D3879" t="str">
        <f>VLOOKUP(B3879,ERA_MOTIF_TYPES.csv!$A$1:$C$119,2,1)</f>
        <v>Single or multiple cups</v>
      </c>
      <c r="E3879" t="str">
        <f>VLOOKUP(A3879,Panels!$A$1:$E$2104,5,0)</f>
        <v>Ray-Sunniside</v>
      </c>
    </row>
    <row r="3880">
      <c r="A3880" s="3">
        <v>1408.0</v>
      </c>
      <c r="B3880" s="3">
        <v>105.0</v>
      </c>
      <c r="C3880" s="3">
        <v>1.0</v>
      </c>
      <c r="D3880" t="str">
        <f>VLOOKUP(B3880,ERA_MOTIF_TYPES.csv!$A$1:$C$119,2,1)</f>
        <v>Two cups linked by a groove</v>
      </c>
      <c r="E3880" t="str">
        <f>VLOOKUP(A3880,Panels!$A$1:$E$2104,5,0)</f>
        <v>Ray-Sunniside</v>
      </c>
    </row>
    <row r="3881">
      <c r="A3881" s="3">
        <v>1409.0</v>
      </c>
      <c r="B3881" s="3">
        <v>1.0</v>
      </c>
      <c r="C3881" s="3">
        <v>2.0</v>
      </c>
      <c r="D3881" t="str">
        <f>VLOOKUP(B3881,ERA_MOTIF_TYPES.csv!$A$1:$C$119,2,1)</f>
        <v>Cups Single</v>
      </c>
      <c r="E3881" t="str">
        <f>VLOOKUP(A3881,Panels!$A$1:$E$2104,5,0)</f>
        <v>Ray-Sunniside</v>
      </c>
    </row>
    <row r="3882">
      <c r="A3882" s="3">
        <v>1409.0</v>
      </c>
      <c r="B3882" s="3">
        <v>52.0</v>
      </c>
      <c r="C3882" s="3">
        <v>2.0</v>
      </c>
      <c r="D3882" t="str">
        <f>VLOOKUP(B3882,ERA_MOTIF_TYPES.csv!$A$1:$C$119,2,1)</f>
        <v>Single or multiple cups</v>
      </c>
      <c r="E3882" t="str">
        <f>VLOOKUP(A3882,Panels!$A$1:$E$2104,5,0)</f>
        <v>Ray-Sunniside</v>
      </c>
    </row>
    <row r="3883">
      <c r="A3883" s="3">
        <v>1410.0</v>
      </c>
      <c r="B3883" s="3">
        <v>1.0</v>
      </c>
      <c r="C3883" s="3">
        <v>1.0</v>
      </c>
      <c r="D3883" t="str">
        <f>VLOOKUP(B3883,ERA_MOTIF_TYPES.csv!$A$1:$C$119,2,1)</f>
        <v>Cups Single</v>
      </c>
      <c r="E3883" t="str">
        <f>VLOOKUP(A3883,Panels!$A$1:$E$2104,5,0)</f>
        <v>Ray-Sunniside</v>
      </c>
    </row>
    <row r="3884">
      <c r="A3884" s="3">
        <v>1410.0</v>
      </c>
      <c r="B3884" s="3">
        <v>52.0</v>
      </c>
      <c r="C3884" s="3">
        <v>2.0</v>
      </c>
      <c r="D3884" t="str">
        <f>VLOOKUP(B3884,ERA_MOTIF_TYPES.csv!$A$1:$C$119,2,1)</f>
        <v>Single or multiple cups</v>
      </c>
      <c r="E3884" t="str">
        <f>VLOOKUP(A3884,Panels!$A$1:$E$2104,5,0)</f>
        <v>Ray-Sunniside</v>
      </c>
    </row>
    <row r="3885">
      <c r="A3885" s="3">
        <v>1411.0</v>
      </c>
      <c r="B3885" s="3">
        <v>1.0</v>
      </c>
      <c r="C3885" s="3">
        <v>1.0</v>
      </c>
      <c r="D3885" t="str">
        <f>VLOOKUP(B3885,ERA_MOTIF_TYPES.csv!$A$1:$C$119,2,1)</f>
        <v>Cups Single</v>
      </c>
      <c r="E3885" t="str">
        <f>VLOOKUP(A3885,Panels!$A$1:$E$2104,5,0)</f>
        <v>Ray-Sunniside</v>
      </c>
    </row>
    <row r="3886">
      <c r="A3886" s="3">
        <v>1411.0</v>
      </c>
      <c r="B3886" s="3">
        <v>25.0</v>
      </c>
      <c r="C3886" s="3">
        <v>4.0</v>
      </c>
      <c r="D3886" t="str">
        <f>VLOOKUP(B3886,ERA_MOTIF_TYPES.csv!$A$1:$C$119,2,1)</f>
        <v>Linear</v>
      </c>
      <c r="E3886" t="str">
        <f>VLOOKUP(A3886,Panels!$A$1:$E$2104,5,0)</f>
        <v>Ray-Sunniside</v>
      </c>
    </row>
    <row r="3887">
      <c r="A3887" s="3">
        <v>1411.0</v>
      </c>
      <c r="B3887" s="3">
        <v>52.0</v>
      </c>
      <c r="C3887" s="3">
        <v>3.0</v>
      </c>
      <c r="D3887" t="str">
        <f>VLOOKUP(B3887,ERA_MOTIF_TYPES.csv!$A$1:$C$119,2,1)</f>
        <v>Single or multiple cups</v>
      </c>
      <c r="E3887" t="str">
        <f>VLOOKUP(A3887,Panels!$A$1:$E$2104,5,0)</f>
        <v>Ray-Sunniside</v>
      </c>
    </row>
    <row r="3888">
      <c r="A3888" s="3">
        <v>1411.0</v>
      </c>
      <c r="B3888" s="3">
        <v>87.0</v>
      </c>
      <c r="C3888" s="3">
        <v>2.0</v>
      </c>
      <c r="D3888" t="str">
        <f>VLOOKUP(B3888,ERA_MOTIF_TYPES.csv!$A$1:$C$119,2,1)</f>
        <v>Linear and angular groove</v>
      </c>
      <c r="E3888" t="str">
        <f>VLOOKUP(A3888,Panels!$A$1:$E$2104,5,0)</f>
        <v>Ray-Sunniside</v>
      </c>
    </row>
    <row r="3889">
      <c r="A3889" s="3">
        <v>1411.0</v>
      </c>
      <c r="B3889" s="3">
        <v>95.0</v>
      </c>
      <c r="C3889" s="3">
        <v>1.0</v>
      </c>
      <c r="D3889" t="str">
        <f>VLOOKUP(B3889,ERA_MOTIF_TYPES.csv!$A$1:$C$119,2,1)</f>
        <v>Three parallel grooves</v>
      </c>
      <c r="E3889" t="str">
        <f>VLOOKUP(A3889,Panels!$A$1:$E$2104,5,0)</f>
        <v>Ray-Sunniside</v>
      </c>
    </row>
    <row r="3890">
      <c r="A3890" s="3">
        <v>1413.0</v>
      </c>
      <c r="B3890" s="3">
        <v>52.0</v>
      </c>
      <c r="C3890" s="3">
        <v>3.0</v>
      </c>
      <c r="D3890" t="str">
        <f>VLOOKUP(B3890,ERA_MOTIF_TYPES.csv!$A$1:$C$119,2,1)</f>
        <v>Single or multiple cups</v>
      </c>
      <c r="E3890" t="str">
        <f>VLOOKUP(A3890,Panels!$A$1:$E$2104,5,0)</f>
        <v>Ray Burn Enclosure</v>
      </c>
    </row>
    <row r="3891">
      <c r="A3891" s="3">
        <v>1413.0</v>
      </c>
      <c r="B3891" s="3">
        <v>61.0</v>
      </c>
      <c r="C3891" s="3">
        <v>1.0</v>
      </c>
      <c r="D3891" t="str">
        <f>VLOOKUP(B3891,ERA_MOTIF_TYPES.csv!$A$1:$C$119,2,1)</f>
        <v>Cup and arc (or semi-ovoid)</v>
      </c>
      <c r="E3891" t="str">
        <f>VLOOKUP(A3891,Panels!$A$1:$E$2104,5,0)</f>
        <v>Ray Burn Enclosure</v>
      </c>
    </row>
    <row r="3892">
      <c r="A3892" s="3">
        <v>1413.0</v>
      </c>
      <c r="B3892" s="3">
        <v>87.0</v>
      </c>
      <c r="C3892" s="3">
        <v>4.0</v>
      </c>
      <c r="D3892" t="str">
        <f>VLOOKUP(B3892,ERA_MOTIF_TYPES.csv!$A$1:$C$119,2,1)</f>
        <v>Linear and angular groove</v>
      </c>
      <c r="E3892" t="str">
        <f>VLOOKUP(A3892,Panels!$A$1:$E$2104,5,0)</f>
        <v>Ray Burn Enclosure</v>
      </c>
    </row>
    <row r="3893">
      <c r="A3893" s="3">
        <v>1413.0</v>
      </c>
      <c r="B3893" s="3">
        <v>103.0</v>
      </c>
      <c r="C3893" s="3">
        <v>2.0</v>
      </c>
      <c r="D3893" t="str">
        <f>VLOOKUP(B3893,ERA_MOTIF_TYPES.csv!$A$1:$C$119,2,1)</f>
        <v>Cup and groove</v>
      </c>
      <c r="E3893" t="str">
        <f>VLOOKUP(A3893,Panels!$A$1:$E$2104,5,0)</f>
        <v>Ray Burn Enclosure</v>
      </c>
    </row>
    <row r="3894">
      <c r="A3894" s="3">
        <v>1413.0</v>
      </c>
      <c r="B3894" s="3">
        <v>105.0</v>
      </c>
      <c r="C3894" s="3">
        <v>2.0</v>
      </c>
      <c r="D3894" t="str">
        <f>VLOOKUP(B3894,ERA_MOTIF_TYPES.csv!$A$1:$C$119,2,1)</f>
        <v>Two cups linked by a groove</v>
      </c>
      <c r="E3894" t="str">
        <f>VLOOKUP(A3894,Panels!$A$1:$E$2104,5,0)</f>
        <v>Ray Burn Enclosure</v>
      </c>
    </row>
    <row r="3895">
      <c r="A3895" s="3">
        <v>1414.0</v>
      </c>
      <c r="B3895" s="3">
        <v>1.0</v>
      </c>
      <c r="C3895" s="3">
        <v>50.0</v>
      </c>
      <c r="D3895" t="str">
        <f>VLOOKUP(B3895,ERA_MOTIF_TYPES.csv!$A$1:$C$119,2,1)</f>
        <v>Cups Single</v>
      </c>
      <c r="E3895" t="str">
        <f>VLOOKUP(A3895,Panels!$A$1:$E$2104,5,0)</f>
        <v>Howden Hill</v>
      </c>
    </row>
    <row r="3896">
      <c r="A3896" s="3">
        <v>1414.0</v>
      </c>
      <c r="B3896" s="3">
        <v>6.0</v>
      </c>
      <c r="C3896" s="3">
        <v>2.0</v>
      </c>
      <c r="D3896" t="str">
        <f>VLOOKUP(B3896,ERA_MOTIF_TYPES.csv!$A$1:$C$119,2,1)</f>
        <v>curved or straight line</v>
      </c>
      <c r="E3896" t="str">
        <f>VLOOKUP(A3896,Panels!$A$1:$E$2104,5,0)</f>
        <v>Howden Hill</v>
      </c>
    </row>
    <row r="3897">
      <c r="A3897" s="3">
        <v>1414.0</v>
      </c>
      <c r="B3897" s="3">
        <v>52.0</v>
      </c>
      <c r="C3897" s="3">
        <v>16.0</v>
      </c>
      <c r="D3897" t="str">
        <f>VLOOKUP(B3897,ERA_MOTIF_TYPES.csv!$A$1:$C$119,2,1)</f>
        <v>Single or multiple cups</v>
      </c>
      <c r="E3897" t="str">
        <f>VLOOKUP(A3897,Panels!$A$1:$E$2104,5,0)</f>
        <v>Howden Hill</v>
      </c>
    </row>
    <row r="3898">
      <c r="A3898" s="3">
        <v>1415.0</v>
      </c>
      <c r="B3898" s="3">
        <v>1.0</v>
      </c>
      <c r="C3898" s="3">
        <v>30.0</v>
      </c>
      <c r="D3898" t="str">
        <f>VLOOKUP(B3898,ERA_MOTIF_TYPES.csv!$A$1:$C$119,2,1)</f>
        <v>Cups Single</v>
      </c>
      <c r="E3898" t="str">
        <f>VLOOKUP(A3898,Panels!$A$1:$E$2104,5,0)</f>
        <v>Howden Hill</v>
      </c>
    </row>
    <row r="3899">
      <c r="A3899" s="3">
        <v>1417.0</v>
      </c>
      <c r="B3899" s="3">
        <v>1.0</v>
      </c>
      <c r="C3899" s="3">
        <v>5.0</v>
      </c>
      <c r="D3899" t="str">
        <f>VLOOKUP(B3899,ERA_MOTIF_TYPES.csv!$A$1:$C$119,2,1)</f>
        <v>Cups Single</v>
      </c>
      <c r="E3899" t="str">
        <f>VLOOKUP(A3899,Panels!$A$1:$E$2104,5,0)</f>
        <v>Tony's Patch</v>
      </c>
    </row>
    <row r="3900">
      <c r="A3900" s="3">
        <v>1417.0</v>
      </c>
      <c r="B3900" s="3">
        <v>52.0</v>
      </c>
      <c r="C3900" s="3">
        <v>5.0</v>
      </c>
      <c r="D3900" t="str">
        <f>VLOOKUP(B3900,ERA_MOTIF_TYPES.csv!$A$1:$C$119,2,1)</f>
        <v>Single or multiple cups</v>
      </c>
      <c r="E3900" t="str">
        <f>VLOOKUP(A3900,Panels!$A$1:$E$2104,5,0)</f>
        <v>Tony's Patch</v>
      </c>
    </row>
    <row r="3901">
      <c r="A3901" s="3">
        <v>1418.0</v>
      </c>
      <c r="B3901" s="3">
        <v>50.0</v>
      </c>
      <c r="C3901" s="3">
        <v>5.0</v>
      </c>
      <c r="D3901" t="str">
        <f>VLOOKUP(B3901,ERA_MOTIF_TYPES.csv!$A$1:$C$119,2,1)</f>
        <v>Channels</v>
      </c>
      <c r="E3901" t="str">
        <f>VLOOKUP(A3901,Panels!$A$1:$E$2104,5,0)</f>
        <v>Joicey Shaft</v>
      </c>
    </row>
    <row r="3902">
      <c r="A3902" s="3">
        <v>1418.0</v>
      </c>
      <c r="B3902" s="3">
        <v>51.0</v>
      </c>
      <c r="C3902" s="3">
        <v>5.0</v>
      </c>
      <c r="D3902" t="str">
        <f>VLOOKUP(B3902,ERA_MOTIF_TYPES.csv!$A$1:$C$119,2,1)</f>
        <v>Bowls</v>
      </c>
      <c r="E3902" t="str">
        <f>VLOOKUP(A3902,Panels!$A$1:$E$2104,5,0)</f>
        <v>Joicey Shaft</v>
      </c>
    </row>
    <row r="3903">
      <c r="A3903" s="3">
        <v>1418.0</v>
      </c>
      <c r="B3903" s="3">
        <v>52.0</v>
      </c>
      <c r="C3903" s="3">
        <v>3.0</v>
      </c>
      <c r="D3903" t="str">
        <f>VLOOKUP(B3903,ERA_MOTIF_TYPES.csv!$A$1:$C$119,2,1)</f>
        <v>Single or multiple cups</v>
      </c>
      <c r="E3903" t="str">
        <f>VLOOKUP(A3903,Panels!$A$1:$E$2104,5,0)</f>
        <v>Joicey Shaft</v>
      </c>
    </row>
    <row r="3904">
      <c r="A3904" s="3">
        <v>1419.0</v>
      </c>
      <c r="B3904" s="3">
        <v>1.0</v>
      </c>
      <c r="C3904" s="3">
        <v>2.0</v>
      </c>
      <c r="D3904" t="str">
        <f>VLOOKUP(B3904,ERA_MOTIF_TYPES.csv!$A$1:$C$119,2,1)</f>
        <v>Cups Single</v>
      </c>
      <c r="E3904" t="str">
        <f>VLOOKUP(A3904,Panels!$A$1:$E$2104,5,0)</f>
        <v>Joicey Shaft</v>
      </c>
    </row>
    <row r="3905">
      <c r="A3905" s="3">
        <v>1419.0</v>
      </c>
      <c r="B3905" s="3">
        <v>52.0</v>
      </c>
      <c r="C3905" s="3">
        <v>1.0</v>
      </c>
      <c r="D3905" t="str">
        <f>VLOOKUP(B3905,ERA_MOTIF_TYPES.csv!$A$1:$C$119,2,1)</f>
        <v>Single or multiple cups</v>
      </c>
      <c r="E3905" t="str">
        <f>VLOOKUP(A3905,Panels!$A$1:$E$2104,5,0)</f>
        <v>Joicey Shaft</v>
      </c>
    </row>
    <row r="3906">
      <c r="A3906" s="3">
        <v>1420.0</v>
      </c>
      <c r="B3906" s="3">
        <v>1.0</v>
      </c>
      <c r="C3906" s="3">
        <v>5.0</v>
      </c>
      <c r="D3906" t="str">
        <f>VLOOKUP(B3906,ERA_MOTIF_TYPES.csv!$A$1:$C$119,2,1)</f>
        <v>Cups Single</v>
      </c>
      <c r="E3906" t="str">
        <f>VLOOKUP(A3906,Panels!$A$1:$E$2104,5,0)</f>
        <v>Thornborough</v>
      </c>
    </row>
    <row r="3907">
      <c r="A3907" s="3">
        <v>1420.0</v>
      </c>
      <c r="B3907" s="3">
        <v>13.0</v>
      </c>
      <c r="C3907" s="3">
        <v>2.0</v>
      </c>
      <c r="D3907" t="str">
        <f>VLOOKUP(B3907,ERA_MOTIF_TYPES.csv!$A$1:$C$119,2,1)</f>
        <v>Single Ring + cup</v>
      </c>
      <c r="E3907" t="str">
        <f>VLOOKUP(A3907,Panels!$A$1:$E$2104,5,0)</f>
        <v>Thornborough</v>
      </c>
    </row>
    <row r="3908">
      <c r="A3908" s="3">
        <v>1420.0</v>
      </c>
      <c r="B3908" s="3">
        <v>27.0</v>
      </c>
      <c r="C3908" s="3">
        <v>1.0</v>
      </c>
      <c r="D3908" t="str">
        <f>VLOOKUP(B3908,ERA_MOTIF_TYPES.csv!$A$1:$C$119,2,1)</f>
        <v>Serpentine</v>
      </c>
      <c r="E3908" t="str">
        <f>VLOOKUP(A3908,Panels!$A$1:$E$2104,5,0)</f>
        <v>Thornborough</v>
      </c>
    </row>
    <row r="3909">
      <c r="A3909" s="3">
        <v>1420.0</v>
      </c>
      <c r="B3909" s="3">
        <v>52.0</v>
      </c>
      <c r="C3909" s="3">
        <v>18.0</v>
      </c>
      <c r="D3909" t="str">
        <f>VLOOKUP(B3909,ERA_MOTIF_TYPES.csv!$A$1:$C$119,2,1)</f>
        <v>Single or multiple cups</v>
      </c>
      <c r="E3909" t="str">
        <f>VLOOKUP(A3909,Panels!$A$1:$E$2104,5,0)</f>
        <v>Thornborough</v>
      </c>
    </row>
    <row r="3910">
      <c r="A3910" s="3">
        <v>1420.0</v>
      </c>
      <c r="B3910" s="3">
        <v>57.0</v>
      </c>
      <c r="C3910" s="3">
        <v>1.0</v>
      </c>
      <c r="D3910" t="str">
        <f>VLOOKUP(B3910,ERA_MOTIF_TYPES.csv!$A$1:$C$119,2,1)</f>
        <v>Cup and ring</v>
      </c>
      <c r="E3910" t="str">
        <f>VLOOKUP(A3910,Panels!$A$1:$E$2104,5,0)</f>
        <v>Thornborough</v>
      </c>
    </row>
    <row r="3911">
      <c r="A3911" s="3">
        <v>1420.0</v>
      </c>
      <c r="B3911" s="3">
        <v>67.0</v>
      </c>
      <c r="C3911" s="3">
        <v>1.0</v>
      </c>
      <c r="D3911" t="str">
        <f>VLOOKUP(B3911,ERA_MOTIF_TYPES.csv!$A$1:$C$119,2,1)</f>
        <v>Cup and groove with arc</v>
      </c>
      <c r="E3911" t="str">
        <f>VLOOKUP(A3911,Panels!$A$1:$E$2104,5,0)</f>
        <v>Thornborough</v>
      </c>
    </row>
    <row r="3912">
      <c r="A3912" s="3">
        <v>1420.0</v>
      </c>
      <c r="B3912" s="3">
        <v>87.0</v>
      </c>
      <c r="C3912" s="3">
        <v>1.0</v>
      </c>
      <c r="D3912" t="str">
        <f>VLOOKUP(B3912,ERA_MOTIF_TYPES.csv!$A$1:$C$119,2,1)</f>
        <v>Linear and angular groove</v>
      </c>
      <c r="E3912" t="str">
        <f>VLOOKUP(A3912,Panels!$A$1:$E$2104,5,0)</f>
        <v>Thornborough</v>
      </c>
    </row>
    <row r="3913">
      <c r="A3913" s="3">
        <v>1420.0</v>
      </c>
      <c r="B3913" s="3">
        <v>100.0</v>
      </c>
      <c r="C3913" s="3">
        <v>1.0</v>
      </c>
      <c r="D3913" t="str">
        <f>VLOOKUP(B3913,ERA_MOTIF_TYPES.csv!$A$1:$C$119,2,1)</f>
        <v>Pick marks</v>
      </c>
      <c r="E3913" t="str">
        <f>VLOOKUP(A3913,Panels!$A$1:$E$2104,5,0)</f>
        <v>Thornborough</v>
      </c>
    </row>
    <row r="3914">
      <c r="A3914" s="3">
        <v>1420.0</v>
      </c>
      <c r="B3914" s="3">
        <v>103.0</v>
      </c>
      <c r="C3914" s="3">
        <v>2.0</v>
      </c>
      <c r="D3914" t="str">
        <f>VLOOKUP(B3914,ERA_MOTIF_TYPES.csv!$A$1:$C$119,2,1)</f>
        <v>Cup and groove</v>
      </c>
      <c r="E3914" t="str">
        <f>VLOOKUP(A3914,Panels!$A$1:$E$2104,5,0)</f>
        <v>Thornborough</v>
      </c>
    </row>
    <row r="3915">
      <c r="A3915" s="3">
        <v>1420.0</v>
      </c>
      <c r="B3915" s="3">
        <v>110.0</v>
      </c>
      <c r="C3915" s="3">
        <v>1.0</v>
      </c>
      <c r="D3915" t="str">
        <f>VLOOKUP(B3915,ERA_MOTIF_TYPES.csv!$A$1:$C$119,2,1)</f>
        <v>Curved groove</v>
      </c>
      <c r="E3915" t="str">
        <f>VLOOKUP(A3915,Panels!$A$1:$E$2104,5,0)</f>
        <v>Thornborough</v>
      </c>
    </row>
    <row r="3916">
      <c r="A3916" s="3">
        <v>1421.0</v>
      </c>
      <c r="B3916" s="3">
        <v>51.0</v>
      </c>
      <c r="C3916" s="3">
        <v>1.0</v>
      </c>
      <c r="D3916" t="str">
        <f>VLOOKUP(B3916,ERA_MOTIF_TYPES.csv!$A$1:$C$119,2,1)</f>
        <v>Bowls</v>
      </c>
      <c r="E3916" t="str">
        <f>VLOOKUP(A3916,Panels!$A$1:$E$2104,5,0)</f>
        <v>Whitley Pike</v>
      </c>
    </row>
    <row r="3917">
      <c r="A3917" s="3">
        <v>1421.0</v>
      </c>
      <c r="B3917" s="3">
        <v>94.0</v>
      </c>
      <c r="C3917" s="3">
        <v>1.0</v>
      </c>
      <c r="D3917" t="str">
        <f>VLOOKUP(B3917,ERA_MOTIF_TYPES.csv!$A$1:$C$119,2,1)</f>
        <v>Basin</v>
      </c>
      <c r="E3917" t="str">
        <f>VLOOKUP(A3917,Panels!$A$1:$E$2104,5,0)</f>
        <v>Whitley Pike</v>
      </c>
    </row>
    <row r="3918">
      <c r="A3918" s="3">
        <v>1422.0</v>
      </c>
      <c r="B3918" s="3">
        <v>51.0</v>
      </c>
      <c r="C3918" s="3">
        <v>1.0</v>
      </c>
      <c r="D3918" t="str">
        <f>VLOOKUP(B3918,ERA_MOTIF_TYPES.csv!$A$1:$C$119,2,1)</f>
        <v>Bowls</v>
      </c>
      <c r="E3918" t="str">
        <f>VLOOKUP(A3918,Panels!$A$1:$E$2104,5,0)</f>
        <v>Whitley Pike</v>
      </c>
    </row>
    <row r="3919">
      <c r="A3919" s="3">
        <v>1422.0</v>
      </c>
      <c r="B3919" s="3">
        <v>94.0</v>
      </c>
      <c r="C3919" s="3">
        <v>1.0</v>
      </c>
      <c r="D3919" t="str">
        <f>VLOOKUP(B3919,ERA_MOTIF_TYPES.csv!$A$1:$C$119,2,1)</f>
        <v>Basin</v>
      </c>
      <c r="E3919" t="str">
        <f>VLOOKUP(A3919,Panels!$A$1:$E$2104,5,0)</f>
        <v>Whitley Pike</v>
      </c>
    </row>
    <row r="3920">
      <c r="A3920" s="3">
        <v>1423.0</v>
      </c>
      <c r="B3920" s="3">
        <v>51.0</v>
      </c>
      <c r="C3920" s="3">
        <v>1.0</v>
      </c>
      <c r="D3920" t="str">
        <f>VLOOKUP(B3920,ERA_MOTIF_TYPES.csv!$A$1:$C$119,2,1)</f>
        <v>Bowls</v>
      </c>
      <c r="E3920" t="str">
        <f>VLOOKUP(A3920,Panels!$A$1:$E$2104,5,0)</f>
        <v>Whitley Pike</v>
      </c>
    </row>
    <row r="3921">
      <c r="A3921" s="3">
        <v>1423.0</v>
      </c>
      <c r="B3921" s="3">
        <v>94.0</v>
      </c>
      <c r="C3921" s="3">
        <v>1.0</v>
      </c>
      <c r="D3921" t="str">
        <f>VLOOKUP(B3921,ERA_MOTIF_TYPES.csv!$A$1:$C$119,2,1)</f>
        <v>Basin</v>
      </c>
      <c r="E3921" t="str">
        <f>VLOOKUP(A3921,Panels!$A$1:$E$2104,5,0)</f>
        <v>Whitley Pike</v>
      </c>
    </row>
    <row r="3922">
      <c r="A3922" s="3">
        <v>1424.0</v>
      </c>
      <c r="B3922" s="3">
        <v>51.0</v>
      </c>
      <c r="C3922" s="3">
        <v>2.0</v>
      </c>
      <c r="D3922" t="str">
        <f>VLOOKUP(B3922,ERA_MOTIF_TYPES.csv!$A$1:$C$119,2,1)</f>
        <v>Bowls</v>
      </c>
      <c r="E3922" t="str">
        <f>VLOOKUP(A3922,Panels!$A$1:$E$2104,5,0)</f>
        <v>Whitley Pike</v>
      </c>
    </row>
    <row r="3923">
      <c r="A3923" s="3">
        <v>1424.0</v>
      </c>
      <c r="B3923" s="3">
        <v>52.0</v>
      </c>
      <c r="C3923" s="3">
        <v>1.0</v>
      </c>
      <c r="D3923" t="str">
        <f>VLOOKUP(B3923,ERA_MOTIF_TYPES.csv!$A$1:$C$119,2,1)</f>
        <v>Single or multiple cups</v>
      </c>
      <c r="E3923" t="str">
        <f>VLOOKUP(A3923,Panels!$A$1:$E$2104,5,0)</f>
        <v>Whitley Pike</v>
      </c>
    </row>
    <row r="3924">
      <c r="A3924" s="3">
        <v>1424.0</v>
      </c>
      <c r="B3924" s="3">
        <v>94.0</v>
      </c>
      <c r="C3924" s="3">
        <v>1.0</v>
      </c>
      <c r="D3924" t="str">
        <f>VLOOKUP(B3924,ERA_MOTIF_TYPES.csv!$A$1:$C$119,2,1)</f>
        <v>Basin</v>
      </c>
      <c r="E3924" t="str">
        <f>VLOOKUP(A3924,Panels!$A$1:$E$2104,5,0)</f>
        <v>Whitley Pike</v>
      </c>
    </row>
    <row r="3925">
      <c r="A3925" s="3">
        <v>1425.0</v>
      </c>
      <c r="B3925" s="3">
        <v>51.0</v>
      </c>
      <c r="C3925" s="3">
        <v>2.0</v>
      </c>
      <c r="D3925" t="str">
        <f>VLOOKUP(B3925,ERA_MOTIF_TYPES.csv!$A$1:$C$119,2,1)</f>
        <v>Bowls</v>
      </c>
      <c r="E3925" t="str">
        <f>VLOOKUP(A3925,Panels!$A$1:$E$2104,5,0)</f>
        <v>Whitley Pike</v>
      </c>
    </row>
    <row r="3926">
      <c r="A3926" s="3">
        <v>1425.0</v>
      </c>
      <c r="B3926" s="3">
        <v>94.0</v>
      </c>
      <c r="C3926" s="3">
        <v>2.0</v>
      </c>
      <c r="D3926" t="str">
        <f>VLOOKUP(B3926,ERA_MOTIF_TYPES.csv!$A$1:$C$119,2,1)</f>
        <v>Basin</v>
      </c>
      <c r="E3926" t="str">
        <f>VLOOKUP(A3926,Panels!$A$1:$E$2104,5,0)</f>
        <v>Whitley Pike</v>
      </c>
    </row>
    <row r="3927">
      <c r="A3927" s="3">
        <v>1426.0</v>
      </c>
      <c r="B3927" s="3">
        <v>1.0</v>
      </c>
      <c r="C3927" s="3">
        <v>12.0</v>
      </c>
      <c r="D3927" t="str">
        <f>VLOOKUP(B3927,ERA_MOTIF_TYPES.csv!$A$1:$C$119,2,1)</f>
        <v>Cups Single</v>
      </c>
      <c r="E3927" t="str">
        <f>VLOOKUP(A3927,Panels!$A$1:$E$2104,5,0)</f>
        <v>Davy's Lee</v>
      </c>
    </row>
    <row r="3928">
      <c r="A3928" s="3">
        <v>1426.0</v>
      </c>
      <c r="B3928" s="3">
        <v>52.0</v>
      </c>
      <c r="C3928" s="3">
        <v>10.0</v>
      </c>
      <c r="D3928" t="str">
        <f>VLOOKUP(B3928,ERA_MOTIF_TYPES.csv!$A$1:$C$119,2,1)</f>
        <v>Single or multiple cups</v>
      </c>
      <c r="E3928" t="str">
        <f>VLOOKUP(A3928,Panels!$A$1:$E$2104,5,0)</f>
        <v>Davy's Lee</v>
      </c>
    </row>
    <row r="3929">
      <c r="A3929" s="3">
        <v>1427.0</v>
      </c>
      <c r="B3929" s="3">
        <v>1.0</v>
      </c>
      <c r="C3929" s="3">
        <v>2.0</v>
      </c>
      <c r="D3929" t="str">
        <f>VLOOKUP(B3929,ERA_MOTIF_TYPES.csv!$A$1:$C$119,2,1)</f>
        <v>Cups Single</v>
      </c>
      <c r="E3929" t="str">
        <f>VLOOKUP(A3929,Panels!$A$1:$E$2104,5,0)</f>
        <v>King Wanless Green (cist)</v>
      </c>
    </row>
    <row r="3930">
      <c r="A3930" s="3">
        <v>1429.0</v>
      </c>
      <c r="B3930" s="3">
        <v>1.0</v>
      </c>
      <c r="C3930" s="3">
        <v>11.0</v>
      </c>
      <c r="D3930" t="str">
        <f>VLOOKUP(B3930,ERA_MOTIF_TYPES.csv!$A$1:$C$119,2,1)</f>
        <v>Cups Single</v>
      </c>
      <c r="E3930" t="str">
        <f>VLOOKUP(A3930,Panels!$A$1:$E$2104,5,0)</f>
        <v>Greenlee Lough</v>
      </c>
    </row>
    <row r="3931">
      <c r="A3931" s="3">
        <v>1429.0</v>
      </c>
      <c r="B3931" s="3">
        <v>52.0</v>
      </c>
      <c r="C3931" s="3">
        <v>10.0</v>
      </c>
      <c r="D3931" t="str">
        <f>VLOOKUP(B3931,ERA_MOTIF_TYPES.csv!$A$1:$C$119,2,1)</f>
        <v>Single or multiple cups</v>
      </c>
      <c r="E3931" t="str">
        <f>VLOOKUP(A3931,Panels!$A$1:$E$2104,5,0)</f>
        <v>Greenlee Lough</v>
      </c>
    </row>
    <row r="3932">
      <c r="A3932" s="3">
        <v>1430.0</v>
      </c>
      <c r="B3932" s="3">
        <v>1.0</v>
      </c>
      <c r="C3932" s="3">
        <v>2.0</v>
      </c>
      <c r="D3932" t="str">
        <f>VLOOKUP(B3932,ERA_MOTIF_TYPES.csv!$A$1:$C$119,2,1)</f>
        <v>Cups Single</v>
      </c>
      <c r="E3932" t="str">
        <f>VLOOKUP(A3932,Panels!$A$1:$E$2104,5,0)</f>
        <v>Greenlee Lough</v>
      </c>
    </row>
    <row r="3933">
      <c r="A3933" s="3">
        <v>1430.0</v>
      </c>
      <c r="B3933" s="3">
        <v>27.0</v>
      </c>
      <c r="C3933" s="3">
        <v>1.0</v>
      </c>
      <c r="D3933" t="str">
        <f>VLOOKUP(B3933,ERA_MOTIF_TYPES.csv!$A$1:$C$119,2,1)</f>
        <v>Serpentine</v>
      </c>
      <c r="E3933" t="str">
        <f>VLOOKUP(A3933,Panels!$A$1:$E$2104,5,0)</f>
        <v>Greenlee Lough</v>
      </c>
    </row>
    <row r="3934">
      <c r="A3934" s="3">
        <v>1430.0</v>
      </c>
      <c r="B3934" s="3">
        <v>90.0</v>
      </c>
      <c r="C3934" s="3">
        <v>1.0</v>
      </c>
      <c r="D3934" t="str">
        <f>VLOOKUP(B3934,ERA_MOTIF_TYPES.csv!$A$1:$C$119,2,1)</f>
        <v>Serpentine groove</v>
      </c>
      <c r="E3934" t="str">
        <f>VLOOKUP(A3934,Panels!$A$1:$E$2104,5,0)</f>
        <v>Greenlee Lough</v>
      </c>
    </row>
    <row r="3935">
      <c r="A3935" s="3">
        <v>1430.0</v>
      </c>
      <c r="B3935" s="3">
        <v>94.0</v>
      </c>
      <c r="C3935" s="3">
        <v>2.0</v>
      </c>
      <c r="D3935" t="str">
        <f>VLOOKUP(B3935,ERA_MOTIF_TYPES.csv!$A$1:$C$119,2,1)</f>
        <v>Basin</v>
      </c>
      <c r="E3935" t="str">
        <f>VLOOKUP(A3935,Panels!$A$1:$E$2104,5,0)</f>
        <v>Greenlee Lough</v>
      </c>
    </row>
    <row r="3936">
      <c r="A3936" s="3">
        <v>1431.0</v>
      </c>
      <c r="B3936" s="3">
        <v>1.0</v>
      </c>
      <c r="C3936" s="3">
        <v>5.0</v>
      </c>
      <c r="D3936" t="str">
        <f>VLOOKUP(B3936,ERA_MOTIF_TYPES.csv!$A$1:$C$119,2,1)</f>
        <v>Cups Single</v>
      </c>
      <c r="E3936" t="str">
        <f>VLOOKUP(A3936,Panels!$A$1:$E$2104,5,0)</f>
        <v>GoatstonesThe Four Poster - West</v>
      </c>
    </row>
    <row r="3937">
      <c r="A3937" s="3">
        <v>1431.0</v>
      </c>
      <c r="B3937" s="3">
        <v>52.0</v>
      </c>
      <c r="C3937" s="3">
        <v>16.0</v>
      </c>
      <c r="D3937" t="str">
        <f>VLOOKUP(B3937,ERA_MOTIF_TYPES.csv!$A$1:$C$119,2,1)</f>
        <v>Single or multiple cups</v>
      </c>
      <c r="E3937" t="str">
        <f>VLOOKUP(A3937,Panels!$A$1:$E$2104,5,0)</f>
        <v>GoatstonesThe Four Poster - West</v>
      </c>
    </row>
    <row r="3938">
      <c r="A3938" s="3">
        <v>1432.0</v>
      </c>
      <c r="B3938" s="3">
        <v>1.0</v>
      </c>
      <c r="C3938" s="3">
        <v>2.0</v>
      </c>
      <c r="D3938" t="str">
        <f>VLOOKUP(B3938,ERA_MOTIF_TYPES.csv!$A$1:$C$119,2,1)</f>
        <v>Cups Single</v>
      </c>
      <c r="E3938" t="str">
        <f>VLOOKUP(A3938,Panels!$A$1:$E$2104,5,0)</f>
        <v>Goatstones The Four Poster - North</v>
      </c>
    </row>
    <row r="3939">
      <c r="A3939" s="3">
        <v>1432.0</v>
      </c>
      <c r="B3939" s="3">
        <v>31.0</v>
      </c>
      <c r="C3939" s="3">
        <v>1.0</v>
      </c>
      <c r="D3939" t="str">
        <f>VLOOKUP(B3939,ERA_MOTIF_TYPES.csv!$A$1:$C$119,2,1)</f>
        <v>Cup and Groove</v>
      </c>
      <c r="E3939" t="str">
        <f>VLOOKUP(A3939,Panels!$A$1:$E$2104,5,0)</f>
        <v>Goatstones The Four Poster - North</v>
      </c>
    </row>
    <row r="3940">
      <c r="A3940" s="3">
        <v>1432.0</v>
      </c>
      <c r="B3940" s="3">
        <v>52.0</v>
      </c>
      <c r="C3940" s="3">
        <v>4.0</v>
      </c>
      <c r="D3940" t="str">
        <f>VLOOKUP(B3940,ERA_MOTIF_TYPES.csv!$A$1:$C$119,2,1)</f>
        <v>Single or multiple cups</v>
      </c>
      <c r="E3940" t="str">
        <f>VLOOKUP(A3940,Panels!$A$1:$E$2104,5,0)</f>
        <v>Goatstones The Four Poster - North</v>
      </c>
    </row>
    <row r="3941">
      <c r="A3941" s="3">
        <v>1433.0</v>
      </c>
      <c r="B3941" s="3">
        <v>1.0</v>
      </c>
      <c r="C3941" s="3">
        <v>2.0</v>
      </c>
      <c r="D3941" t="str">
        <f>VLOOKUP(B3941,ERA_MOTIF_TYPES.csv!$A$1:$C$119,2,1)</f>
        <v>Cups Single</v>
      </c>
      <c r="E3941" t="str">
        <f>VLOOKUP(A3941,Panels!$A$1:$E$2104,5,0)</f>
        <v>Goatstones The Four Poster - South</v>
      </c>
    </row>
    <row r="3942">
      <c r="A3942" s="3">
        <v>1433.0</v>
      </c>
      <c r="B3942" s="3">
        <v>50.0</v>
      </c>
      <c r="C3942" s="3">
        <v>3.0</v>
      </c>
      <c r="D3942" t="str">
        <f>VLOOKUP(B3942,ERA_MOTIF_TYPES.csv!$A$1:$C$119,2,1)</f>
        <v>Channels</v>
      </c>
      <c r="E3942" t="str">
        <f>VLOOKUP(A3942,Panels!$A$1:$E$2104,5,0)</f>
        <v>Goatstones The Four Poster - South</v>
      </c>
    </row>
    <row r="3943">
      <c r="A3943" s="3">
        <v>1433.0</v>
      </c>
      <c r="B3943" s="3">
        <v>51.0</v>
      </c>
      <c r="C3943" s="3">
        <v>1.0</v>
      </c>
      <c r="D3943" t="str">
        <f>VLOOKUP(B3943,ERA_MOTIF_TYPES.csv!$A$1:$C$119,2,1)</f>
        <v>Bowls</v>
      </c>
      <c r="E3943" t="str">
        <f>VLOOKUP(A3943,Panels!$A$1:$E$2104,5,0)</f>
        <v>Goatstones The Four Poster - South</v>
      </c>
    </row>
    <row r="3944">
      <c r="A3944" s="3">
        <v>1433.0</v>
      </c>
      <c r="B3944" s="3">
        <v>52.0</v>
      </c>
      <c r="C3944" s="3">
        <v>4.0</v>
      </c>
      <c r="D3944" t="str">
        <f>VLOOKUP(B3944,ERA_MOTIF_TYPES.csv!$A$1:$C$119,2,1)</f>
        <v>Single or multiple cups</v>
      </c>
      <c r="E3944" t="str">
        <f>VLOOKUP(A3944,Panels!$A$1:$E$2104,5,0)</f>
        <v>Goatstones The Four Poster - South</v>
      </c>
    </row>
    <row r="3945">
      <c r="A3945" s="3">
        <v>1433.0</v>
      </c>
      <c r="B3945" s="3">
        <v>87.0</v>
      </c>
      <c r="C3945" s="3">
        <v>2.0</v>
      </c>
      <c r="D3945" t="str">
        <f>VLOOKUP(B3945,ERA_MOTIF_TYPES.csv!$A$1:$C$119,2,1)</f>
        <v>Linear and angular groove</v>
      </c>
      <c r="E3945" t="str">
        <f>VLOOKUP(A3945,Panels!$A$1:$E$2104,5,0)</f>
        <v>Goatstones The Four Poster - South</v>
      </c>
    </row>
    <row r="3946">
      <c r="A3946" s="3">
        <v>1434.0</v>
      </c>
      <c r="B3946" s="3">
        <v>1.0</v>
      </c>
      <c r="C3946" s="3">
        <v>12.0</v>
      </c>
      <c r="D3946" t="str">
        <f>VLOOKUP(B3946,ERA_MOTIF_TYPES.csv!$A$1:$C$119,2,1)</f>
        <v>Cups Single</v>
      </c>
      <c r="E3946" t="str">
        <f>VLOOKUP(A3946,Panels!$A$1:$E$2104,5,0)</f>
        <v>Goatstones The Four Poster - East</v>
      </c>
    </row>
    <row r="3947">
      <c r="A3947" s="3">
        <v>1434.0</v>
      </c>
      <c r="B3947" s="3">
        <v>50.0</v>
      </c>
      <c r="C3947" s="3">
        <v>1.0</v>
      </c>
      <c r="D3947" t="str">
        <f>VLOOKUP(B3947,ERA_MOTIF_TYPES.csv!$A$1:$C$119,2,1)</f>
        <v>Channels</v>
      </c>
      <c r="E3947" t="str">
        <f>VLOOKUP(A3947,Panels!$A$1:$E$2104,5,0)</f>
        <v>Goatstones The Four Poster - East</v>
      </c>
    </row>
    <row r="3948">
      <c r="A3948" s="3">
        <v>1434.0</v>
      </c>
      <c r="B3948" s="3">
        <v>52.0</v>
      </c>
      <c r="C3948" s="3">
        <v>25.0</v>
      </c>
      <c r="D3948" t="str">
        <f>VLOOKUP(B3948,ERA_MOTIF_TYPES.csv!$A$1:$C$119,2,1)</f>
        <v>Single or multiple cups</v>
      </c>
      <c r="E3948" t="str">
        <f>VLOOKUP(A3948,Panels!$A$1:$E$2104,5,0)</f>
        <v>Goatstones The Four Poster - East</v>
      </c>
    </row>
    <row r="3949">
      <c r="A3949" s="3">
        <v>1435.0</v>
      </c>
      <c r="B3949" s="3">
        <v>1.0</v>
      </c>
      <c r="C3949" s="3">
        <v>1.0</v>
      </c>
      <c r="D3949" t="str">
        <f>VLOOKUP(B3949,ERA_MOTIF_TYPES.csv!$A$1:$C$119,2,1)</f>
        <v>Cups Single</v>
      </c>
      <c r="E3949" t="str">
        <f>VLOOKUP(A3949,Panels!$A$1:$E$2104,5,0)</f>
        <v>Goatstones</v>
      </c>
    </row>
    <row r="3950">
      <c r="A3950" s="3">
        <v>1436.0</v>
      </c>
      <c r="B3950" s="3">
        <v>1.0</v>
      </c>
      <c r="C3950" s="3">
        <v>1.0</v>
      </c>
      <c r="D3950" t="str">
        <f>VLOOKUP(B3950,ERA_MOTIF_TYPES.csv!$A$1:$C$119,2,1)</f>
        <v>Cups Single</v>
      </c>
      <c r="E3950" t="str">
        <f>VLOOKUP(A3950,Panels!$A$1:$E$2104,5,0)</f>
        <v>Goatstones</v>
      </c>
    </row>
    <row r="3951">
      <c r="A3951" s="3">
        <v>1436.0</v>
      </c>
      <c r="B3951" s="3">
        <v>25.0</v>
      </c>
      <c r="C3951" s="3">
        <v>1.0</v>
      </c>
      <c r="D3951" t="str">
        <f>VLOOKUP(B3951,ERA_MOTIF_TYPES.csv!$A$1:$C$119,2,1)</f>
        <v>Linear</v>
      </c>
      <c r="E3951" t="str">
        <f>VLOOKUP(A3951,Panels!$A$1:$E$2104,5,0)</f>
        <v>Goatstones</v>
      </c>
    </row>
    <row r="3952">
      <c r="A3952" s="3">
        <v>1437.0</v>
      </c>
      <c r="B3952" s="3">
        <v>1.0</v>
      </c>
      <c r="C3952" s="3">
        <v>3.0</v>
      </c>
      <c r="D3952" t="str">
        <f>VLOOKUP(B3952,ERA_MOTIF_TYPES.csv!$A$1:$C$119,2,1)</f>
        <v>Cups Single</v>
      </c>
      <c r="E3952" t="str">
        <f>VLOOKUP(A3952,Panels!$A$1:$E$2104,5,0)</f>
        <v>Goatstones</v>
      </c>
    </row>
    <row r="3953">
      <c r="A3953" s="3">
        <v>1438.0</v>
      </c>
      <c r="B3953" s="3">
        <v>1.0</v>
      </c>
      <c r="C3953" s="3">
        <v>1.0</v>
      </c>
      <c r="D3953" t="str">
        <f>VLOOKUP(B3953,ERA_MOTIF_TYPES.csv!$A$1:$C$119,2,1)</f>
        <v>Cups Single</v>
      </c>
      <c r="E3953" t="str">
        <f>VLOOKUP(A3953,Panels!$A$1:$E$2104,5,0)</f>
        <v>Goatstones</v>
      </c>
    </row>
    <row r="3954">
      <c r="A3954" s="3">
        <v>1439.0</v>
      </c>
      <c r="B3954" s="3">
        <v>1.0</v>
      </c>
      <c r="C3954" s="3">
        <v>1.0</v>
      </c>
      <c r="D3954" t="str">
        <f>VLOOKUP(B3954,ERA_MOTIF_TYPES.csv!$A$1:$C$119,2,1)</f>
        <v>Cups Single</v>
      </c>
      <c r="E3954" t="str">
        <f>VLOOKUP(A3954,Panels!$A$1:$E$2104,5,0)</f>
        <v>Goatstones e</v>
      </c>
    </row>
    <row r="3955">
      <c r="A3955" s="3">
        <v>1439.0</v>
      </c>
      <c r="B3955" s="3">
        <v>52.0</v>
      </c>
      <c r="C3955" s="3">
        <v>2.0</v>
      </c>
      <c r="D3955" t="str">
        <f>VLOOKUP(B3955,ERA_MOTIF_TYPES.csv!$A$1:$C$119,2,1)</f>
        <v>Single or multiple cups</v>
      </c>
      <c r="E3955" t="str">
        <f>VLOOKUP(A3955,Panels!$A$1:$E$2104,5,0)</f>
        <v>Goatstones e</v>
      </c>
    </row>
    <row r="3956">
      <c r="A3956" s="3">
        <v>1440.0</v>
      </c>
      <c r="B3956" s="3">
        <v>1.0</v>
      </c>
      <c r="C3956" s="3">
        <v>1.0</v>
      </c>
      <c r="D3956" t="str">
        <f>VLOOKUP(B3956,ERA_MOTIF_TYPES.csv!$A$1:$C$119,2,1)</f>
        <v>Cups Single</v>
      </c>
      <c r="E3956" t="str">
        <f>VLOOKUP(A3956,Panels!$A$1:$E$2104,5,0)</f>
        <v>Goatstones</v>
      </c>
    </row>
    <row r="3957">
      <c r="A3957" s="3">
        <v>1441.0</v>
      </c>
      <c r="B3957" s="3">
        <v>1.0</v>
      </c>
      <c r="C3957" s="3">
        <v>6.0</v>
      </c>
      <c r="D3957" t="str">
        <f>VLOOKUP(B3957,ERA_MOTIF_TYPES.csv!$A$1:$C$119,2,1)</f>
        <v>Cups Single</v>
      </c>
      <c r="E3957" t="str">
        <f>VLOOKUP(A3957,Panels!$A$1:$E$2104,5,0)</f>
        <v>Goatstones a</v>
      </c>
    </row>
    <row r="3958">
      <c r="A3958" s="3">
        <v>1441.0</v>
      </c>
      <c r="B3958" s="3">
        <v>55.0</v>
      </c>
      <c r="C3958" s="3">
        <v>1.0</v>
      </c>
      <c r="D3958" t="str">
        <f>VLOOKUP(B3958,ERA_MOTIF_TYPES.csv!$A$1:$C$119,2,1)</f>
        <v>Cups in a straight or curved line</v>
      </c>
      <c r="E3958" t="str">
        <f>VLOOKUP(A3958,Panels!$A$1:$E$2104,5,0)</f>
        <v>Goatstones a</v>
      </c>
    </row>
    <row r="3959">
      <c r="A3959" s="3">
        <v>1441.0</v>
      </c>
      <c r="B3959" s="3">
        <v>100.0</v>
      </c>
      <c r="C3959" s="3">
        <v>2.0</v>
      </c>
      <c r="D3959" t="str">
        <f>VLOOKUP(B3959,ERA_MOTIF_TYPES.csv!$A$1:$C$119,2,1)</f>
        <v>Pick marks</v>
      </c>
      <c r="E3959" t="str">
        <f>VLOOKUP(A3959,Panels!$A$1:$E$2104,5,0)</f>
        <v>Goatstones a</v>
      </c>
    </row>
    <row r="3960">
      <c r="A3960" s="3">
        <v>1442.0</v>
      </c>
      <c r="B3960" s="3">
        <v>1.0</v>
      </c>
      <c r="C3960" s="3">
        <v>1.0</v>
      </c>
      <c r="D3960" t="str">
        <f>VLOOKUP(B3960,ERA_MOTIF_TYPES.csv!$A$1:$C$119,2,1)</f>
        <v>Cups Single</v>
      </c>
      <c r="E3960" t="str">
        <f>VLOOKUP(A3960,Panels!$A$1:$E$2104,5,0)</f>
        <v>Goatstones</v>
      </c>
    </row>
    <row r="3961">
      <c r="A3961" s="3">
        <v>1443.0</v>
      </c>
      <c r="B3961" s="3">
        <v>1.0</v>
      </c>
      <c r="C3961" s="3">
        <v>3.0</v>
      </c>
      <c r="D3961" t="str">
        <f>VLOOKUP(B3961,ERA_MOTIF_TYPES.csv!$A$1:$C$119,2,1)</f>
        <v>Cups Single</v>
      </c>
      <c r="E3961" t="str">
        <f>VLOOKUP(A3961,Panels!$A$1:$E$2104,5,0)</f>
        <v>Goatstones d</v>
      </c>
    </row>
    <row r="3962">
      <c r="A3962" s="3">
        <v>1443.0</v>
      </c>
      <c r="B3962" s="3">
        <v>52.0</v>
      </c>
      <c r="C3962" s="3">
        <v>4.0</v>
      </c>
      <c r="D3962" t="str">
        <f>VLOOKUP(B3962,ERA_MOTIF_TYPES.csv!$A$1:$C$119,2,1)</f>
        <v>Single or multiple cups</v>
      </c>
      <c r="E3962" t="str">
        <f>VLOOKUP(A3962,Panels!$A$1:$E$2104,5,0)</f>
        <v>Goatstones d</v>
      </c>
    </row>
    <row r="3963">
      <c r="A3963" s="3">
        <v>1444.0</v>
      </c>
      <c r="B3963" s="3">
        <v>1.0</v>
      </c>
      <c r="C3963" s="3">
        <v>1.0</v>
      </c>
      <c r="D3963" t="str">
        <f>VLOOKUP(B3963,ERA_MOTIF_TYPES.csv!$A$1:$C$119,2,1)</f>
        <v>Cups Single</v>
      </c>
      <c r="E3963" t="str">
        <f>VLOOKUP(A3963,Panels!$A$1:$E$2104,5,0)</f>
        <v>Goatstones b</v>
      </c>
    </row>
    <row r="3964">
      <c r="A3964" s="3">
        <v>1444.0</v>
      </c>
      <c r="B3964" s="3">
        <v>55.0</v>
      </c>
      <c r="C3964" s="3">
        <v>1.0</v>
      </c>
      <c r="D3964" t="str">
        <f>VLOOKUP(B3964,ERA_MOTIF_TYPES.csv!$A$1:$C$119,2,1)</f>
        <v>Cups in a straight or curved line</v>
      </c>
      <c r="E3964" t="str">
        <f>VLOOKUP(A3964,Panels!$A$1:$E$2104,5,0)</f>
        <v>Goatstones b</v>
      </c>
    </row>
    <row r="3965">
      <c r="A3965" s="3">
        <v>1445.0</v>
      </c>
      <c r="B3965" s="3">
        <v>1.0</v>
      </c>
      <c r="C3965" s="3">
        <v>1.0</v>
      </c>
      <c r="D3965" t="str">
        <f>VLOOKUP(B3965,ERA_MOTIF_TYPES.csv!$A$1:$C$119,2,1)</f>
        <v>Cups Single</v>
      </c>
      <c r="E3965" t="str">
        <f>VLOOKUP(A3965,Panels!$A$1:$E$2104,5,0)</f>
        <v>Goatstones i</v>
      </c>
    </row>
    <row r="3966">
      <c r="A3966" s="3">
        <v>1445.0</v>
      </c>
      <c r="B3966" s="3">
        <v>52.0</v>
      </c>
      <c r="C3966" s="3">
        <v>1.0</v>
      </c>
      <c r="D3966" t="str">
        <f>VLOOKUP(B3966,ERA_MOTIF_TYPES.csv!$A$1:$C$119,2,1)</f>
        <v>Single or multiple cups</v>
      </c>
      <c r="E3966" t="str">
        <f>VLOOKUP(A3966,Panels!$A$1:$E$2104,5,0)</f>
        <v>Goatstones i</v>
      </c>
    </row>
    <row r="3967">
      <c r="A3967" s="3">
        <v>1446.0</v>
      </c>
      <c r="B3967" s="3">
        <v>52.0</v>
      </c>
      <c r="C3967" s="3">
        <v>2.0</v>
      </c>
      <c r="D3967" t="str">
        <f>VLOOKUP(B3967,ERA_MOTIF_TYPES.csv!$A$1:$C$119,2,1)</f>
        <v>Single or multiple cups</v>
      </c>
      <c r="E3967" t="str">
        <f>VLOOKUP(A3967,Panels!$A$1:$E$2104,5,0)</f>
        <v>Goatstones c</v>
      </c>
    </row>
    <row r="3968">
      <c r="A3968" s="3">
        <v>1447.0</v>
      </c>
      <c r="B3968" s="3">
        <v>52.0</v>
      </c>
      <c r="C3968" s="3">
        <v>9.0</v>
      </c>
      <c r="D3968" t="str">
        <f>VLOOKUP(B3968,ERA_MOTIF_TYPES.csv!$A$1:$C$119,2,1)</f>
        <v>Single or multiple cups</v>
      </c>
      <c r="E3968" t="str">
        <f>VLOOKUP(A3968,Panels!$A$1:$E$2104,5,0)</f>
        <v>Goatstones f</v>
      </c>
    </row>
    <row r="3969">
      <c r="A3969" s="3">
        <v>1448.0</v>
      </c>
      <c r="B3969" s="3">
        <v>52.0</v>
      </c>
      <c r="C3969" s="3">
        <v>6.0</v>
      </c>
      <c r="D3969" t="str">
        <f>VLOOKUP(B3969,ERA_MOTIF_TYPES.csv!$A$1:$C$119,2,1)</f>
        <v>Single or multiple cups</v>
      </c>
      <c r="E3969" t="str">
        <f>VLOOKUP(A3969,Panels!$A$1:$E$2104,5,0)</f>
        <v>Goatstones g</v>
      </c>
    </row>
    <row r="3970">
      <c r="A3970" s="3">
        <v>1449.0</v>
      </c>
      <c r="B3970" s="3">
        <v>1.0</v>
      </c>
      <c r="C3970" s="3">
        <v>1.0</v>
      </c>
      <c r="D3970" t="str">
        <f>VLOOKUP(B3970,ERA_MOTIF_TYPES.csv!$A$1:$C$119,2,1)</f>
        <v>Cups Single</v>
      </c>
      <c r="E3970" t="str">
        <f>VLOOKUP(A3970,Panels!$A$1:$E$2104,5,0)</f>
        <v>Goatstones h</v>
      </c>
    </row>
    <row r="3971">
      <c r="A3971" s="3">
        <v>1449.0</v>
      </c>
      <c r="B3971" s="3">
        <v>52.0</v>
      </c>
      <c r="C3971" s="3">
        <v>1.0</v>
      </c>
      <c r="D3971" t="str">
        <f>VLOOKUP(B3971,ERA_MOTIF_TYPES.csv!$A$1:$C$119,2,1)</f>
        <v>Single or multiple cups</v>
      </c>
      <c r="E3971" t="str">
        <f>VLOOKUP(A3971,Panels!$A$1:$E$2104,5,0)</f>
        <v>Goatstones h</v>
      </c>
    </row>
    <row r="3972">
      <c r="A3972" s="3">
        <v>1450.0</v>
      </c>
      <c r="B3972" s="3">
        <v>1.0</v>
      </c>
      <c r="C3972" s="3">
        <v>1.0</v>
      </c>
      <c r="D3972" t="str">
        <f>VLOOKUP(B3972,ERA_MOTIF_TYPES.csv!$A$1:$C$119,2,1)</f>
        <v>Cups Single</v>
      </c>
      <c r="E3972" t="str">
        <f>VLOOKUP(A3972,Panels!$A$1:$E$2104,5,0)</f>
        <v>Goatstones l</v>
      </c>
    </row>
    <row r="3973">
      <c r="A3973" s="3">
        <v>1450.0</v>
      </c>
      <c r="B3973" s="3">
        <v>52.0</v>
      </c>
      <c r="C3973" s="3">
        <v>5.0</v>
      </c>
      <c r="D3973" t="str">
        <f>VLOOKUP(B3973,ERA_MOTIF_TYPES.csv!$A$1:$C$119,2,1)</f>
        <v>Single or multiple cups</v>
      </c>
      <c r="E3973" t="str">
        <f>VLOOKUP(A3973,Panels!$A$1:$E$2104,5,0)</f>
        <v>Goatstones l</v>
      </c>
    </row>
    <row r="3974">
      <c r="A3974" s="3">
        <v>1451.0</v>
      </c>
      <c r="B3974" s="3">
        <v>1.0</v>
      </c>
      <c r="C3974" s="3">
        <v>3.0</v>
      </c>
      <c r="D3974" t="str">
        <f>VLOOKUP(B3974,ERA_MOTIF_TYPES.csv!$A$1:$C$119,2,1)</f>
        <v>Cups Single</v>
      </c>
      <c r="E3974" t="str">
        <f>VLOOKUP(A3974,Panels!$A$1:$E$2104,5,0)</f>
        <v>Goatstones k</v>
      </c>
    </row>
    <row r="3975">
      <c r="A3975" s="3">
        <v>1451.0</v>
      </c>
      <c r="B3975" s="3">
        <v>25.0</v>
      </c>
      <c r="C3975" s="3">
        <v>2.0</v>
      </c>
      <c r="D3975" t="str">
        <f>VLOOKUP(B3975,ERA_MOTIF_TYPES.csv!$A$1:$C$119,2,1)</f>
        <v>Linear</v>
      </c>
      <c r="E3975" t="str">
        <f>VLOOKUP(A3975,Panels!$A$1:$E$2104,5,0)</f>
        <v>Goatstones k</v>
      </c>
    </row>
    <row r="3976">
      <c r="A3976" s="3">
        <v>1451.0</v>
      </c>
      <c r="B3976" s="3">
        <v>52.0</v>
      </c>
      <c r="C3976" s="3">
        <v>16.0</v>
      </c>
      <c r="D3976" t="str">
        <f>VLOOKUP(B3976,ERA_MOTIF_TYPES.csv!$A$1:$C$119,2,1)</f>
        <v>Single or multiple cups</v>
      </c>
      <c r="E3976" t="str">
        <f>VLOOKUP(A3976,Panels!$A$1:$E$2104,5,0)</f>
        <v>Goatstones k</v>
      </c>
    </row>
    <row r="3977">
      <c r="A3977" s="3">
        <v>1451.0</v>
      </c>
      <c r="B3977" s="3">
        <v>87.0</v>
      </c>
      <c r="C3977" s="3">
        <v>1.0</v>
      </c>
      <c r="D3977" t="str">
        <f>VLOOKUP(B3977,ERA_MOTIF_TYPES.csv!$A$1:$C$119,2,1)</f>
        <v>Linear and angular groove</v>
      </c>
      <c r="E3977" t="str">
        <f>VLOOKUP(A3977,Panels!$A$1:$E$2104,5,0)</f>
        <v>Goatstones k</v>
      </c>
    </row>
    <row r="3978">
      <c r="A3978" s="3">
        <v>1452.0</v>
      </c>
      <c r="B3978" s="3">
        <v>1.0</v>
      </c>
      <c r="C3978" s="3">
        <v>3.0</v>
      </c>
      <c r="D3978" t="str">
        <f>VLOOKUP(B3978,ERA_MOTIF_TYPES.csv!$A$1:$C$119,2,1)</f>
        <v>Cups Single</v>
      </c>
      <c r="E3978" t="str">
        <f>VLOOKUP(A3978,Panels!$A$1:$E$2104,5,0)</f>
        <v>Goatstones</v>
      </c>
    </row>
    <row r="3979">
      <c r="A3979" s="3">
        <v>1453.0</v>
      </c>
      <c r="B3979" s="3">
        <v>1.0</v>
      </c>
      <c r="C3979" s="3">
        <v>1.0</v>
      </c>
      <c r="D3979" t="str">
        <f>VLOOKUP(B3979,ERA_MOTIF_TYPES.csv!$A$1:$C$119,2,1)</f>
        <v>Cups Single</v>
      </c>
      <c r="E3979" t="str">
        <f>VLOOKUP(A3979,Panels!$A$1:$E$2104,5,0)</f>
        <v>Goatstones</v>
      </c>
    </row>
    <row r="3980">
      <c r="A3980" s="3">
        <v>1453.0</v>
      </c>
      <c r="B3980" s="3">
        <v>52.0</v>
      </c>
      <c r="C3980" s="3">
        <v>2.0</v>
      </c>
      <c r="D3980" t="str">
        <f>VLOOKUP(B3980,ERA_MOTIF_TYPES.csv!$A$1:$C$119,2,1)</f>
        <v>Single or multiple cups</v>
      </c>
      <c r="E3980" t="str">
        <f>VLOOKUP(A3980,Panels!$A$1:$E$2104,5,0)</f>
        <v>Goatstones</v>
      </c>
    </row>
    <row r="3981">
      <c r="A3981" s="3">
        <v>1454.0</v>
      </c>
      <c r="B3981" s="3">
        <v>1.0</v>
      </c>
      <c r="C3981" s="3">
        <v>1.0</v>
      </c>
      <c r="D3981" t="str">
        <f>VLOOKUP(B3981,ERA_MOTIF_TYPES.csv!$A$1:$C$119,2,1)</f>
        <v>Cups Single</v>
      </c>
      <c r="E3981" t="str">
        <f>VLOOKUP(A3981,Panels!$A$1:$E$2104,5,0)</f>
        <v>Goatstones j</v>
      </c>
    </row>
    <row r="3982">
      <c r="A3982" s="3">
        <v>1454.0</v>
      </c>
      <c r="B3982" s="3">
        <v>52.0</v>
      </c>
      <c r="C3982" s="3">
        <v>1.0</v>
      </c>
      <c r="D3982" t="str">
        <f>VLOOKUP(B3982,ERA_MOTIF_TYPES.csv!$A$1:$C$119,2,1)</f>
        <v>Single or multiple cups</v>
      </c>
      <c r="E3982" t="str">
        <f>VLOOKUP(A3982,Panels!$A$1:$E$2104,5,0)</f>
        <v>Goatstones j</v>
      </c>
    </row>
    <row r="3983">
      <c r="A3983" s="3">
        <v>1455.0</v>
      </c>
      <c r="B3983" s="3">
        <v>1.0</v>
      </c>
      <c r="C3983" s="3">
        <v>1.0</v>
      </c>
      <c r="D3983" t="str">
        <f>VLOOKUP(B3983,ERA_MOTIF_TYPES.csv!$A$1:$C$119,2,1)</f>
        <v>Cups Single</v>
      </c>
      <c r="E3983" t="str">
        <f>VLOOKUP(A3983,Panels!$A$1:$E$2104,5,0)</f>
        <v>Goatstones n</v>
      </c>
    </row>
    <row r="3984">
      <c r="A3984" s="3">
        <v>1455.0</v>
      </c>
      <c r="B3984" s="3">
        <v>52.0</v>
      </c>
      <c r="C3984" s="3">
        <v>1.0</v>
      </c>
      <c r="D3984" t="str">
        <f>VLOOKUP(B3984,ERA_MOTIF_TYPES.csv!$A$1:$C$119,2,1)</f>
        <v>Single or multiple cups</v>
      </c>
      <c r="E3984" t="str">
        <f>VLOOKUP(A3984,Panels!$A$1:$E$2104,5,0)</f>
        <v>Goatstones n</v>
      </c>
    </row>
    <row r="3985">
      <c r="A3985" s="3">
        <v>1456.0</v>
      </c>
      <c r="B3985" s="3">
        <v>1.0</v>
      </c>
      <c r="C3985" s="3">
        <v>6.0</v>
      </c>
      <c r="D3985" t="str">
        <f>VLOOKUP(B3985,ERA_MOTIF_TYPES.csv!$A$1:$C$119,2,1)</f>
        <v>Cups Single</v>
      </c>
      <c r="E3985" t="str">
        <f>VLOOKUP(A3985,Panels!$A$1:$E$2104,5,0)</f>
        <v>Goatstones o</v>
      </c>
    </row>
    <row r="3986">
      <c r="A3986" s="3">
        <v>1456.0</v>
      </c>
      <c r="B3986" s="3">
        <v>52.0</v>
      </c>
      <c r="C3986" s="3">
        <v>3.0</v>
      </c>
      <c r="D3986" t="str">
        <f>VLOOKUP(B3986,ERA_MOTIF_TYPES.csv!$A$1:$C$119,2,1)</f>
        <v>Single or multiple cups</v>
      </c>
      <c r="E3986" t="str">
        <f>VLOOKUP(A3986,Panels!$A$1:$E$2104,5,0)</f>
        <v>Goatstones o</v>
      </c>
    </row>
    <row r="3987">
      <c r="A3987" s="3">
        <v>1457.0</v>
      </c>
      <c r="B3987" s="3">
        <v>1.0</v>
      </c>
      <c r="C3987" s="3">
        <v>3.0</v>
      </c>
      <c r="D3987" t="str">
        <f>VLOOKUP(B3987,ERA_MOTIF_TYPES.csv!$A$1:$C$119,2,1)</f>
        <v>Cups Single</v>
      </c>
      <c r="E3987" t="str">
        <f>VLOOKUP(A3987,Panels!$A$1:$E$2104,5,0)</f>
        <v>Goatstones p</v>
      </c>
    </row>
    <row r="3988">
      <c r="A3988" s="3">
        <v>1457.0</v>
      </c>
      <c r="B3988" s="3">
        <v>52.0</v>
      </c>
      <c r="C3988" s="3">
        <v>3.0</v>
      </c>
      <c r="D3988" t="str">
        <f>VLOOKUP(B3988,ERA_MOTIF_TYPES.csv!$A$1:$C$119,2,1)</f>
        <v>Single or multiple cups</v>
      </c>
      <c r="E3988" t="str">
        <f>VLOOKUP(A3988,Panels!$A$1:$E$2104,5,0)</f>
        <v>Goatstones p</v>
      </c>
    </row>
    <row r="3989">
      <c r="A3989" s="3">
        <v>1458.0</v>
      </c>
      <c r="B3989" s="3">
        <v>1.0</v>
      </c>
      <c r="C3989" s="3">
        <v>3.0</v>
      </c>
      <c r="D3989" t="str">
        <f>VLOOKUP(B3989,ERA_MOTIF_TYPES.csv!$A$1:$C$119,2,1)</f>
        <v>Cups Single</v>
      </c>
      <c r="E3989" t="str">
        <f>VLOOKUP(A3989,Panels!$A$1:$E$2104,5,0)</f>
        <v>Goatstones</v>
      </c>
    </row>
    <row r="3990">
      <c r="A3990" s="3">
        <v>1459.0</v>
      </c>
      <c r="B3990" s="3">
        <v>1.0</v>
      </c>
      <c r="C3990" s="3">
        <v>6.0</v>
      </c>
      <c r="D3990" t="str">
        <f>VLOOKUP(B3990,ERA_MOTIF_TYPES.csv!$A$1:$C$119,2,1)</f>
        <v>Cups Single</v>
      </c>
      <c r="E3990" t="str">
        <f>VLOOKUP(A3990,Panels!$A$1:$E$2104,5,0)</f>
        <v>Goatstones</v>
      </c>
    </row>
    <row r="3991">
      <c r="A3991" s="3">
        <v>1460.0</v>
      </c>
      <c r="B3991" s="3">
        <v>1.0</v>
      </c>
      <c r="C3991" s="3">
        <v>1.0</v>
      </c>
      <c r="D3991" t="str">
        <f>VLOOKUP(B3991,ERA_MOTIF_TYPES.csv!$A$1:$C$119,2,1)</f>
        <v>Cups Single</v>
      </c>
      <c r="E3991" t="str">
        <f>VLOOKUP(A3991,Panels!$A$1:$E$2104,5,0)</f>
        <v>Goatstones</v>
      </c>
    </row>
    <row r="3992">
      <c r="A3992" s="3">
        <v>1461.0</v>
      </c>
      <c r="B3992" s="3">
        <v>1.0</v>
      </c>
      <c r="C3992" s="3">
        <v>4.0</v>
      </c>
      <c r="D3992" t="str">
        <f>VLOOKUP(B3992,ERA_MOTIF_TYPES.csv!$A$1:$C$119,2,1)</f>
        <v>Cups Single</v>
      </c>
      <c r="E3992" t="str">
        <f>VLOOKUP(A3992,Panels!$A$1:$E$2104,5,0)</f>
        <v>Mount Farm, Simonburn</v>
      </c>
    </row>
    <row r="3993">
      <c r="A3993" s="3">
        <v>1461.0</v>
      </c>
      <c r="B3993" s="3">
        <v>31.0</v>
      </c>
      <c r="C3993" s="3">
        <v>1.0</v>
      </c>
      <c r="D3993" t="str">
        <f>VLOOKUP(B3993,ERA_MOTIF_TYPES.csv!$A$1:$C$119,2,1)</f>
        <v>Cup and Groove</v>
      </c>
      <c r="E3993" t="str">
        <f>VLOOKUP(A3993,Panels!$A$1:$E$2104,5,0)</f>
        <v>Mount Farm, Simonburn</v>
      </c>
    </row>
    <row r="3994">
      <c r="A3994" s="3">
        <v>1461.0</v>
      </c>
      <c r="B3994" s="3">
        <v>52.0</v>
      </c>
      <c r="C3994" s="3">
        <v>34.0</v>
      </c>
      <c r="D3994" t="str">
        <f>VLOOKUP(B3994,ERA_MOTIF_TYPES.csv!$A$1:$C$119,2,1)</f>
        <v>Single or multiple cups</v>
      </c>
      <c r="E3994" t="str">
        <f>VLOOKUP(A3994,Panels!$A$1:$E$2104,5,0)</f>
        <v>Mount Farm, Simonburn</v>
      </c>
    </row>
    <row r="3995">
      <c r="A3995" s="3">
        <v>1461.0</v>
      </c>
      <c r="B3995" s="3">
        <v>105.0</v>
      </c>
      <c r="C3995" s="3">
        <v>3.0</v>
      </c>
      <c r="D3995" t="str">
        <f>VLOOKUP(B3995,ERA_MOTIF_TYPES.csv!$A$1:$C$119,2,1)</f>
        <v>Two cups linked by a groove</v>
      </c>
      <c r="E3995" t="str">
        <f>VLOOKUP(A3995,Panels!$A$1:$E$2104,5,0)</f>
        <v>Mount Farm, Simonburn</v>
      </c>
    </row>
    <row r="3996">
      <c r="A3996" s="3">
        <v>1462.0</v>
      </c>
      <c r="B3996" s="3">
        <v>33.0</v>
      </c>
      <c r="C3996" s="3">
        <v>2.0</v>
      </c>
      <c r="D3996" t="str">
        <f>VLOOKUP(B3996,ERA_MOTIF_TYPES.csv!$A$1:$C$119,2,1)</f>
        <v>Cup Groove and multi ring</v>
      </c>
      <c r="E3996" t="str">
        <f>VLOOKUP(A3996,Panels!$A$1:$E$2104,5,0)</f>
        <v>Carr Hill</v>
      </c>
    </row>
    <row r="3997">
      <c r="A3997" s="3">
        <v>1462.0</v>
      </c>
      <c r="B3997" s="3">
        <v>66.0</v>
      </c>
      <c r="C3997" s="3">
        <v>1.0</v>
      </c>
      <c r="D3997" t="str">
        <f>VLOOKUP(B3997,ERA_MOTIF_TYPES.csv!$A$1:$C$119,2,1)</f>
        <v>Cup and groove with multiple penannulars</v>
      </c>
      <c r="E3997" t="str">
        <f>VLOOKUP(A3997,Panels!$A$1:$E$2104,5,0)</f>
        <v>Carr Hill</v>
      </c>
    </row>
    <row r="3998">
      <c r="A3998" s="3">
        <v>1462.0</v>
      </c>
      <c r="B3998" s="3">
        <v>67.0</v>
      </c>
      <c r="C3998" s="3">
        <v>1.0</v>
      </c>
      <c r="D3998" t="str">
        <f>VLOOKUP(B3998,ERA_MOTIF_TYPES.csv!$A$1:$C$119,2,1)</f>
        <v>Cup and groove with arc</v>
      </c>
      <c r="E3998" t="str">
        <f>VLOOKUP(A3998,Panels!$A$1:$E$2104,5,0)</f>
        <v>Carr Hill</v>
      </c>
    </row>
    <row r="3999">
      <c r="A3999" s="3">
        <v>1462.0</v>
      </c>
      <c r="B3999" s="3">
        <v>70.0</v>
      </c>
      <c r="C3999" s="3">
        <v>1.0</v>
      </c>
      <c r="D3999" t="str">
        <f>VLOOKUP(B3999,ERA_MOTIF_TYPES.csv!$A$1:$C$119,2,1)</f>
        <v>Concentric rings</v>
      </c>
      <c r="E3999" t="str">
        <f>VLOOKUP(A3999,Panels!$A$1:$E$2104,5,0)</f>
        <v>Carr Hill</v>
      </c>
    </row>
    <row r="4000">
      <c r="A4000" s="3">
        <v>1462.0</v>
      </c>
      <c r="B4000" s="3">
        <v>71.0</v>
      </c>
      <c r="C4000" s="3">
        <v>2.0</v>
      </c>
      <c r="D4000" t="str">
        <f>VLOOKUP(B4000,ERA_MOTIF_TYPES.csv!$A$1:$C$119,2,1)</f>
        <v>Penannular</v>
      </c>
      <c r="E4000" t="str">
        <f>VLOOKUP(A4000,Panels!$A$1:$E$2104,5,0)</f>
        <v>Carr Hill</v>
      </c>
    </row>
    <row r="4001">
      <c r="A4001" s="3">
        <v>1462.0</v>
      </c>
      <c r="B4001" s="3">
        <v>110.0</v>
      </c>
      <c r="C4001" s="3">
        <v>1.0</v>
      </c>
      <c r="D4001" t="str">
        <f>VLOOKUP(B4001,ERA_MOTIF_TYPES.csv!$A$1:$C$119,2,1)</f>
        <v>Curved groove</v>
      </c>
      <c r="E4001" t="str">
        <f>VLOOKUP(A4001,Panels!$A$1:$E$2104,5,0)</f>
        <v>Carr Hill</v>
      </c>
    </row>
    <row r="4002">
      <c r="A4002" s="3">
        <v>1463.0</v>
      </c>
      <c r="B4002" s="3">
        <v>69.0</v>
      </c>
      <c r="C4002" s="3">
        <v>1.0</v>
      </c>
      <c r="D4002" t="str">
        <f>VLOOKUP(B4002,ERA_MOTIF_TYPES.csv!$A$1:$C$119,2,1)</f>
        <v>Ring</v>
      </c>
      <c r="E4002" t="str">
        <f>VLOOKUP(A4002,Panels!$A$1:$E$2104,5,0)</f>
        <v>Carr Hill</v>
      </c>
    </row>
    <row r="4003">
      <c r="A4003" s="3">
        <v>1463.0</v>
      </c>
      <c r="B4003" s="3">
        <v>87.0</v>
      </c>
      <c r="C4003" s="3">
        <v>1.0</v>
      </c>
      <c r="D4003" t="str">
        <f>VLOOKUP(B4003,ERA_MOTIF_TYPES.csv!$A$1:$C$119,2,1)</f>
        <v>Linear and angular groove</v>
      </c>
      <c r="E4003" t="str">
        <f>VLOOKUP(A4003,Panels!$A$1:$E$2104,5,0)</f>
        <v>Carr Hill</v>
      </c>
    </row>
    <row r="4004">
      <c r="A4004" s="3">
        <v>1464.0</v>
      </c>
      <c r="B4004" s="3">
        <v>52.0</v>
      </c>
      <c r="C4004" s="3">
        <v>1.0</v>
      </c>
      <c r="D4004" t="str">
        <f>VLOOKUP(B4004,ERA_MOTIF_TYPES.csv!$A$1:$C$119,2,1)</f>
        <v>Single or multiple cups</v>
      </c>
      <c r="E4004" t="str">
        <f>VLOOKUP(A4004,Panels!$A$1:$E$2104,5,0)</f>
        <v>Carr Hill</v>
      </c>
    </row>
    <row r="4005">
      <c r="A4005" s="3">
        <v>1464.0</v>
      </c>
      <c r="B4005" s="3">
        <v>73.0</v>
      </c>
      <c r="C4005" s="3">
        <v>1.0</v>
      </c>
      <c r="D4005" t="str">
        <f>VLOOKUP(B4005,ERA_MOTIF_TYPES.csv!$A$1:$C$119,2,1)</f>
        <v>Arc</v>
      </c>
      <c r="E4005" t="str">
        <f>VLOOKUP(A4005,Panels!$A$1:$E$2104,5,0)</f>
        <v>Carr Hill</v>
      </c>
    </row>
    <row r="4006">
      <c r="A4006" s="3">
        <v>1465.0</v>
      </c>
      <c r="B4006" s="3">
        <v>1.0</v>
      </c>
      <c r="C4006" s="3">
        <v>13.0</v>
      </c>
      <c r="D4006" t="str">
        <f>VLOOKUP(B4006,ERA_MOTIF_TYPES.csv!$A$1:$C$119,2,1)</f>
        <v>Cups Single</v>
      </c>
      <c r="E4006" t="str">
        <f>VLOOKUP(A4006,Panels!$A$1:$E$2104,5,0)</f>
        <v>Carr Hill</v>
      </c>
    </row>
    <row r="4007">
      <c r="A4007" s="3">
        <v>1465.0</v>
      </c>
      <c r="B4007" s="3">
        <v>52.0</v>
      </c>
      <c r="C4007" s="3">
        <v>16.0</v>
      </c>
      <c r="D4007" t="str">
        <f>VLOOKUP(B4007,ERA_MOTIF_TYPES.csv!$A$1:$C$119,2,1)</f>
        <v>Single or multiple cups</v>
      </c>
      <c r="E4007" t="str">
        <f>VLOOKUP(A4007,Panels!$A$1:$E$2104,5,0)</f>
        <v>Carr Hill</v>
      </c>
    </row>
    <row r="4008">
      <c r="A4008" s="3">
        <v>1466.0</v>
      </c>
      <c r="B4008" s="3">
        <v>1.0</v>
      </c>
      <c r="C4008" s="3">
        <v>1.0</v>
      </c>
      <c r="D4008" t="str">
        <f>VLOOKUP(B4008,ERA_MOTIF_TYPES.csv!$A$1:$C$119,2,1)</f>
        <v>Cups Single</v>
      </c>
      <c r="E4008" t="str">
        <f>VLOOKUP(A4008,Panels!$A$1:$E$2104,5,0)</f>
        <v>Carr Hill</v>
      </c>
    </row>
    <row r="4009">
      <c r="A4009" s="3">
        <v>1466.0</v>
      </c>
      <c r="B4009" s="3">
        <v>52.0</v>
      </c>
      <c r="C4009" s="3">
        <v>2.0</v>
      </c>
      <c r="D4009" t="str">
        <f>VLOOKUP(B4009,ERA_MOTIF_TYPES.csv!$A$1:$C$119,2,1)</f>
        <v>Single or multiple cups</v>
      </c>
      <c r="E4009" t="str">
        <f>VLOOKUP(A4009,Panels!$A$1:$E$2104,5,0)</f>
        <v>Carr Hill</v>
      </c>
    </row>
    <row r="4010">
      <c r="A4010" s="3">
        <v>1467.0</v>
      </c>
      <c r="B4010" s="3">
        <v>1.0</v>
      </c>
      <c r="C4010" s="3">
        <v>1.0</v>
      </c>
      <c r="D4010" t="str">
        <f>VLOOKUP(B4010,ERA_MOTIF_TYPES.csv!$A$1:$C$119,2,1)</f>
        <v>Cups Single</v>
      </c>
      <c r="E4010" t="str">
        <f>VLOOKUP(A4010,Panels!$A$1:$E$2104,5,0)</f>
        <v>Carr Hill</v>
      </c>
    </row>
    <row r="4011">
      <c r="A4011" s="3">
        <v>1467.0</v>
      </c>
      <c r="B4011" s="3">
        <v>52.0</v>
      </c>
      <c r="C4011" s="3">
        <v>1.0</v>
      </c>
      <c r="D4011" t="str">
        <f>VLOOKUP(B4011,ERA_MOTIF_TYPES.csv!$A$1:$C$119,2,1)</f>
        <v>Single or multiple cups</v>
      </c>
      <c r="E4011" t="str">
        <f>VLOOKUP(A4011,Panels!$A$1:$E$2104,5,0)</f>
        <v>Carr Hill</v>
      </c>
    </row>
    <row r="4012">
      <c r="A4012" s="3">
        <v>1468.0</v>
      </c>
      <c r="B4012" s="3">
        <v>1.0</v>
      </c>
      <c r="C4012" s="3">
        <v>1.0</v>
      </c>
      <c r="D4012" t="str">
        <f>VLOOKUP(B4012,ERA_MOTIF_TYPES.csv!$A$1:$C$119,2,1)</f>
        <v>Cups Single</v>
      </c>
      <c r="E4012" t="str">
        <f>VLOOKUP(A4012,Panels!$A$1:$E$2104,5,0)</f>
        <v>Carr Hill</v>
      </c>
    </row>
    <row r="4013">
      <c r="A4013" s="3">
        <v>1468.0</v>
      </c>
      <c r="B4013" s="3">
        <v>50.0</v>
      </c>
      <c r="C4013" s="3">
        <v>1.0</v>
      </c>
      <c r="D4013" t="str">
        <f>VLOOKUP(B4013,ERA_MOTIF_TYPES.csv!$A$1:$C$119,2,1)</f>
        <v>Channels</v>
      </c>
      <c r="E4013" t="str">
        <f>VLOOKUP(A4013,Panels!$A$1:$E$2104,5,0)</f>
        <v>Carr Hill</v>
      </c>
    </row>
    <row r="4014">
      <c r="A4014" s="3">
        <v>1468.0</v>
      </c>
      <c r="B4014" s="3">
        <v>61.0</v>
      </c>
      <c r="C4014" s="3">
        <v>1.0</v>
      </c>
      <c r="D4014" t="str">
        <f>VLOOKUP(B4014,ERA_MOTIF_TYPES.csv!$A$1:$C$119,2,1)</f>
        <v>Cup and arc (or semi-ovoid)</v>
      </c>
      <c r="E4014" t="str">
        <f>VLOOKUP(A4014,Panels!$A$1:$E$2104,5,0)</f>
        <v>Carr Hill</v>
      </c>
    </row>
    <row r="4015">
      <c r="A4015" s="3">
        <v>1469.0</v>
      </c>
      <c r="B4015" s="3">
        <v>7.0</v>
      </c>
      <c r="C4015" s="3">
        <v>1.0</v>
      </c>
      <c r="D4015" t="str">
        <f>VLOOKUP(B4015,ERA_MOTIF_TYPES.csv!$A$1:$C$119,2,1)</f>
        <v>Single Ring</v>
      </c>
      <c r="E4015" t="str">
        <f>VLOOKUP(A4015,Panels!$A$1:$E$2104,5,0)</f>
        <v>Carr Hill</v>
      </c>
    </row>
    <row r="4016">
      <c r="A4016" s="3">
        <v>1469.0</v>
      </c>
      <c r="B4016" s="3">
        <v>70.0</v>
      </c>
      <c r="C4016" s="3">
        <v>1.0</v>
      </c>
      <c r="D4016" t="str">
        <f>VLOOKUP(B4016,ERA_MOTIF_TYPES.csv!$A$1:$C$119,2,1)</f>
        <v>Concentric rings</v>
      </c>
      <c r="E4016" t="str">
        <f>VLOOKUP(A4016,Panels!$A$1:$E$2104,5,0)</f>
        <v>Carr Hill</v>
      </c>
    </row>
    <row r="4017">
      <c r="A4017" s="3">
        <v>1470.0</v>
      </c>
      <c r="B4017" s="3">
        <v>1.0</v>
      </c>
      <c r="C4017" s="3">
        <v>2.0</v>
      </c>
      <c r="D4017" t="str">
        <f>VLOOKUP(B4017,ERA_MOTIF_TYPES.csv!$A$1:$C$119,2,1)</f>
        <v>Cups Single</v>
      </c>
      <c r="E4017" t="str">
        <f>VLOOKUP(A4017,Panels!$A$1:$E$2104,5,0)</f>
        <v>Carr Hill</v>
      </c>
    </row>
    <row r="4018">
      <c r="A4018" s="3">
        <v>1470.0</v>
      </c>
      <c r="B4018" s="3">
        <v>10.0</v>
      </c>
      <c r="C4018" s="3">
        <v>1.0</v>
      </c>
      <c r="D4018" t="str">
        <f>VLOOKUP(B4018,ERA_MOTIF_TYPES.csv!$A$1:$C$119,2,1)</f>
        <v>Single Arc</v>
      </c>
      <c r="E4018" t="str">
        <f>VLOOKUP(A4018,Panels!$A$1:$E$2104,5,0)</f>
        <v>Carr Hill</v>
      </c>
    </row>
    <row r="4019">
      <c r="A4019" s="3">
        <v>1470.0</v>
      </c>
      <c r="B4019" s="3">
        <v>31.0</v>
      </c>
      <c r="C4019" s="3">
        <v>4.0</v>
      </c>
      <c r="D4019" t="str">
        <f>VLOOKUP(B4019,ERA_MOTIF_TYPES.csv!$A$1:$C$119,2,1)</f>
        <v>Cup and Groove</v>
      </c>
      <c r="E4019" t="str">
        <f>VLOOKUP(A4019,Panels!$A$1:$E$2104,5,0)</f>
        <v>Carr Hill</v>
      </c>
    </row>
    <row r="4020">
      <c r="A4020" s="3">
        <v>1472.0</v>
      </c>
      <c r="B4020" s="3">
        <v>1.0</v>
      </c>
      <c r="C4020" s="3">
        <v>1.0</v>
      </c>
      <c r="D4020" t="str">
        <f>VLOOKUP(B4020,ERA_MOTIF_TYPES.csv!$A$1:$C$119,2,1)</f>
        <v>Cups Single</v>
      </c>
      <c r="E4020" t="str">
        <f>VLOOKUP(A4020,Panels!$A$1:$E$2104,5,0)</f>
        <v>Carr Hill</v>
      </c>
    </row>
    <row r="4021">
      <c r="A4021" s="3">
        <v>1473.0</v>
      </c>
      <c r="B4021" s="3">
        <v>1.0</v>
      </c>
      <c r="C4021" s="3">
        <v>4.0</v>
      </c>
      <c r="D4021" t="str">
        <f>VLOOKUP(B4021,ERA_MOTIF_TYPES.csv!$A$1:$C$119,2,1)</f>
        <v>Cups Single</v>
      </c>
      <c r="E4021" t="str">
        <f>VLOOKUP(A4021,Panels!$A$1:$E$2104,5,0)</f>
        <v>Carr Hill</v>
      </c>
    </row>
    <row r="4022">
      <c r="A4022" s="3">
        <v>1474.0</v>
      </c>
      <c r="B4022" s="3">
        <v>1.0</v>
      </c>
      <c r="C4022" s="3">
        <v>1.0</v>
      </c>
      <c r="D4022" t="str">
        <f>VLOOKUP(B4022,ERA_MOTIF_TYPES.csv!$A$1:$C$119,2,1)</f>
        <v>Cups Single</v>
      </c>
      <c r="E4022" t="str">
        <f>VLOOKUP(A4022,Panels!$A$1:$E$2104,5,0)</f>
        <v>Carr Hill</v>
      </c>
    </row>
    <row r="4023">
      <c r="A4023" s="3">
        <v>1474.0</v>
      </c>
      <c r="B4023" s="3">
        <v>50.0</v>
      </c>
      <c r="C4023" s="3">
        <v>1.0</v>
      </c>
      <c r="D4023" t="str">
        <f>VLOOKUP(B4023,ERA_MOTIF_TYPES.csv!$A$1:$C$119,2,1)</f>
        <v>Channels</v>
      </c>
      <c r="E4023" t="str">
        <f>VLOOKUP(A4023,Panels!$A$1:$E$2104,5,0)</f>
        <v>Carr Hill</v>
      </c>
    </row>
    <row r="4024">
      <c r="A4024" s="3">
        <v>1474.0</v>
      </c>
      <c r="B4024" s="3">
        <v>51.0</v>
      </c>
      <c r="C4024" s="3">
        <v>1.0</v>
      </c>
      <c r="D4024" t="str">
        <f>VLOOKUP(B4024,ERA_MOTIF_TYPES.csv!$A$1:$C$119,2,1)</f>
        <v>Bowls</v>
      </c>
      <c r="E4024" t="str">
        <f>VLOOKUP(A4024,Panels!$A$1:$E$2104,5,0)</f>
        <v>Carr Hill</v>
      </c>
    </row>
    <row r="4025">
      <c r="A4025" s="3">
        <v>1475.0</v>
      </c>
      <c r="B4025" s="3">
        <v>13.0</v>
      </c>
      <c r="C4025" s="3">
        <v>1.0</v>
      </c>
      <c r="D4025" t="str">
        <f>VLOOKUP(B4025,ERA_MOTIF_TYPES.csv!$A$1:$C$119,2,1)</f>
        <v>Single Ring + cup</v>
      </c>
      <c r="E4025" t="str">
        <f>VLOOKUP(A4025,Panels!$A$1:$E$2104,5,0)</f>
        <v>Carr Hill</v>
      </c>
    </row>
    <row r="4026">
      <c r="A4026" s="3">
        <v>1475.0</v>
      </c>
      <c r="B4026" s="3">
        <v>50.0</v>
      </c>
      <c r="C4026" s="3">
        <v>1.0</v>
      </c>
      <c r="D4026" t="str">
        <f>VLOOKUP(B4026,ERA_MOTIF_TYPES.csv!$A$1:$C$119,2,1)</f>
        <v>Channels</v>
      </c>
      <c r="E4026" t="str">
        <f>VLOOKUP(A4026,Panels!$A$1:$E$2104,5,0)</f>
        <v>Carr Hill</v>
      </c>
    </row>
    <row r="4027">
      <c r="A4027" s="3">
        <v>1476.0</v>
      </c>
      <c r="B4027" s="3">
        <v>1.0</v>
      </c>
      <c r="C4027" s="3">
        <v>4.0</v>
      </c>
      <c r="D4027" t="str">
        <f>VLOOKUP(B4027,ERA_MOTIF_TYPES.csv!$A$1:$C$119,2,1)</f>
        <v>Cups Single</v>
      </c>
      <c r="E4027" t="str">
        <f>VLOOKUP(A4027,Panels!$A$1:$E$2104,5,0)</f>
        <v>Carr Hill</v>
      </c>
    </row>
    <row r="4028">
      <c r="A4028" s="3">
        <v>1476.0</v>
      </c>
      <c r="B4028" s="3">
        <v>50.0</v>
      </c>
      <c r="C4028" s="3">
        <v>1.0</v>
      </c>
      <c r="D4028" t="str">
        <f>VLOOKUP(B4028,ERA_MOTIF_TYPES.csv!$A$1:$C$119,2,1)</f>
        <v>Channels</v>
      </c>
      <c r="E4028" t="str">
        <f>VLOOKUP(A4028,Panels!$A$1:$E$2104,5,0)</f>
        <v>Carr Hill</v>
      </c>
    </row>
    <row r="4029">
      <c r="A4029" s="3">
        <v>1476.0</v>
      </c>
      <c r="B4029" s="3">
        <v>51.0</v>
      </c>
      <c r="C4029" s="3">
        <v>1.0</v>
      </c>
      <c r="D4029" t="str">
        <f>VLOOKUP(B4029,ERA_MOTIF_TYPES.csv!$A$1:$C$119,2,1)</f>
        <v>Bowls</v>
      </c>
      <c r="E4029" t="str">
        <f>VLOOKUP(A4029,Panels!$A$1:$E$2104,5,0)</f>
        <v>Carr Hill</v>
      </c>
    </row>
    <row r="4030">
      <c r="A4030" s="3">
        <v>1477.0</v>
      </c>
      <c r="B4030" s="3">
        <v>1.0</v>
      </c>
      <c r="C4030" s="3">
        <v>26.0</v>
      </c>
      <c r="D4030" t="str">
        <f>VLOOKUP(B4030,ERA_MOTIF_TYPES.csv!$A$1:$C$119,2,1)</f>
        <v>Cups Single</v>
      </c>
      <c r="E4030" t="str">
        <f>VLOOKUP(A4030,Panels!$A$1:$E$2104,5,0)</f>
        <v>Matfen Standing Stone</v>
      </c>
    </row>
    <row r="4031">
      <c r="A4031" s="3">
        <v>1477.0</v>
      </c>
      <c r="B4031" s="3">
        <v>50.0</v>
      </c>
      <c r="C4031" s="3">
        <v>7.0</v>
      </c>
      <c r="D4031" t="str">
        <f>VLOOKUP(B4031,ERA_MOTIF_TYPES.csv!$A$1:$C$119,2,1)</f>
        <v>Channels</v>
      </c>
      <c r="E4031" t="str">
        <f>VLOOKUP(A4031,Panels!$A$1:$E$2104,5,0)</f>
        <v>Matfen Standing Stone</v>
      </c>
    </row>
    <row r="4032">
      <c r="A4032" s="3">
        <v>1477.0</v>
      </c>
      <c r="B4032" s="3">
        <v>52.0</v>
      </c>
      <c r="C4032" s="3">
        <v>60.0</v>
      </c>
      <c r="D4032" t="str">
        <f>VLOOKUP(B4032,ERA_MOTIF_TYPES.csv!$A$1:$C$119,2,1)</f>
        <v>Single or multiple cups</v>
      </c>
      <c r="E4032" t="str">
        <f>VLOOKUP(A4032,Panels!$A$1:$E$2104,5,0)</f>
        <v>Matfen Standing Stone</v>
      </c>
    </row>
    <row r="4033">
      <c r="A4033" s="3">
        <v>1477.0</v>
      </c>
      <c r="B4033" s="3">
        <v>61.0</v>
      </c>
      <c r="C4033" s="3">
        <v>1.0</v>
      </c>
      <c r="D4033" t="str">
        <f>VLOOKUP(B4033,ERA_MOTIF_TYPES.csv!$A$1:$C$119,2,1)</f>
        <v>Cup and arc (or semi-ovoid)</v>
      </c>
      <c r="E4033" t="str">
        <f>VLOOKUP(A4033,Panels!$A$1:$E$2104,5,0)</f>
        <v>Matfen Standing Stone</v>
      </c>
    </row>
    <row r="4034">
      <c r="A4034" s="3">
        <v>1478.0</v>
      </c>
      <c r="B4034" s="3">
        <v>1.0</v>
      </c>
      <c r="C4034" s="3">
        <v>10.0</v>
      </c>
      <c r="D4034" t="str">
        <f>VLOOKUP(B4034,ERA_MOTIF_TYPES.csv!$A$1:$C$119,2,1)</f>
        <v>Cups Single</v>
      </c>
      <c r="E4034" t="str">
        <f>VLOOKUP(A4034,Panels!$A$1:$E$2104,5,0)</f>
        <v>Swinburne Standing Stone</v>
      </c>
    </row>
    <row r="4035">
      <c r="A4035" s="3">
        <v>1478.0</v>
      </c>
      <c r="B4035" s="3">
        <v>50.0</v>
      </c>
      <c r="C4035" s="3">
        <v>1.0</v>
      </c>
      <c r="D4035" t="str">
        <f>VLOOKUP(B4035,ERA_MOTIF_TYPES.csv!$A$1:$C$119,2,1)</f>
        <v>Channels</v>
      </c>
      <c r="E4035" t="str">
        <f>VLOOKUP(A4035,Panels!$A$1:$E$2104,5,0)</f>
        <v>Swinburne Standing Stone</v>
      </c>
    </row>
    <row r="4036">
      <c r="A4036" s="3">
        <v>1478.0</v>
      </c>
      <c r="B4036" s="3">
        <v>52.0</v>
      </c>
      <c r="C4036" s="3">
        <v>30.0</v>
      </c>
      <c r="D4036" t="str">
        <f>VLOOKUP(B4036,ERA_MOTIF_TYPES.csv!$A$1:$C$119,2,1)</f>
        <v>Single or multiple cups</v>
      </c>
      <c r="E4036" t="str">
        <f>VLOOKUP(A4036,Panels!$A$1:$E$2104,5,0)</f>
        <v>Swinburne Standing Stone</v>
      </c>
    </row>
    <row r="4037">
      <c r="A4037" s="3">
        <v>1479.0</v>
      </c>
      <c r="B4037" s="3">
        <v>1.0</v>
      </c>
      <c r="C4037" s="3">
        <v>1.0</v>
      </c>
      <c r="D4037" t="str">
        <f>VLOOKUP(B4037,ERA_MOTIF_TYPES.csv!$A$1:$C$119,2,1)</f>
        <v>Cups Single</v>
      </c>
      <c r="E4037" t="str">
        <f>VLOOKUP(A4037,Panels!$A$1:$E$2104,5,0)</f>
        <v>Warrior Stone</v>
      </c>
    </row>
    <row r="4038">
      <c r="A4038" s="3">
        <v>1479.0</v>
      </c>
      <c r="B4038" s="3">
        <v>52.0</v>
      </c>
      <c r="C4038" s="3">
        <v>11.0</v>
      </c>
      <c r="D4038" t="str">
        <f>VLOOKUP(B4038,ERA_MOTIF_TYPES.csv!$A$1:$C$119,2,1)</f>
        <v>Single or multiple cups</v>
      </c>
      <c r="E4038" t="str">
        <f>VLOOKUP(A4038,Panels!$A$1:$E$2104,5,0)</f>
        <v>Warrior Stone</v>
      </c>
    </row>
    <row r="4039">
      <c r="A4039" s="3">
        <v>1480.0</v>
      </c>
      <c r="B4039" s="3">
        <v>1.0</v>
      </c>
      <c r="C4039" s="3">
        <v>2.0</v>
      </c>
      <c r="D4039" t="str">
        <f>VLOOKUP(B4039,ERA_MOTIF_TYPES.csv!$A$1:$C$119,2,1)</f>
        <v>Cups Single</v>
      </c>
      <c r="E4039" t="str">
        <f>VLOOKUP(A4039,Panels!$A$1:$E$2104,5,0)</f>
        <v>Ingoe, Sandyway Heads</v>
      </c>
    </row>
    <row r="4040">
      <c r="A4040" s="3">
        <v>1480.0</v>
      </c>
      <c r="B4040" s="3">
        <v>33.0</v>
      </c>
      <c r="C4040" s="3">
        <v>1.0</v>
      </c>
      <c r="D4040" t="str">
        <f>VLOOKUP(B4040,ERA_MOTIF_TYPES.csv!$A$1:$C$119,2,1)</f>
        <v>Cup Groove and multi ring</v>
      </c>
      <c r="E4040" t="str">
        <f>VLOOKUP(A4040,Panels!$A$1:$E$2104,5,0)</f>
        <v>Ingoe, Sandyway Heads</v>
      </c>
    </row>
    <row r="4041">
      <c r="A4041" s="3">
        <v>1480.0</v>
      </c>
      <c r="B4041" s="3">
        <v>52.0</v>
      </c>
      <c r="C4041" s="3">
        <v>1.0</v>
      </c>
      <c r="D4041" t="str">
        <f>VLOOKUP(B4041,ERA_MOTIF_TYPES.csv!$A$1:$C$119,2,1)</f>
        <v>Single or multiple cups</v>
      </c>
      <c r="E4041" t="str">
        <f>VLOOKUP(A4041,Panels!$A$1:$E$2104,5,0)</f>
        <v>Ingoe, Sandyway Heads</v>
      </c>
    </row>
    <row r="4042">
      <c r="A4042" s="3">
        <v>1480.0</v>
      </c>
      <c r="B4042" s="3">
        <v>64.0</v>
      </c>
      <c r="C4042" s="3">
        <v>1.0</v>
      </c>
      <c r="D4042" t="str">
        <f>VLOOKUP(B4042,ERA_MOTIF_TYPES.csv!$A$1:$C$119,2,1)</f>
        <v>Cup with groove cutting through multiple rings</v>
      </c>
      <c r="E4042" t="str">
        <f>VLOOKUP(A4042,Panels!$A$1:$E$2104,5,0)</f>
        <v>Ingoe, Sandyway Heads</v>
      </c>
    </row>
    <row r="4043">
      <c r="A4043" s="3">
        <v>1480.0</v>
      </c>
      <c r="B4043" s="3">
        <v>87.0</v>
      </c>
      <c r="C4043" s="3">
        <v>2.0</v>
      </c>
      <c r="D4043" t="str">
        <f>VLOOKUP(B4043,ERA_MOTIF_TYPES.csv!$A$1:$C$119,2,1)</f>
        <v>Linear and angular groove</v>
      </c>
      <c r="E4043" t="str">
        <f>VLOOKUP(A4043,Panels!$A$1:$E$2104,5,0)</f>
        <v>Ingoe, Sandyway Heads</v>
      </c>
    </row>
    <row r="4044">
      <c r="A4044" s="3">
        <v>1480.0</v>
      </c>
      <c r="B4044" s="3">
        <v>100.0</v>
      </c>
      <c r="C4044" s="3">
        <v>1.0</v>
      </c>
      <c r="D4044" t="str">
        <f>VLOOKUP(B4044,ERA_MOTIF_TYPES.csv!$A$1:$C$119,2,1)</f>
        <v>Pick marks</v>
      </c>
      <c r="E4044" t="str">
        <f>VLOOKUP(A4044,Panels!$A$1:$E$2104,5,0)</f>
        <v>Ingoe, Sandyway Heads</v>
      </c>
    </row>
    <row r="4045">
      <c r="A4045" s="3">
        <v>1480.0</v>
      </c>
      <c r="B4045" s="3">
        <v>103.0</v>
      </c>
      <c r="C4045" s="3">
        <v>1.0</v>
      </c>
      <c r="D4045" t="str">
        <f>VLOOKUP(B4045,ERA_MOTIF_TYPES.csv!$A$1:$C$119,2,1)</f>
        <v>Cup and groove</v>
      </c>
      <c r="E4045" t="str">
        <f>VLOOKUP(A4045,Panels!$A$1:$E$2104,5,0)</f>
        <v>Ingoe, Sandyway Heads</v>
      </c>
    </row>
    <row r="4046">
      <c r="A4046" s="3">
        <v>1480.0</v>
      </c>
      <c r="B4046" s="3">
        <v>110.0</v>
      </c>
      <c r="C4046" s="3">
        <v>1.0</v>
      </c>
      <c r="D4046" t="str">
        <f>VLOOKUP(B4046,ERA_MOTIF_TYPES.csv!$A$1:$C$119,2,1)</f>
        <v>Curved groove</v>
      </c>
      <c r="E4046" t="str">
        <f>VLOOKUP(A4046,Panels!$A$1:$E$2104,5,0)</f>
        <v>Ingoe, Sandyway Heads</v>
      </c>
    </row>
    <row r="4047">
      <c r="A4047" s="3">
        <v>1481.0</v>
      </c>
      <c r="B4047" s="3">
        <v>1.0</v>
      </c>
      <c r="C4047" s="3">
        <v>51.0</v>
      </c>
      <c r="D4047" t="str">
        <f>VLOOKUP(B4047,ERA_MOTIF_TYPES.csv!$A$1:$C$119,2,1)</f>
        <v>Cups Single</v>
      </c>
      <c r="E4047" t="str">
        <f>VLOOKUP(A4047,Panels!$A$1:$E$2104,5,0)</f>
        <v>Padon Hill</v>
      </c>
    </row>
    <row r="4048">
      <c r="A4048" s="3">
        <v>1481.0</v>
      </c>
      <c r="B4048" s="3">
        <v>50.0</v>
      </c>
      <c r="C4048" s="3">
        <v>3.0</v>
      </c>
      <c r="D4048" t="str">
        <f>VLOOKUP(B4048,ERA_MOTIF_TYPES.csv!$A$1:$C$119,2,1)</f>
        <v>Channels</v>
      </c>
      <c r="E4048" t="str">
        <f>VLOOKUP(A4048,Panels!$A$1:$E$2104,5,0)</f>
        <v>Padon Hill</v>
      </c>
    </row>
    <row r="4049">
      <c r="A4049" s="3">
        <v>1481.0</v>
      </c>
      <c r="B4049" s="3">
        <v>52.0</v>
      </c>
      <c r="C4049" s="3">
        <v>68.0</v>
      </c>
      <c r="D4049" t="str">
        <f>VLOOKUP(B4049,ERA_MOTIF_TYPES.csv!$A$1:$C$119,2,1)</f>
        <v>Single or multiple cups</v>
      </c>
      <c r="E4049" t="str">
        <f>VLOOKUP(A4049,Panels!$A$1:$E$2104,5,0)</f>
        <v>Padon Hill</v>
      </c>
    </row>
    <row r="4050">
      <c r="A4050" s="3">
        <v>1481.0</v>
      </c>
      <c r="B4050" s="3">
        <v>56.0</v>
      </c>
      <c r="C4050" s="3">
        <v>2.0</v>
      </c>
      <c r="D4050" t="str">
        <f>VLOOKUP(B4050,ERA_MOTIF_TYPES.csv!$A$1:$C$119,2,1)</f>
        <v>Cups countersunk</v>
      </c>
      <c r="E4050" t="str">
        <f>VLOOKUP(A4050,Panels!$A$1:$E$2104,5,0)</f>
        <v>Padon Hill</v>
      </c>
    </row>
    <row r="4051">
      <c r="A4051" s="3">
        <v>1481.0</v>
      </c>
      <c r="B4051" s="3">
        <v>94.0</v>
      </c>
      <c r="C4051" s="3">
        <v>3.0</v>
      </c>
      <c r="D4051" t="str">
        <f>VLOOKUP(B4051,ERA_MOTIF_TYPES.csv!$A$1:$C$119,2,1)</f>
        <v>Basin</v>
      </c>
      <c r="E4051" t="str">
        <f>VLOOKUP(A4051,Panels!$A$1:$E$2104,5,0)</f>
        <v>Padon Hill</v>
      </c>
    </row>
    <row r="4052">
      <c r="A4052" s="3">
        <v>1482.0</v>
      </c>
      <c r="B4052" s="3">
        <v>1.0</v>
      </c>
      <c r="C4052" s="3">
        <v>12.0</v>
      </c>
      <c r="D4052" t="str">
        <f>VLOOKUP(B4052,ERA_MOTIF_TYPES.csv!$A$1:$C$119,2,1)</f>
        <v>Cups Single</v>
      </c>
      <c r="E4052" t="str">
        <f>VLOOKUP(A4052,Panels!$A$1:$E$2104,5,0)</f>
        <v>Padon Hill</v>
      </c>
    </row>
    <row r="4053">
      <c r="A4053" s="3">
        <v>1482.0</v>
      </c>
      <c r="B4053" s="3">
        <v>50.0</v>
      </c>
      <c r="C4053" s="3">
        <v>1.0</v>
      </c>
      <c r="D4053" t="str">
        <f>VLOOKUP(B4053,ERA_MOTIF_TYPES.csv!$A$1:$C$119,2,1)</f>
        <v>Channels</v>
      </c>
      <c r="E4053" t="str">
        <f>VLOOKUP(A4053,Panels!$A$1:$E$2104,5,0)</f>
        <v>Padon Hill</v>
      </c>
    </row>
    <row r="4054">
      <c r="A4054" s="3">
        <v>1482.0</v>
      </c>
      <c r="B4054" s="3">
        <v>51.0</v>
      </c>
      <c r="C4054" s="3">
        <v>2.0</v>
      </c>
      <c r="D4054" t="str">
        <f>VLOOKUP(B4054,ERA_MOTIF_TYPES.csv!$A$1:$C$119,2,1)</f>
        <v>Bowls</v>
      </c>
      <c r="E4054" t="str">
        <f>VLOOKUP(A4054,Panels!$A$1:$E$2104,5,0)</f>
        <v>Padon Hill</v>
      </c>
    </row>
    <row r="4055">
      <c r="A4055" s="3">
        <v>1483.0</v>
      </c>
      <c r="B4055" s="3">
        <v>1.0</v>
      </c>
      <c r="C4055" s="3">
        <v>1.0</v>
      </c>
      <c r="D4055" t="str">
        <f>VLOOKUP(B4055,ERA_MOTIF_TYPES.csv!$A$1:$C$119,2,1)</f>
        <v>Cups Single</v>
      </c>
      <c r="E4055" t="str">
        <f>VLOOKUP(A4055,Panels!$A$1:$E$2104,5,0)</f>
        <v>Padon Hill</v>
      </c>
    </row>
    <row r="4056">
      <c r="A4056" s="3">
        <v>1483.0</v>
      </c>
      <c r="B4056" s="3">
        <v>52.0</v>
      </c>
      <c r="C4056" s="3">
        <v>4.0</v>
      </c>
      <c r="D4056" t="str">
        <f>VLOOKUP(B4056,ERA_MOTIF_TYPES.csv!$A$1:$C$119,2,1)</f>
        <v>Single or multiple cups</v>
      </c>
      <c r="E4056" t="str">
        <f>VLOOKUP(A4056,Panels!$A$1:$E$2104,5,0)</f>
        <v>Padon Hill</v>
      </c>
    </row>
    <row r="4057">
      <c r="A4057" s="3">
        <v>1550.0</v>
      </c>
      <c r="B4057" s="3">
        <v>1.0</v>
      </c>
      <c r="C4057" s="3">
        <v>4.0</v>
      </c>
      <c r="D4057" t="str">
        <f>VLOOKUP(B4057,ERA_MOTIF_TYPES.csv!$A$1:$C$119,2,1)</f>
        <v>Cups Single</v>
      </c>
      <c r="E4057" t="str">
        <f>VLOOKUP(A4057,Panels!$A$1:$E$2104,5,0)</f>
        <v>Scrainwood Quarry</v>
      </c>
    </row>
    <row r="4058">
      <c r="A4058" s="3">
        <v>1550.0</v>
      </c>
      <c r="B4058" s="3">
        <v>52.0</v>
      </c>
      <c r="C4058" s="3">
        <v>3.0</v>
      </c>
      <c r="D4058" t="str">
        <f>VLOOKUP(B4058,ERA_MOTIF_TYPES.csv!$A$1:$C$119,2,1)</f>
        <v>Single or multiple cups</v>
      </c>
      <c r="E4058" t="str">
        <f>VLOOKUP(A4058,Panels!$A$1:$E$2104,5,0)</f>
        <v>Scrainwood Quarry</v>
      </c>
    </row>
    <row r="4059">
      <c r="A4059" s="3">
        <v>1550.0</v>
      </c>
      <c r="B4059" s="3">
        <v>61.0</v>
      </c>
      <c r="C4059" s="3">
        <v>1.0</v>
      </c>
      <c r="D4059" t="str">
        <f>VLOOKUP(B4059,ERA_MOTIF_TYPES.csv!$A$1:$C$119,2,1)</f>
        <v>Cup and arc (or semi-ovoid)</v>
      </c>
      <c r="E4059" t="str">
        <f>VLOOKUP(A4059,Panels!$A$1:$E$2104,5,0)</f>
        <v>Scrainwood Quarry</v>
      </c>
    </row>
    <row r="4060">
      <c r="A4060" s="3">
        <v>1551.0</v>
      </c>
      <c r="B4060" s="3">
        <v>1.0</v>
      </c>
      <c r="C4060" s="3">
        <v>1.0</v>
      </c>
      <c r="D4060" t="str">
        <f>VLOOKUP(B4060,ERA_MOTIF_TYPES.csv!$A$1:$C$119,2,1)</f>
        <v>Cups Single</v>
      </c>
      <c r="E4060" t="str">
        <f>VLOOKUP(A4060,Panels!$A$1:$E$2104,5,0)</f>
        <v>Scrainwood Quarry</v>
      </c>
    </row>
    <row r="4061">
      <c r="A4061" s="3">
        <v>1552.0</v>
      </c>
      <c r="B4061" s="3">
        <v>1.0</v>
      </c>
      <c r="C4061" s="3">
        <v>6.0</v>
      </c>
      <c r="D4061" t="str">
        <f>VLOOKUP(B4061,ERA_MOTIF_TYPES.csv!$A$1:$C$119,2,1)</f>
        <v>Cups Single</v>
      </c>
      <c r="E4061" t="str">
        <f>VLOOKUP(A4061,Panels!$A$1:$E$2104,5,0)</f>
        <v>Scrainwood</v>
      </c>
    </row>
    <row r="4062">
      <c r="A4062" s="3">
        <v>1552.0</v>
      </c>
      <c r="B4062" s="3">
        <v>31.0</v>
      </c>
      <c r="C4062" s="3">
        <v>4.0</v>
      </c>
      <c r="D4062" t="str">
        <f>VLOOKUP(B4062,ERA_MOTIF_TYPES.csv!$A$1:$C$119,2,1)</f>
        <v>Cup and Groove</v>
      </c>
      <c r="E4062" t="str">
        <f>VLOOKUP(A4062,Panels!$A$1:$E$2104,5,0)</f>
        <v>Scrainwood</v>
      </c>
    </row>
    <row r="4063">
      <c r="A4063" s="3">
        <v>1552.0</v>
      </c>
      <c r="B4063" s="3">
        <v>52.0</v>
      </c>
      <c r="C4063" s="3">
        <v>11.0</v>
      </c>
      <c r="D4063" t="str">
        <f>VLOOKUP(B4063,ERA_MOTIF_TYPES.csv!$A$1:$C$119,2,1)</f>
        <v>Single or multiple cups</v>
      </c>
      <c r="E4063" t="str">
        <f>VLOOKUP(A4063,Panels!$A$1:$E$2104,5,0)</f>
        <v>Scrainwood</v>
      </c>
    </row>
    <row r="4064">
      <c r="A4064" s="3">
        <v>1552.0</v>
      </c>
      <c r="B4064" s="3">
        <v>60.0</v>
      </c>
      <c r="C4064" s="3">
        <v>1.0</v>
      </c>
      <c r="D4064" t="str">
        <f>VLOOKUP(B4064,ERA_MOTIF_TYPES.csv!$A$1:$C$119,2,1)</f>
        <v>Cup and multiple penannulars</v>
      </c>
      <c r="E4064" t="str">
        <f>VLOOKUP(A4064,Panels!$A$1:$E$2104,5,0)</f>
        <v>Scrainwood</v>
      </c>
    </row>
    <row r="4065">
      <c r="A4065" s="3">
        <v>1552.0</v>
      </c>
      <c r="B4065" s="3">
        <v>61.0</v>
      </c>
      <c r="C4065" s="3">
        <v>1.0</v>
      </c>
      <c r="D4065" t="str">
        <f>VLOOKUP(B4065,ERA_MOTIF_TYPES.csv!$A$1:$C$119,2,1)</f>
        <v>Cup and arc (or semi-ovoid)</v>
      </c>
      <c r="E4065" t="str">
        <f>VLOOKUP(A4065,Panels!$A$1:$E$2104,5,0)</f>
        <v>Scrainwood</v>
      </c>
    </row>
    <row r="4066">
      <c r="A4066" s="3">
        <v>1552.0</v>
      </c>
      <c r="B4066" s="3">
        <v>90.0</v>
      </c>
      <c r="C4066" s="3">
        <v>1.0</v>
      </c>
      <c r="D4066" t="str">
        <f>VLOOKUP(B4066,ERA_MOTIF_TYPES.csv!$A$1:$C$119,2,1)</f>
        <v>Serpentine groove</v>
      </c>
      <c r="E4066" t="str">
        <f>VLOOKUP(A4066,Panels!$A$1:$E$2104,5,0)</f>
        <v>Scrainwood</v>
      </c>
    </row>
    <row r="4067">
      <c r="A4067" s="3">
        <v>1552.0</v>
      </c>
      <c r="B4067" s="3">
        <v>101.0</v>
      </c>
      <c r="C4067" s="3">
        <v>1.0</v>
      </c>
      <c r="D4067" t="str">
        <f>VLOOKUP(B4067,ERA_MOTIF_TYPES.csv!$A$1:$C$119,2,1)</f>
        <v>Occulus</v>
      </c>
      <c r="E4067" t="str">
        <f>VLOOKUP(A4067,Panels!$A$1:$E$2104,5,0)</f>
        <v>Scrainwood</v>
      </c>
    </row>
    <row r="4068">
      <c r="A4068" s="3">
        <v>1553.0</v>
      </c>
      <c r="B4068" s="3">
        <v>1.0</v>
      </c>
      <c r="C4068" s="3">
        <v>4.0</v>
      </c>
      <c r="D4068" t="str">
        <f>VLOOKUP(B4068,ERA_MOTIF_TYPES.csv!$A$1:$C$119,2,1)</f>
        <v>Cups Single</v>
      </c>
      <c r="E4068" t="str">
        <f>VLOOKUP(A4068,Panels!$A$1:$E$2104,5,0)</f>
        <v>Scrainwood</v>
      </c>
    </row>
    <row r="4069">
      <c r="A4069" s="3">
        <v>1553.0</v>
      </c>
      <c r="B4069" s="3">
        <v>2.0</v>
      </c>
      <c r="C4069" s="3">
        <v>1.0</v>
      </c>
      <c r="D4069" t="str">
        <f>VLOOKUP(B4069,ERA_MOTIF_TYPES.csv!$A$1:$C$119,2,1)</f>
        <v>Random Cluster</v>
      </c>
      <c r="E4069" t="str">
        <f>VLOOKUP(A4069,Panels!$A$1:$E$2104,5,0)</f>
        <v>Scrainwood</v>
      </c>
    </row>
    <row r="4070">
      <c r="A4070" s="3">
        <v>1553.0</v>
      </c>
      <c r="B4070" s="3">
        <v>6.0</v>
      </c>
      <c r="C4070" s="3">
        <v>1.0</v>
      </c>
      <c r="D4070" t="str">
        <f>VLOOKUP(B4070,ERA_MOTIF_TYPES.csv!$A$1:$C$119,2,1)</f>
        <v>curved or straight line</v>
      </c>
      <c r="E4070" t="str">
        <f>VLOOKUP(A4070,Panels!$A$1:$E$2104,5,0)</f>
        <v>Scrainwood</v>
      </c>
    </row>
    <row r="4071">
      <c r="A4071" s="3">
        <v>1553.0</v>
      </c>
      <c r="B4071" s="3">
        <v>13.0</v>
      </c>
      <c r="C4071" s="3">
        <v>3.0</v>
      </c>
      <c r="D4071" t="str">
        <f>VLOOKUP(B4071,ERA_MOTIF_TYPES.csv!$A$1:$C$119,2,1)</f>
        <v>Single Ring + cup</v>
      </c>
      <c r="E4071" t="str">
        <f>VLOOKUP(A4071,Panels!$A$1:$E$2104,5,0)</f>
        <v>Scrainwood</v>
      </c>
    </row>
    <row r="4072">
      <c r="A4072" s="3">
        <v>1553.0</v>
      </c>
      <c r="B4072" s="3">
        <v>52.0</v>
      </c>
      <c r="C4072" s="3">
        <v>1.0</v>
      </c>
      <c r="D4072" t="str">
        <f>VLOOKUP(B4072,ERA_MOTIF_TYPES.csv!$A$1:$C$119,2,1)</f>
        <v>Single or multiple cups</v>
      </c>
      <c r="E4072" t="str">
        <f>VLOOKUP(A4072,Panels!$A$1:$E$2104,5,0)</f>
        <v>Scrainwood</v>
      </c>
    </row>
    <row r="4073">
      <c r="A4073" s="3">
        <v>1553.0</v>
      </c>
      <c r="B4073" s="3">
        <v>57.0</v>
      </c>
      <c r="C4073" s="3">
        <v>1.0</v>
      </c>
      <c r="D4073" t="str">
        <f>VLOOKUP(B4073,ERA_MOTIF_TYPES.csv!$A$1:$C$119,2,1)</f>
        <v>Cup and ring</v>
      </c>
      <c r="E4073" t="str">
        <f>VLOOKUP(A4073,Panels!$A$1:$E$2104,5,0)</f>
        <v>Scrainwood</v>
      </c>
    </row>
    <row r="4074">
      <c r="A4074" s="3">
        <v>1553.0</v>
      </c>
      <c r="B4074" s="3">
        <v>93.0</v>
      </c>
      <c r="C4074" s="3">
        <v>12.0</v>
      </c>
      <c r="D4074" t="str">
        <f>VLOOKUP(B4074,ERA_MOTIF_TYPES.csv!$A$1:$C$119,2,1)</f>
        <v>Midget cup</v>
      </c>
      <c r="E4074" t="str">
        <f>VLOOKUP(A4074,Panels!$A$1:$E$2104,5,0)</f>
        <v>Scrainwood</v>
      </c>
    </row>
    <row r="4075">
      <c r="A4075" s="3">
        <v>1554.0</v>
      </c>
      <c r="B4075" s="3">
        <v>1.0</v>
      </c>
      <c r="C4075" s="3">
        <v>2.0</v>
      </c>
      <c r="D4075" t="str">
        <f>VLOOKUP(B4075,ERA_MOTIF_TYPES.csv!$A$1:$C$119,2,1)</f>
        <v>Cups Single</v>
      </c>
      <c r="E4075" t="str">
        <f>VLOOKUP(A4075,Panels!$A$1:$E$2104,5,0)</f>
        <v>Scrainwood</v>
      </c>
    </row>
    <row r="4076">
      <c r="A4076" s="3">
        <v>1554.0</v>
      </c>
      <c r="B4076" s="3">
        <v>52.0</v>
      </c>
      <c r="C4076" s="3">
        <v>4.0</v>
      </c>
      <c r="D4076" t="str">
        <f>VLOOKUP(B4076,ERA_MOTIF_TYPES.csv!$A$1:$C$119,2,1)</f>
        <v>Single or multiple cups</v>
      </c>
      <c r="E4076" t="str">
        <f>VLOOKUP(A4076,Panels!$A$1:$E$2104,5,0)</f>
        <v>Scrainwood</v>
      </c>
    </row>
    <row r="4077">
      <c r="A4077" s="3">
        <v>1555.0</v>
      </c>
      <c r="B4077" s="3">
        <v>1.0</v>
      </c>
      <c r="C4077" s="3">
        <v>6.0</v>
      </c>
      <c r="D4077" t="str">
        <f>VLOOKUP(B4077,ERA_MOTIF_TYPES.csv!$A$1:$C$119,2,1)</f>
        <v>Cups Single</v>
      </c>
      <c r="E4077" t="str">
        <f>VLOOKUP(A4077,Panels!$A$1:$E$2104,5,0)</f>
        <v>Scrainwood</v>
      </c>
    </row>
    <row r="4078">
      <c r="A4078" s="3">
        <v>1555.0</v>
      </c>
      <c r="B4078" s="3">
        <v>52.0</v>
      </c>
      <c r="C4078" s="3">
        <v>6.0</v>
      </c>
      <c r="D4078" t="str">
        <f>VLOOKUP(B4078,ERA_MOTIF_TYPES.csv!$A$1:$C$119,2,1)</f>
        <v>Single or multiple cups</v>
      </c>
      <c r="E4078" t="str">
        <f>VLOOKUP(A4078,Panels!$A$1:$E$2104,5,0)</f>
        <v>Scrainwood</v>
      </c>
    </row>
    <row r="4079">
      <c r="A4079" s="3">
        <v>1556.0</v>
      </c>
      <c r="B4079" s="3">
        <v>57.0</v>
      </c>
      <c r="C4079" s="3">
        <v>3.0</v>
      </c>
      <c r="D4079" t="str">
        <f>VLOOKUP(B4079,ERA_MOTIF_TYPES.csv!$A$1:$C$119,2,1)</f>
        <v>Cup and ring</v>
      </c>
      <c r="E4079" t="str">
        <f>VLOOKUP(A4079,Panels!$A$1:$E$2104,5,0)</f>
        <v>Scrainwood</v>
      </c>
    </row>
    <row r="4080">
      <c r="A4080" s="3">
        <v>1556.0</v>
      </c>
      <c r="B4080" s="3">
        <v>87.0</v>
      </c>
      <c r="C4080" s="3">
        <v>3.0</v>
      </c>
      <c r="D4080" t="str">
        <f>VLOOKUP(B4080,ERA_MOTIF_TYPES.csv!$A$1:$C$119,2,1)</f>
        <v>Linear and angular groove</v>
      </c>
      <c r="E4080" t="str">
        <f>VLOOKUP(A4080,Panels!$A$1:$E$2104,5,0)</f>
        <v>Scrainwood</v>
      </c>
    </row>
    <row r="4081">
      <c r="A4081" s="3">
        <v>1557.0</v>
      </c>
      <c r="B4081" s="3">
        <v>1.0</v>
      </c>
      <c r="C4081" s="3">
        <v>1.0</v>
      </c>
      <c r="D4081" t="str">
        <f>VLOOKUP(B4081,ERA_MOTIF_TYPES.csv!$A$1:$C$119,2,1)</f>
        <v>Cups Single</v>
      </c>
      <c r="E4081" t="str">
        <f>VLOOKUP(A4081,Panels!$A$1:$E$2104,5,0)</f>
        <v>Scrainwood</v>
      </c>
    </row>
    <row r="4082">
      <c r="A4082" s="3">
        <v>1557.0</v>
      </c>
      <c r="B4082" s="3">
        <v>52.0</v>
      </c>
      <c r="C4082" s="3">
        <v>1.0</v>
      </c>
      <c r="D4082" t="str">
        <f>VLOOKUP(B4082,ERA_MOTIF_TYPES.csv!$A$1:$C$119,2,1)</f>
        <v>Single or multiple cups</v>
      </c>
      <c r="E4082" t="str">
        <f>VLOOKUP(A4082,Panels!$A$1:$E$2104,5,0)</f>
        <v>Scrainwood</v>
      </c>
    </row>
    <row r="4083">
      <c r="A4083" s="3">
        <v>1559.0</v>
      </c>
      <c r="B4083" s="3">
        <v>52.0</v>
      </c>
      <c r="C4083" s="3">
        <v>8.0</v>
      </c>
      <c r="D4083" t="str">
        <f>VLOOKUP(B4083,ERA_MOTIF_TYPES.csv!$A$1:$C$119,2,1)</f>
        <v>Single or multiple cups</v>
      </c>
      <c r="E4083" t="str">
        <f>VLOOKUP(A4083,Panels!$A$1:$E$2104,5,0)</f>
        <v>Scrainwood</v>
      </c>
    </row>
    <row r="4084">
      <c r="A4084" s="3">
        <v>1560.0</v>
      </c>
      <c r="B4084" s="3">
        <v>1.0</v>
      </c>
      <c r="C4084" s="3">
        <v>4.0</v>
      </c>
      <c r="D4084" t="str">
        <f>VLOOKUP(B4084,ERA_MOTIF_TYPES.csv!$A$1:$C$119,2,1)</f>
        <v>Cups Single</v>
      </c>
      <c r="E4084" t="str">
        <f>VLOOKUP(A4084,Panels!$A$1:$E$2104,5,0)</f>
        <v>Scrainwood</v>
      </c>
    </row>
    <row r="4085">
      <c r="A4085" s="3">
        <v>1560.0</v>
      </c>
      <c r="B4085" s="3">
        <v>52.0</v>
      </c>
      <c r="C4085" s="3">
        <v>2.0</v>
      </c>
      <c r="D4085" t="str">
        <f>VLOOKUP(B4085,ERA_MOTIF_TYPES.csv!$A$1:$C$119,2,1)</f>
        <v>Single or multiple cups</v>
      </c>
      <c r="E4085" t="str">
        <f>VLOOKUP(A4085,Panels!$A$1:$E$2104,5,0)</f>
        <v>Scrainwood</v>
      </c>
    </row>
    <row r="4086">
      <c r="A4086" s="3">
        <v>1560.0</v>
      </c>
      <c r="B4086" s="3">
        <v>57.0</v>
      </c>
      <c r="C4086" s="3">
        <v>1.0</v>
      </c>
      <c r="D4086" t="str">
        <f>VLOOKUP(B4086,ERA_MOTIF_TYPES.csv!$A$1:$C$119,2,1)</f>
        <v>Cup and ring</v>
      </c>
      <c r="E4086" t="str">
        <f>VLOOKUP(A4086,Panels!$A$1:$E$2104,5,0)</f>
        <v>Scrainwood</v>
      </c>
    </row>
    <row r="4087">
      <c r="A4087" s="3">
        <v>1560.0</v>
      </c>
      <c r="B4087" s="3">
        <v>63.0</v>
      </c>
      <c r="C4087" s="3">
        <v>2.0</v>
      </c>
      <c r="D4087" t="str">
        <f>VLOOKUP(B4087,ERA_MOTIF_TYPES.csv!$A$1:$C$119,2,1)</f>
        <v>Cup with groove cutting through ring</v>
      </c>
      <c r="E4087" t="str">
        <f>VLOOKUP(A4087,Panels!$A$1:$E$2104,5,0)</f>
        <v>Scrainwood</v>
      </c>
    </row>
    <row r="4088">
      <c r="A4088" s="3">
        <v>1560.0</v>
      </c>
      <c r="B4088" s="3">
        <v>73.0</v>
      </c>
      <c r="C4088" s="3">
        <v>1.0</v>
      </c>
      <c r="D4088" t="str">
        <f>VLOOKUP(B4088,ERA_MOTIF_TYPES.csv!$A$1:$C$119,2,1)</f>
        <v>Arc</v>
      </c>
      <c r="E4088" t="str">
        <f>VLOOKUP(A4088,Panels!$A$1:$E$2104,5,0)</f>
        <v>Scrainwood</v>
      </c>
    </row>
    <row r="4089">
      <c r="A4089" s="3">
        <v>1560.0</v>
      </c>
      <c r="B4089" s="3">
        <v>87.0</v>
      </c>
      <c r="C4089" s="3">
        <v>1.0</v>
      </c>
      <c r="D4089" t="str">
        <f>VLOOKUP(B4089,ERA_MOTIF_TYPES.csv!$A$1:$C$119,2,1)</f>
        <v>Linear and angular groove</v>
      </c>
      <c r="E4089" t="str">
        <f>VLOOKUP(A4089,Panels!$A$1:$E$2104,5,0)</f>
        <v>Scrainwood</v>
      </c>
    </row>
    <row r="4090">
      <c r="A4090" s="3">
        <v>1561.0</v>
      </c>
      <c r="B4090" s="3">
        <v>1.0</v>
      </c>
      <c r="C4090" s="3">
        <v>5.0</v>
      </c>
      <c r="D4090" t="str">
        <f>VLOOKUP(B4090,ERA_MOTIF_TYPES.csv!$A$1:$C$119,2,1)</f>
        <v>Cups Single</v>
      </c>
      <c r="E4090" t="str">
        <f>VLOOKUP(A4090,Panels!$A$1:$E$2104,5,0)</f>
        <v>Dour Hill Long Cairn</v>
      </c>
    </row>
    <row r="4091">
      <c r="A4091" s="3">
        <v>1562.0</v>
      </c>
      <c r="B4091" s="3">
        <v>1.0</v>
      </c>
      <c r="C4091" s="3">
        <v>3.0</v>
      </c>
      <c r="D4091" t="str">
        <f>VLOOKUP(B4091,ERA_MOTIF_TYPES.csv!$A$1:$C$119,2,1)</f>
        <v>Cups Single</v>
      </c>
      <c r="E4091" t="str">
        <f>VLOOKUP(A4091,Panels!$A$1:$E$2104,5,0)</f>
        <v>Dour Hill Long Cairn</v>
      </c>
    </row>
    <row r="4092">
      <c r="A4092" s="3">
        <v>1565.0</v>
      </c>
      <c r="B4092" s="3">
        <v>1.0</v>
      </c>
      <c r="C4092" s="3">
        <v>1.0</v>
      </c>
      <c r="D4092" t="str">
        <f>VLOOKUP(B4092,ERA_MOTIF_TYPES.csv!$A$1:$C$119,2,1)</f>
        <v>Cups Single</v>
      </c>
      <c r="E4092" t="str">
        <f>VLOOKUP(A4092,Panels!$A$1:$E$2104,5,0)</f>
        <v>Dour Hill Long Cairn</v>
      </c>
    </row>
    <row r="4093">
      <c r="A4093" s="3">
        <v>1565.0</v>
      </c>
      <c r="B4093" s="3">
        <v>52.0</v>
      </c>
      <c r="C4093" s="3">
        <v>3.0</v>
      </c>
      <c r="D4093" t="str">
        <f>VLOOKUP(B4093,ERA_MOTIF_TYPES.csv!$A$1:$C$119,2,1)</f>
        <v>Single or multiple cups</v>
      </c>
      <c r="E4093" t="str">
        <f>VLOOKUP(A4093,Panels!$A$1:$E$2104,5,0)</f>
        <v>Dour Hill Long Cairn</v>
      </c>
    </row>
    <row r="4094">
      <c r="A4094" s="3">
        <v>1566.0</v>
      </c>
      <c r="B4094" s="3">
        <v>51.0</v>
      </c>
      <c r="C4094" s="3">
        <v>2.0</v>
      </c>
      <c r="D4094" t="str">
        <f>VLOOKUP(B4094,ERA_MOTIF_TYPES.csv!$A$1:$C$119,2,1)</f>
        <v>Bowls</v>
      </c>
      <c r="E4094" t="str">
        <f>VLOOKUP(A4094,Panels!$A$1:$E$2104,5,0)</f>
        <v>Bellshiel Law</v>
      </c>
    </row>
    <row r="4095">
      <c r="A4095" s="3">
        <v>1566.0</v>
      </c>
      <c r="B4095" s="3">
        <v>52.0</v>
      </c>
      <c r="C4095" s="3">
        <v>2.0</v>
      </c>
      <c r="D4095" t="str">
        <f>VLOOKUP(B4095,ERA_MOTIF_TYPES.csv!$A$1:$C$119,2,1)</f>
        <v>Single or multiple cups</v>
      </c>
      <c r="E4095" t="str">
        <f>VLOOKUP(A4095,Panels!$A$1:$E$2104,5,0)</f>
        <v>Bellshiel Law</v>
      </c>
    </row>
    <row r="4096">
      <c r="A4096" s="3">
        <v>1567.0</v>
      </c>
      <c r="B4096" s="3">
        <v>1.0</v>
      </c>
      <c r="C4096" s="3">
        <v>1.0</v>
      </c>
      <c r="D4096" t="str">
        <f>VLOOKUP(B4096,ERA_MOTIF_TYPES.csv!$A$1:$C$119,2,1)</f>
        <v>Cups Single</v>
      </c>
      <c r="E4096" t="str">
        <f>VLOOKUP(A4096,Panels!$A$1:$E$2104,5,0)</f>
        <v>Bellshiel Law</v>
      </c>
    </row>
    <row r="4097">
      <c r="A4097" s="3">
        <v>1567.0</v>
      </c>
      <c r="B4097" s="3">
        <v>52.0</v>
      </c>
      <c r="C4097" s="3">
        <v>1.0</v>
      </c>
      <c r="D4097" t="str">
        <f>VLOOKUP(B4097,ERA_MOTIF_TYPES.csv!$A$1:$C$119,2,1)</f>
        <v>Single or multiple cups</v>
      </c>
      <c r="E4097" t="str">
        <f>VLOOKUP(A4097,Panels!$A$1:$E$2104,5,0)</f>
        <v>Bellshiel Law</v>
      </c>
    </row>
    <row r="4098">
      <c r="A4098" s="3">
        <v>1568.0</v>
      </c>
      <c r="B4098" s="3">
        <v>1.0</v>
      </c>
      <c r="C4098" s="3">
        <v>1.0</v>
      </c>
      <c r="D4098" t="str">
        <f>VLOOKUP(B4098,ERA_MOTIF_TYPES.csv!$A$1:$C$119,2,1)</f>
        <v>Cups Single</v>
      </c>
      <c r="E4098" t="str">
        <f>VLOOKUP(A4098,Panels!$A$1:$E$2104,5,0)</f>
        <v>Bellshiel Law</v>
      </c>
    </row>
    <row r="4099">
      <c r="A4099" s="3">
        <v>1568.0</v>
      </c>
      <c r="B4099" s="3">
        <v>52.0</v>
      </c>
      <c r="C4099" s="3">
        <v>1.0</v>
      </c>
      <c r="D4099" t="str">
        <f>VLOOKUP(B4099,ERA_MOTIF_TYPES.csv!$A$1:$C$119,2,1)</f>
        <v>Single or multiple cups</v>
      </c>
      <c r="E4099" t="str">
        <f>VLOOKUP(A4099,Panels!$A$1:$E$2104,5,0)</f>
        <v>Bellshiel Law</v>
      </c>
    </row>
    <row r="4100">
      <c r="A4100" s="3">
        <v>1569.0</v>
      </c>
      <c r="B4100" s="3">
        <v>52.0</v>
      </c>
      <c r="C4100" s="3">
        <v>1.0</v>
      </c>
      <c r="D4100" t="str">
        <f>VLOOKUP(B4100,ERA_MOTIF_TYPES.csv!$A$1:$C$119,2,1)</f>
        <v>Single or multiple cups</v>
      </c>
      <c r="E4100" t="str">
        <f>VLOOKUP(A4100,Panels!$A$1:$E$2104,5,0)</f>
        <v>Bellshiel Law</v>
      </c>
    </row>
    <row r="4101">
      <c r="A4101" s="3">
        <v>1570.0</v>
      </c>
      <c r="B4101" s="3">
        <v>1.0</v>
      </c>
      <c r="C4101" s="3">
        <v>3.0</v>
      </c>
      <c r="D4101" t="str">
        <f>VLOOKUP(B4101,ERA_MOTIF_TYPES.csv!$A$1:$C$119,2,1)</f>
        <v>Cups Single</v>
      </c>
      <c r="E4101" t="str">
        <f>VLOOKUP(A4101,Panels!$A$1:$E$2104,5,0)</f>
        <v>Bellshiel Law</v>
      </c>
    </row>
    <row r="4102">
      <c r="A4102" s="3">
        <v>1570.0</v>
      </c>
      <c r="B4102" s="3">
        <v>52.0</v>
      </c>
      <c r="C4102" s="3">
        <v>3.0</v>
      </c>
      <c r="D4102" t="str">
        <f>VLOOKUP(B4102,ERA_MOTIF_TYPES.csv!$A$1:$C$119,2,1)</f>
        <v>Single or multiple cups</v>
      </c>
      <c r="E4102" t="str">
        <f>VLOOKUP(A4102,Panels!$A$1:$E$2104,5,0)</f>
        <v>Bellshiel Law</v>
      </c>
    </row>
    <row r="4103">
      <c r="A4103" s="3">
        <v>1571.0</v>
      </c>
      <c r="B4103" s="3">
        <v>52.0</v>
      </c>
      <c r="C4103" s="3">
        <v>1.0</v>
      </c>
      <c r="D4103" t="str">
        <f>VLOOKUP(B4103,ERA_MOTIF_TYPES.csv!$A$1:$C$119,2,1)</f>
        <v>Single or multiple cups</v>
      </c>
      <c r="E4103" t="str">
        <f>VLOOKUP(A4103,Panels!$A$1:$E$2104,5,0)</f>
        <v>Bellshiel Law</v>
      </c>
    </row>
    <row r="4104">
      <c r="A4104" s="3">
        <v>1572.0</v>
      </c>
      <c r="B4104" s="3">
        <v>51.0</v>
      </c>
      <c r="C4104" s="3">
        <v>1.0</v>
      </c>
      <c r="D4104" t="str">
        <f>VLOOKUP(B4104,ERA_MOTIF_TYPES.csv!$A$1:$C$119,2,1)</f>
        <v>Bowls</v>
      </c>
      <c r="E4104" t="str">
        <f>VLOOKUP(A4104,Panels!$A$1:$E$2104,5,0)</f>
        <v>Bellshiel Law</v>
      </c>
    </row>
    <row r="4105">
      <c r="A4105" s="3">
        <v>1572.0</v>
      </c>
      <c r="B4105" s="3">
        <v>94.0</v>
      </c>
      <c r="C4105" s="3">
        <v>1.0</v>
      </c>
      <c r="D4105" t="str">
        <f>VLOOKUP(B4105,ERA_MOTIF_TYPES.csv!$A$1:$C$119,2,1)</f>
        <v>Basin</v>
      </c>
      <c r="E4105" t="str">
        <f>VLOOKUP(A4105,Panels!$A$1:$E$2104,5,0)</f>
        <v>Bellshiel Law</v>
      </c>
    </row>
    <row r="4106">
      <c r="A4106" s="3">
        <v>1573.0</v>
      </c>
      <c r="B4106" s="3">
        <v>1.0</v>
      </c>
      <c r="C4106" s="3">
        <v>4.0</v>
      </c>
      <c r="D4106" t="str">
        <f>VLOOKUP(B4106,ERA_MOTIF_TYPES.csv!$A$1:$C$119,2,1)</f>
        <v>Cups Single</v>
      </c>
      <c r="E4106" t="str">
        <f>VLOOKUP(A4106,Panels!$A$1:$E$2104,5,0)</f>
        <v>Bellshiel Law</v>
      </c>
    </row>
    <row r="4107">
      <c r="A4107" s="3">
        <v>1573.0</v>
      </c>
      <c r="B4107" s="3">
        <v>52.0</v>
      </c>
      <c r="C4107" s="3">
        <v>4.0</v>
      </c>
      <c r="D4107" t="str">
        <f>VLOOKUP(B4107,ERA_MOTIF_TYPES.csv!$A$1:$C$119,2,1)</f>
        <v>Single or multiple cups</v>
      </c>
      <c r="E4107" t="str">
        <f>VLOOKUP(A4107,Panels!$A$1:$E$2104,5,0)</f>
        <v>Bellshiel Law</v>
      </c>
    </row>
    <row r="4108">
      <c r="A4108" s="3">
        <v>1574.0</v>
      </c>
      <c r="B4108" s="3">
        <v>1.0</v>
      </c>
      <c r="C4108" s="3">
        <v>4.0</v>
      </c>
      <c r="D4108" t="str">
        <f>VLOOKUP(B4108,ERA_MOTIF_TYPES.csv!$A$1:$C$119,2,1)</f>
        <v>Cups Single</v>
      </c>
      <c r="E4108" t="str">
        <f>VLOOKUP(A4108,Panels!$A$1:$E$2104,5,0)</f>
        <v>Bellshiel Law</v>
      </c>
    </row>
    <row r="4109">
      <c r="A4109" s="3">
        <v>1574.0</v>
      </c>
      <c r="B4109" s="3">
        <v>52.0</v>
      </c>
      <c r="C4109" s="3">
        <v>4.0</v>
      </c>
      <c r="D4109" t="str">
        <f>VLOOKUP(B4109,ERA_MOTIF_TYPES.csv!$A$1:$C$119,2,1)</f>
        <v>Single or multiple cups</v>
      </c>
      <c r="E4109" t="str">
        <f>VLOOKUP(A4109,Panels!$A$1:$E$2104,5,0)</f>
        <v>Bellshiel Law</v>
      </c>
    </row>
    <row r="4110">
      <c r="A4110" s="3">
        <v>1575.0</v>
      </c>
      <c r="B4110" s="3">
        <v>1.0</v>
      </c>
      <c r="C4110" s="3">
        <v>11.0</v>
      </c>
      <c r="D4110" t="str">
        <f>VLOOKUP(B4110,ERA_MOTIF_TYPES.csv!$A$1:$C$119,2,1)</f>
        <v>Cups Single</v>
      </c>
      <c r="E4110" t="str">
        <f>VLOOKUP(A4110,Panels!$A$1:$E$2104,5,0)</f>
        <v>Bellshiel Law</v>
      </c>
    </row>
    <row r="4111">
      <c r="A4111" s="3">
        <v>1575.0</v>
      </c>
      <c r="B4111" s="3">
        <v>52.0</v>
      </c>
      <c r="C4111" s="3">
        <v>13.0</v>
      </c>
      <c r="D4111" t="str">
        <f>VLOOKUP(B4111,ERA_MOTIF_TYPES.csv!$A$1:$C$119,2,1)</f>
        <v>Single or multiple cups</v>
      </c>
      <c r="E4111" t="str">
        <f>VLOOKUP(A4111,Panels!$A$1:$E$2104,5,0)</f>
        <v>Bellshiel Law</v>
      </c>
    </row>
    <row r="4112">
      <c r="A4112" s="3">
        <v>1575.0</v>
      </c>
      <c r="B4112" s="3">
        <v>105.0</v>
      </c>
      <c r="C4112" s="3">
        <v>3.0</v>
      </c>
      <c r="D4112" t="str">
        <f>VLOOKUP(B4112,ERA_MOTIF_TYPES.csv!$A$1:$C$119,2,1)</f>
        <v>Two cups linked by a groove</v>
      </c>
      <c r="E4112" t="str">
        <f>VLOOKUP(A4112,Panels!$A$1:$E$2104,5,0)</f>
        <v>Bellshiel Law</v>
      </c>
    </row>
    <row r="4113">
      <c r="A4113" s="3">
        <v>1576.0</v>
      </c>
      <c r="B4113" s="3">
        <v>1.0</v>
      </c>
      <c r="C4113" s="3">
        <v>6.0</v>
      </c>
      <c r="D4113" t="str">
        <f>VLOOKUP(B4113,ERA_MOTIF_TYPES.csv!$A$1:$C$119,2,1)</f>
        <v>Cups Single</v>
      </c>
      <c r="E4113" t="str">
        <f>VLOOKUP(A4113,Panels!$A$1:$E$2104,5,0)</f>
        <v>Bellshiel Law</v>
      </c>
    </row>
    <row r="4114">
      <c r="A4114" s="3">
        <v>1576.0</v>
      </c>
      <c r="B4114" s="3">
        <v>52.0</v>
      </c>
      <c r="C4114" s="3">
        <v>8.0</v>
      </c>
      <c r="D4114" t="str">
        <f>VLOOKUP(B4114,ERA_MOTIF_TYPES.csv!$A$1:$C$119,2,1)</f>
        <v>Single or multiple cups</v>
      </c>
      <c r="E4114" t="str">
        <f>VLOOKUP(A4114,Panels!$A$1:$E$2104,5,0)</f>
        <v>Bellshiel Law</v>
      </c>
    </row>
    <row r="4115">
      <c r="A4115" s="3">
        <v>1577.0</v>
      </c>
      <c r="B4115" s="3">
        <v>1.0</v>
      </c>
      <c r="C4115" s="3">
        <v>2.0</v>
      </c>
      <c r="D4115" t="str">
        <f>VLOOKUP(B4115,ERA_MOTIF_TYPES.csv!$A$1:$C$119,2,1)</f>
        <v>Cups Single</v>
      </c>
      <c r="E4115" t="str">
        <f>VLOOKUP(A4115,Panels!$A$1:$E$2104,5,0)</f>
        <v>Bellshiel Law</v>
      </c>
    </row>
    <row r="4116">
      <c r="A4116" s="3">
        <v>1577.0</v>
      </c>
      <c r="B4116" s="3">
        <v>52.0</v>
      </c>
      <c r="C4116" s="3">
        <v>2.0</v>
      </c>
      <c r="D4116" t="str">
        <f>VLOOKUP(B4116,ERA_MOTIF_TYPES.csv!$A$1:$C$119,2,1)</f>
        <v>Single or multiple cups</v>
      </c>
      <c r="E4116" t="str">
        <f>VLOOKUP(A4116,Panels!$A$1:$E$2104,5,0)</f>
        <v>Bellshiel Law</v>
      </c>
    </row>
    <row r="4117">
      <c r="A4117" s="3">
        <v>1578.0</v>
      </c>
      <c r="B4117" s="3">
        <v>52.0</v>
      </c>
      <c r="C4117" s="3">
        <v>2.0</v>
      </c>
      <c r="D4117" t="str">
        <f>VLOOKUP(B4117,ERA_MOTIF_TYPES.csv!$A$1:$C$119,2,1)</f>
        <v>Single or multiple cups</v>
      </c>
      <c r="E4117" t="str">
        <f>VLOOKUP(A4117,Panels!$A$1:$E$2104,5,0)</f>
        <v>Bellshiel Law</v>
      </c>
    </row>
    <row r="4118">
      <c r="A4118" s="3">
        <v>1579.0</v>
      </c>
      <c r="B4118" s="3">
        <v>52.0</v>
      </c>
      <c r="C4118" s="3">
        <v>1.0</v>
      </c>
      <c r="D4118" t="str">
        <f>VLOOKUP(B4118,ERA_MOTIF_TYPES.csv!$A$1:$C$119,2,1)</f>
        <v>Single or multiple cups</v>
      </c>
      <c r="E4118" t="str">
        <f>VLOOKUP(A4118,Panels!$A$1:$E$2104,5,0)</f>
        <v>Tod Crag</v>
      </c>
    </row>
    <row r="4119">
      <c r="A4119" s="3">
        <v>1580.0</v>
      </c>
      <c r="B4119" s="3">
        <v>52.0</v>
      </c>
      <c r="C4119" s="3">
        <v>1.0</v>
      </c>
      <c r="D4119" t="str">
        <f>VLOOKUP(B4119,ERA_MOTIF_TYPES.csv!$A$1:$C$119,2,1)</f>
        <v>Single or multiple cups</v>
      </c>
      <c r="E4119" t="str">
        <f>VLOOKUP(A4119,Panels!$A$1:$E$2104,5,0)</f>
        <v>Tod Crag</v>
      </c>
    </row>
    <row r="4120">
      <c r="A4120" s="3">
        <v>1580.0</v>
      </c>
      <c r="B4120" s="3">
        <v>94.0</v>
      </c>
      <c r="C4120" s="3">
        <v>1.0</v>
      </c>
      <c r="D4120" t="str">
        <f>VLOOKUP(B4120,ERA_MOTIF_TYPES.csv!$A$1:$C$119,2,1)</f>
        <v>Basin</v>
      </c>
      <c r="E4120" t="str">
        <f>VLOOKUP(A4120,Panels!$A$1:$E$2104,5,0)</f>
        <v>Tod Crag</v>
      </c>
    </row>
    <row r="4121">
      <c r="A4121" s="3">
        <v>1581.0</v>
      </c>
      <c r="B4121" s="3">
        <v>1.0</v>
      </c>
      <c r="C4121" s="3">
        <v>17.0</v>
      </c>
      <c r="D4121" t="str">
        <f>VLOOKUP(B4121,ERA_MOTIF_TYPES.csv!$A$1:$C$119,2,1)</f>
        <v>Cups Single</v>
      </c>
      <c r="E4121" t="str">
        <f>VLOOKUP(A4121,Panels!$A$1:$E$2104,5,0)</f>
        <v>Tod Crag</v>
      </c>
    </row>
    <row r="4122">
      <c r="A4122" s="3">
        <v>1581.0</v>
      </c>
      <c r="B4122" s="3">
        <v>2.0</v>
      </c>
      <c r="C4122" s="3">
        <v>1.0</v>
      </c>
      <c r="D4122" t="str">
        <f>VLOOKUP(B4122,ERA_MOTIF_TYPES.csv!$A$1:$C$119,2,1)</f>
        <v>Random Cluster</v>
      </c>
      <c r="E4122" t="str">
        <f>VLOOKUP(A4122,Panels!$A$1:$E$2104,5,0)</f>
        <v>Tod Crag</v>
      </c>
    </row>
    <row r="4123">
      <c r="A4123" s="3">
        <v>1581.0</v>
      </c>
      <c r="B4123" s="3">
        <v>13.0</v>
      </c>
      <c r="C4123" s="3">
        <v>1.0</v>
      </c>
      <c r="D4123" t="str">
        <f>VLOOKUP(B4123,ERA_MOTIF_TYPES.csv!$A$1:$C$119,2,1)</f>
        <v>Single Ring + cup</v>
      </c>
      <c r="E4123" t="str">
        <f>VLOOKUP(A4123,Panels!$A$1:$E$2104,5,0)</f>
        <v>Tod Crag</v>
      </c>
    </row>
    <row r="4124">
      <c r="A4124" s="3">
        <v>1581.0</v>
      </c>
      <c r="B4124" s="3">
        <v>14.0</v>
      </c>
      <c r="C4124" s="3">
        <v>5.0</v>
      </c>
      <c r="D4124" t="str">
        <f>VLOOKUP(B4124,ERA_MOTIF_TYPES.csv!$A$1:$C$119,2,1)</f>
        <v>Multi Ring + cup</v>
      </c>
      <c r="E4124" t="str">
        <f>VLOOKUP(A4124,Panels!$A$1:$E$2104,5,0)</f>
        <v>Tod Crag</v>
      </c>
    </row>
    <row r="4125">
      <c r="A4125" s="3">
        <v>1581.0</v>
      </c>
      <c r="B4125" s="3">
        <v>52.0</v>
      </c>
      <c r="C4125" s="3">
        <v>14.0</v>
      </c>
      <c r="D4125" t="str">
        <f>VLOOKUP(B4125,ERA_MOTIF_TYPES.csv!$A$1:$C$119,2,1)</f>
        <v>Single or multiple cups</v>
      </c>
      <c r="E4125" t="str">
        <f>VLOOKUP(A4125,Panels!$A$1:$E$2104,5,0)</f>
        <v>Tod Crag</v>
      </c>
    </row>
    <row r="4126">
      <c r="A4126" s="3">
        <v>1581.0</v>
      </c>
      <c r="B4126" s="3">
        <v>55.0</v>
      </c>
      <c r="C4126" s="3">
        <v>1.0</v>
      </c>
      <c r="D4126" t="str">
        <f>VLOOKUP(B4126,ERA_MOTIF_TYPES.csv!$A$1:$C$119,2,1)</f>
        <v>Cups in a straight or curved line</v>
      </c>
      <c r="E4126" t="str">
        <f>VLOOKUP(A4126,Panels!$A$1:$E$2104,5,0)</f>
        <v>Tod Crag</v>
      </c>
    </row>
    <row r="4127">
      <c r="A4127" s="3">
        <v>1581.0</v>
      </c>
      <c r="B4127" s="3">
        <v>57.0</v>
      </c>
      <c r="C4127" s="3">
        <v>2.0</v>
      </c>
      <c r="D4127" t="str">
        <f>VLOOKUP(B4127,ERA_MOTIF_TYPES.csv!$A$1:$C$119,2,1)</f>
        <v>Cup and ring</v>
      </c>
      <c r="E4127" t="str">
        <f>VLOOKUP(A4127,Panels!$A$1:$E$2104,5,0)</f>
        <v>Tod Crag</v>
      </c>
    </row>
    <row r="4128">
      <c r="A4128" s="3">
        <v>1581.0</v>
      </c>
      <c r="B4128" s="3">
        <v>58.0</v>
      </c>
      <c r="C4128" s="3">
        <v>6.0</v>
      </c>
      <c r="D4128" t="str">
        <f>VLOOKUP(B4128,ERA_MOTIF_TYPES.csv!$A$1:$C$119,2,1)</f>
        <v>Cup and multiple rings</v>
      </c>
      <c r="E4128" t="str">
        <f>VLOOKUP(A4128,Panels!$A$1:$E$2104,5,0)</f>
        <v>Tod Crag</v>
      </c>
    </row>
    <row r="4129">
      <c r="A4129" s="3">
        <v>1581.0</v>
      </c>
      <c r="B4129" s="3">
        <v>61.0</v>
      </c>
      <c r="C4129" s="3">
        <v>2.0</v>
      </c>
      <c r="D4129" t="str">
        <f>VLOOKUP(B4129,ERA_MOTIF_TYPES.csv!$A$1:$C$119,2,1)</f>
        <v>Cup and arc (or semi-ovoid)</v>
      </c>
      <c r="E4129" t="str">
        <f>VLOOKUP(A4129,Panels!$A$1:$E$2104,5,0)</f>
        <v>Tod Crag</v>
      </c>
    </row>
    <row r="4130">
      <c r="A4130" s="3">
        <v>1581.0</v>
      </c>
      <c r="B4130" s="3">
        <v>69.0</v>
      </c>
      <c r="C4130" s="3">
        <v>2.0</v>
      </c>
      <c r="D4130" t="str">
        <f>VLOOKUP(B4130,ERA_MOTIF_TYPES.csv!$A$1:$C$119,2,1)</f>
        <v>Ring</v>
      </c>
      <c r="E4130" t="str">
        <f>VLOOKUP(A4130,Panels!$A$1:$E$2104,5,0)</f>
        <v>Tod Crag</v>
      </c>
    </row>
    <row r="4131">
      <c r="A4131" s="3">
        <v>1581.0</v>
      </c>
      <c r="B4131" s="3">
        <v>100.0</v>
      </c>
      <c r="C4131" s="3">
        <v>1.0</v>
      </c>
      <c r="D4131" t="str">
        <f>VLOOKUP(B4131,ERA_MOTIF_TYPES.csv!$A$1:$C$119,2,1)</f>
        <v>Pick marks</v>
      </c>
      <c r="E4131" t="str">
        <f>VLOOKUP(A4131,Panels!$A$1:$E$2104,5,0)</f>
        <v>Tod Crag</v>
      </c>
    </row>
    <row r="4132">
      <c r="A4132" s="3">
        <v>1582.0</v>
      </c>
      <c r="B4132" s="3">
        <v>1.0</v>
      </c>
      <c r="C4132" s="3">
        <v>2.0</v>
      </c>
      <c r="D4132" t="str">
        <f>VLOOKUP(B4132,ERA_MOTIF_TYPES.csv!$A$1:$C$119,2,1)</f>
        <v>Cups Single</v>
      </c>
      <c r="E4132" t="str">
        <f>VLOOKUP(A4132,Panels!$A$1:$E$2104,5,0)</f>
        <v>Tod Crag</v>
      </c>
    </row>
    <row r="4133">
      <c r="A4133" s="3">
        <v>1582.0</v>
      </c>
      <c r="B4133" s="3">
        <v>52.0</v>
      </c>
      <c r="C4133" s="3">
        <v>1.0</v>
      </c>
      <c r="D4133" t="str">
        <f>VLOOKUP(B4133,ERA_MOTIF_TYPES.csv!$A$1:$C$119,2,1)</f>
        <v>Single or multiple cups</v>
      </c>
      <c r="E4133" t="str">
        <f>VLOOKUP(A4133,Panels!$A$1:$E$2104,5,0)</f>
        <v>Tod Crag</v>
      </c>
    </row>
    <row r="4134">
      <c r="A4134" s="3">
        <v>1582.0</v>
      </c>
      <c r="B4134" s="3">
        <v>56.0</v>
      </c>
      <c r="C4134" s="3">
        <v>3.0</v>
      </c>
      <c r="D4134" t="str">
        <f>VLOOKUP(B4134,ERA_MOTIF_TYPES.csv!$A$1:$C$119,2,1)</f>
        <v>Cups countersunk</v>
      </c>
      <c r="E4134" t="str">
        <f>VLOOKUP(A4134,Panels!$A$1:$E$2104,5,0)</f>
        <v>Tod Crag</v>
      </c>
    </row>
    <row r="4135">
      <c r="A4135" s="3">
        <v>1583.0</v>
      </c>
      <c r="B4135" s="3">
        <v>1.0</v>
      </c>
      <c r="C4135" s="3">
        <v>1.0</v>
      </c>
      <c r="D4135" t="str">
        <f>VLOOKUP(B4135,ERA_MOTIF_TYPES.csv!$A$1:$C$119,2,1)</f>
        <v>Cups Single</v>
      </c>
      <c r="E4135" t="str">
        <f>VLOOKUP(A4135,Panels!$A$1:$E$2104,5,0)</f>
        <v>Wallington Newhouses</v>
      </c>
    </row>
    <row r="4136">
      <c r="A4136" s="3">
        <v>1584.0</v>
      </c>
      <c r="B4136" s="3">
        <v>1.0</v>
      </c>
      <c r="C4136" s="3">
        <v>1.0</v>
      </c>
      <c r="D4136" t="str">
        <f>VLOOKUP(B4136,ERA_MOTIF_TYPES.csv!$A$1:$C$119,2,1)</f>
        <v>Cups Single</v>
      </c>
      <c r="E4136" t="str">
        <f>VLOOKUP(A4136,Panels!$A$1:$E$2104,5,0)</f>
        <v>Wallington Newhouses</v>
      </c>
    </row>
    <row r="4137">
      <c r="A4137" s="3">
        <v>1585.0</v>
      </c>
      <c r="B4137" s="3">
        <v>1.0</v>
      </c>
      <c r="C4137" s="3">
        <v>1.0</v>
      </c>
      <c r="D4137" t="str">
        <f>VLOOKUP(B4137,ERA_MOTIF_TYPES.csv!$A$1:$C$119,2,1)</f>
        <v>Cups Single</v>
      </c>
      <c r="E4137" t="str">
        <f>VLOOKUP(A4137,Panels!$A$1:$E$2104,5,0)</f>
        <v>Wallington Newhouses</v>
      </c>
    </row>
    <row r="4138">
      <c r="A4138" s="3">
        <v>1586.0</v>
      </c>
      <c r="B4138" s="3">
        <v>1.0</v>
      </c>
      <c r="C4138" s="3">
        <v>1.0</v>
      </c>
      <c r="D4138" t="str">
        <f>VLOOKUP(B4138,ERA_MOTIF_TYPES.csv!$A$1:$C$119,2,1)</f>
        <v>Cups Single</v>
      </c>
      <c r="E4138" t="str">
        <f>VLOOKUP(A4138,Panels!$A$1:$E$2104,5,0)</f>
        <v>Wallington Newhouses</v>
      </c>
    </row>
    <row r="4139">
      <c r="A4139" s="3">
        <v>1586.0</v>
      </c>
      <c r="B4139" s="3">
        <v>52.0</v>
      </c>
      <c r="C4139" s="3">
        <v>1.0</v>
      </c>
      <c r="D4139" t="str">
        <f>VLOOKUP(B4139,ERA_MOTIF_TYPES.csv!$A$1:$C$119,2,1)</f>
        <v>Single or multiple cups</v>
      </c>
      <c r="E4139" t="str">
        <f>VLOOKUP(A4139,Panels!$A$1:$E$2104,5,0)</f>
        <v>Wallington Newhouses</v>
      </c>
    </row>
    <row r="4140">
      <c r="A4140" s="3">
        <v>1587.0</v>
      </c>
      <c r="B4140" s="3">
        <v>1.0</v>
      </c>
      <c r="C4140" s="3">
        <v>1.0</v>
      </c>
      <c r="D4140" t="str">
        <f>VLOOKUP(B4140,ERA_MOTIF_TYPES.csv!$A$1:$C$119,2,1)</f>
        <v>Cups Single</v>
      </c>
      <c r="E4140" t="str">
        <f>VLOOKUP(A4140,Panels!$A$1:$E$2104,5,0)</f>
        <v>Wallington Newhouses</v>
      </c>
    </row>
    <row r="4141">
      <c r="A4141" s="3">
        <v>1587.0</v>
      </c>
      <c r="B4141" s="3">
        <v>52.0</v>
      </c>
      <c r="C4141" s="3">
        <v>1.0</v>
      </c>
      <c r="D4141" t="str">
        <f>VLOOKUP(B4141,ERA_MOTIF_TYPES.csv!$A$1:$C$119,2,1)</f>
        <v>Single or multiple cups</v>
      </c>
      <c r="E4141" t="str">
        <f>VLOOKUP(A4141,Panels!$A$1:$E$2104,5,0)</f>
        <v>Wallington Newhouses</v>
      </c>
    </row>
    <row r="4142">
      <c r="A4142" s="3">
        <v>1588.0</v>
      </c>
      <c r="B4142" s="3">
        <v>1.0</v>
      </c>
      <c r="C4142" s="3">
        <v>1.0</v>
      </c>
      <c r="D4142" t="str">
        <f>VLOOKUP(B4142,ERA_MOTIF_TYPES.csv!$A$1:$C$119,2,1)</f>
        <v>Cups Single</v>
      </c>
      <c r="E4142" t="str">
        <f>VLOOKUP(A4142,Panels!$A$1:$E$2104,5,0)</f>
        <v>Wallington Newhouses</v>
      </c>
    </row>
    <row r="4143">
      <c r="A4143" s="3">
        <v>1588.0</v>
      </c>
      <c r="B4143" s="3">
        <v>52.0</v>
      </c>
      <c r="C4143" s="3">
        <v>1.0</v>
      </c>
      <c r="D4143" t="str">
        <f>VLOOKUP(B4143,ERA_MOTIF_TYPES.csv!$A$1:$C$119,2,1)</f>
        <v>Single or multiple cups</v>
      </c>
      <c r="E4143" t="str">
        <f>VLOOKUP(A4143,Panels!$A$1:$E$2104,5,0)</f>
        <v>Wallington Newhouses</v>
      </c>
    </row>
    <row r="4144">
      <c r="A4144" s="3">
        <v>1589.0</v>
      </c>
      <c r="B4144" s="3">
        <v>1.0</v>
      </c>
      <c r="C4144" s="3">
        <v>1.0</v>
      </c>
      <c r="D4144" t="str">
        <f>VLOOKUP(B4144,ERA_MOTIF_TYPES.csv!$A$1:$C$119,2,1)</f>
        <v>Cups Single</v>
      </c>
      <c r="E4144" t="str">
        <f>VLOOKUP(A4144,Panels!$A$1:$E$2104,5,0)</f>
        <v>Wallington Newhouses</v>
      </c>
    </row>
    <row r="4145">
      <c r="A4145" s="3">
        <v>1590.0</v>
      </c>
      <c r="B4145" s="3">
        <v>59.0</v>
      </c>
      <c r="C4145" s="3">
        <v>1.0</v>
      </c>
      <c r="D4145" t="str">
        <f>VLOOKUP(B4145,ERA_MOTIF_TYPES.csv!$A$1:$C$119,2,1)</f>
        <v>Cup and penannular</v>
      </c>
      <c r="E4145" t="str">
        <f>VLOOKUP(A4145,Panels!$A$1:$E$2104,5,0)</f>
        <v>Reenes Farm</v>
      </c>
    </row>
    <row r="4146">
      <c r="A4146" s="3">
        <v>1591.0</v>
      </c>
      <c r="B4146" s="3">
        <v>13.0</v>
      </c>
      <c r="C4146" s="3">
        <v>1.0</v>
      </c>
      <c r="D4146" t="str">
        <f>VLOOKUP(B4146,ERA_MOTIF_TYPES.csv!$A$1:$C$119,2,1)</f>
        <v>Single Ring + cup</v>
      </c>
      <c r="E4146" t="str">
        <f>VLOOKUP(A4146,Panels!$A$1:$E$2104,5,0)</f>
        <v>Paines Bridge, Wallington</v>
      </c>
    </row>
    <row r="4147">
      <c r="A4147" s="3">
        <v>1591.0</v>
      </c>
      <c r="B4147" s="3">
        <v>14.0</v>
      </c>
      <c r="C4147" s="3">
        <v>1.0</v>
      </c>
      <c r="D4147" t="str">
        <f>VLOOKUP(B4147,ERA_MOTIF_TYPES.csv!$A$1:$C$119,2,1)</f>
        <v>Multi Ring + cup</v>
      </c>
      <c r="E4147" t="str">
        <f>VLOOKUP(A4147,Panels!$A$1:$E$2104,5,0)</f>
        <v>Paines Bridge, Wallington</v>
      </c>
    </row>
    <row r="4148">
      <c r="A4148" s="3">
        <v>1591.0</v>
      </c>
      <c r="B4148" s="3">
        <v>57.0</v>
      </c>
      <c r="C4148" s="3">
        <v>1.0</v>
      </c>
      <c r="D4148" t="str">
        <f>VLOOKUP(B4148,ERA_MOTIF_TYPES.csv!$A$1:$C$119,2,1)</f>
        <v>Cup and ring</v>
      </c>
      <c r="E4148" t="str">
        <f>VLOOKUP(A4148,Panels!$A$1:$E$2104,5,0)</f>
        <v>Paines Bridge, Wallington</v>
      </c>
    </row>
    <row r="4149">
      <c r="A4149" s="3">
        <v>1591.0</v>
      </c>
      <c r="B4149" s="3">
        <v>58.0</v>
      </c>
      <c r="C4149" s="3">
        <v>1.0</v>
      </c>
      <c r="D4149" t="str">
        <f>VLOOKUP(B4149,ERA_MOTIF_TYPES.csv!$A$1:$C$119,2,1)</f>
        <v>Cup and multiple rings</v>
      </c>
      <c r="E4149" t="str">
        <f>VLOOKUP(A4149,Panels!$A$1:$E$2104,5,0)</f>
        <v>Paines Bridge, Wallington</v>
      </c>
    </row>
    <row r="4150">
      <c r="A4150" s="3">
        <v>1592.0</v>
      </c>
      <c r="B4150" s="3">
        <v>52.0</v>
      </c>
      <c r="C4150" s="3">
        <v>1.0</v>
      </c>
      <c r="D4150" t="str">
        <f>VLOOKUP(B4150,ERA_MOTIF_TYPES.csv!$A$1:$C$119,2,1)</f>
        <v>Single or multiple cups</v>
      </c>
      <c r="E4150" t="str">
        <f>VLOOKUP(A4150,Panels!$A$1:$E$2104,5,0)</f>
        <v>Paines Bridge, Wallington</v>
      </c>
    </row>
    <row r="4151">
      <c r="A4151" s="3">
        <v>1592.0</v>
      </c>
      <c r="B4151" s="3">
        <v>73.0</v>
      </c>
      <c r="C4151" s="3">
        <v>1.0</v>
      </c>
      <c r="D4151" t="str">
        <f>VLOOKUP(B4151,ERA_MOTIF_TYPES.csv!$A$1:$C$119,2,1)</f>
        <v>Arc</v>
      </c>
      <c r="E4151" t="str">
        <f>VLOOKUP(A4151,Panels!$A$1:$E$2104,5,0)</f>
        <v>Paines Bridge, Wallington</v>
      </c>
    </row>
    <row r="4152">
      <c r="A4152" s="3">
        <v>1593.0</v>
      </c>
      <c r="B4152" s="3">
        <v>1.0</v>
      </c>
      <c r="C4152" s="3">
        <v>1.0</v>
      </c>
      <c r="D4152" t="str">
        <f>VLOOKUP(B4152,ERA_MOTIF_TYPES.csv!$A$1:$C$119,2,1)</f>
        <v>Cups Single</v>
      </c>
      <c r="E4152" t="str">
        <f>VLOOKUP(A4152,Panels!$A$1:$E$2104,5,0)</f>
        <v>Paines Bridge, Wallington</v>
      </c>
    </row>
    <row r="4153">
      <c r="A4153" s="3">
        <v>1593.0</v>
      </c>
      <c r="B4153" s="3">
        <v>93.0</v>
      </c>
      <c r="C4153" s="3">
        <v>2.0</v>
      </c>
      <c r="D4153" t="str">
        <f>VLOOKUP(B4153,ERA_MOTIF_TYPES.csv!$A$1:$C$119,2,1)</f>
        <v>Midget cup</v>
      </c>
      <c r="E4153" t="str">
        <f>VLOOKUP(A4153,Panels!$A$1:$E$2104,5,0)</f>
        <v>Paines Bridge, Wallington</v>
      </c>
    </row>
    <row r="4154">
      <c r="A4154" s="3">
        <v>1593.0</v>
      </c>
      <c r="B4154" s="3">
        <v>103.0</v>
      </c>
      <c r="C4154" s="3">
        <v>1.0</v>
      </c>
      <c r="D4154" t="str">
        <f>VLOOKUP(B4154,ERA_MOTIF_TYPES.csv!$A$1:$C$119,2,1)</f>
        <v>Cup and groove</v>
      </c>
      <c r="E4154" t="str">
        <f>VLOOKUP(A4154,Panels!$A$1:$E$2104,5,0)</f>
        <v>Paines Bridge, Wallington</v>
      </c>
    </row>
    <row r="4155">
      <c r="A4155" s="3">
        <v>1594.0</v>
      </c>
      <c r="B4155" s="3">
        <v>52.0</v>
      </c>
      <c r="C4155" s="3">
        <v>7.0</v>
      </c>
      <c r="D4155" t="str">
        <f>VLOOKUP(B4155,ERA_MOTIF_TYPES.csv!$A$1:$C$119,2,1)</f>
        <v>Single or multiple cups</v>
      </c>
      <c r="E4155" t="str">
        <f>VLOOKUP(A4155,Panels!$A$1:$E$2104,5,0)</f>
        <v>Old Deanham</v>
      </c>
    </row>
    <row r="4156">
      <c r="A4156" s="3">
        <v>1594.0</v>
      </c>
      <c r="B4156" s="3">
        <v>65.0</v>
      </c>
      <c r="C4156" s="3">
        <v>1.0</v>
      </c>
      <c r="D4156" t="str">
        <f>VLOOKUP(B4156,ERA_MOTIF_TYPES.csv!$A$1:$C$119,2,1)</f>
        <v>Cup and groove with penannular</v>
      </c>
      <c r="E4156" t="str">
        <f>VLOOKUP(A4156,Panels!$A$1:$E$2104,5,0)</f>
        <v>Old Deanham</v>
      </c>
    </row>
    <row r="4157">
      <c r="A4157" s="3">
        <v>1594.0</v>
      </c>
      <c r="B4157" s="3">
        <v>73.0</v>
      </c>
      <c r="C4157" s="3">
        <v>1.0</v>
      </c>
      <c r="D4157" t="str">
        <f>VLOOKUP(B4157,ERA_MOTIF_TYPES.csv!$A$1:$C$119,2,1)</f>
        <v>Arc</v>
      </c>
      <c r="E4157" t="str">
        <f>VLOOKUP(A4157,Panels!$A$1:$E$2104,5,0)</f>
        <v>Old Deanham</v>
      </c>
    </row>
    <row r="4158">
      <c r="A4158" s="3">
        <v>1594.0</v>
      </c>
      <c r="B4158" s="3">
        <v>87.0</v>
      </c>
      <c r="C4158" s="3">
        <v>1.0</v>
      </c>
      <c r="D4158" t="str">
        <f>VLOOKUP(B4158,ERA_MOTIF_TYPES.csv!$A$1:$C$119,2,1)</f>
        <v>Linear and angular groove</v>
      </c>
      <c r="E4158" t="str">
        <f>VLOOKUP(A4158,Panels!$A$1:$E$2104,5,0)</f>
        <v>Old Deanham</v>
      </c>
    </row>
    <row r="4159">
      <c r="A4159" s="3">
        <v>1595.0</v>
      </c>
      <c r="B4159" s="3">
        <v>52.0</v>
      </c>
      <c r="C4159" s="3">
        <v>6.0</v>
      </c>
      <c r="D4159" t="str">
        <f>VLOOKUP(B4159,ERA_MOTIF_TYPES.csv!$A$1:$C$119,2,1)</f>
        <v>Single or multiple cups</v>
      </c>
      <c r="E4159" t="str">
        <f>VLOOKUP(A4159,Panels!$A$1:$E$2104,5,0)</f>
        <v>Old Deanham</v>
      </c>
    </row>
    <row r="4160">
      <c r="A4160" s="3">
        <v>1596.0</v>
      </c>
      <c r="B4160" s="3">
        <v>52.0</v>
      </c>
      <c r="C4160" s="3">
        <v>2.0</v>
      </c>
      <c r="D4160" t="str">
        <f>VLOOKUP(B4160,ERA_MOTIF_TYPES.csv!$A$1:$C$119,2,1)</f>
        <v>Single or multiple cups</v>
      </c>
      <c r="E4160" t="str">
        <f>VLOOKUP(A4160,Panels!$A$1:$E$2104,5,0)</f>
        <v>Old Deanham</v>
      </c>
    </row>
    <row r="4161">
      <c r="A4161" s="3">
        <v>1596.0</v>
      </c>
      <c r="B4161" s="3">
        <v>65.0</v>
      </c>
      <c r="C4161" s="3">
        <v>1.0</v>
      </c>
      <c r="D4161" t="str">
        <f>VLOOKUP(B4161,ERA_MOTIF_TYPES.csv!$A$1:$C$119,2,1)</f>
        <v>Cup and groove with penannular</v>
      </c>
      <c r="E4161" t="str">
        <f>VLOOKUP(A4161,Panels!$A$1:$E$2104,5,0)</f>
        <v>Old Deanham</v>
      </c>
    </row>
    <row r="4162">
      <c r="A4162" s="3">
        <v>1596.0</v>
      </c>
      <c r="B4162" s="3">
        <v>69.0</v>
      </c>
      <c r="C4162" s="3">
        <v>1.0</v>
      </c>
      <c r="D4162" t="str">
        <f>VLOOKUP(B4162,ERA_MOTIF_TYPES.csv!$A$1:$C$119,2,1)</f>
        <v>Ring</v>
      </c>
      <c r="E4162" t="str">
        <f>VLOOKUP(A4162,Panels!$A$1:$E$2104,5,0)</f>
        <v>Old Deanham</v>
      </c>
    </row>
    <row r="4163">
      <c r="A4163" s="3">
        <v>1596.0</v>
      </c>
      <c r="B4163" s="3">
        <v>87.0</v>
      </c>
      <c r="C4163" s="3">
        <v>2.0</v>
      </c>
      <c r="D4163" t="str">
        <f>VLOOKUP(B4163,ERA_MOTIF_TYPES.csv!$A$1:$C$119,2,1)</f>
        <v>Linear and angular groove</v>
      </c>
      <c r="E4163" t="str">
        <f>VLOOKUP(A4163,Panels!$A$1:$E$2104,5,0)</f>
        <v>Old Deanham</v>
      </c>
    </row>
    <row r="4164">
      <c r="A4164" s="3">
        <v>1596.0</v>
      </c>
      <c r="B4164" s="3">
        <v>107.0</v>
      </c>
      <c r="C4164" s="3">
        <v>1.0</v>
      </c>
      <c r="D4164" t="str">
        <f>VLOOKUP(B4164,ERA_MOTIF_TYPES.csv!$A$1:$C$119,2,1)</f>
        <v>Cup and ring with exterior groove</v>
      </c>
      <c r="E4164" t="str">
        <f>VLOOKUP(A4164,Panels!$A$1:$E$2104,5,0)</f>
        <v>Old Deanham</v>
      </c>
    </row>
    <row r="4165">
      <c r="A4165" s="3">
        <v>1596.0</v>
      </c>
      <c r="B4165" s="3">
        <v>110.0</v>
      </c>
      <c r="C4165" s="3">
        <v>1.0</v>
      </c>
      <c r="D4165" t="str">
        <f>VLOOKUP(B4165,ERA_MOTIF_TYPES.csv!$A$1:$C$119,2,1)</f>
        <v>Curved groove</v>
      </c>
      <c r="E4165" t="str">
        <f>VLOOKUP(A4165,Panels!$A$1:$E$2104,5,0)</f>
        <v>Old Deanham</v>
      </c>
    </row>
    <row r="4166">
      <c r="A4166" s="3">
        <v>1597.0</v>
      </c>
      <c r="B4166" s="3">
        <v>65.0</v>
      </c>
      <c r="C4166" s="3">
        <v>1.0</v>
      </c>
      <c r="D4166" t="str">
        <f>VLOOKUP(B4166,ERA_MOTIF_TYPES.csv!$A$1:$C$119,2,1)</f>
        <v>Cup and groove with penannular</v>
      </c>
      <c r="E4166" t="str">
        <f>VLOOKUP(A4166,Panels!$A$1:$E$2104,5,0)</f>
        <v>Old Deanham</v>
      </c>
    </row>
    <row r="4167">
      <c r="A4167" s="3">
        <v>1597.0</v>
      </c>
      <c r="B4167" s="3">
        <v>100.0</v>
      </c>
      <c r="C4167" s="3">
        <v>1.0</v>
      </c>
      <c r="D4167" t="str">
        <f>VLOOKUP(B4167,ERA_MOTIF_TYPES.csv!$A$1:$C$119,2,1)</f>
        <v>Pick marks</v>
      </c>
      <c r="E4167" t="str">
        <f>VLOOKUP(A4167,Panels!$A$1:$E$2104,5,0)</f>
        <v>Old Deanham</v>
      </c>
    </row>
    <row r="4168">
      <c r="A4168" s="3">
        <v>1598.0</v>
      </c>
      <c r="B4168" s="3">
        <v>55.0</v>
      </c>
      <c r="C4168" s="3">
        <v>2.0</v>
      </c>
      <c r="D4168" t="str">
        <f>VLOOKUP(B4168,ERA_MOTIF_TYPES.csv!$A$1:$C$119,2,1)</f>
        <v>Cups in a straight or curved line</v>
      </c>
      <c r="E4168" t="str">
        <f>VLOOKUP(A4168,Panels!$A$1:$E$2104,5,0)</f>
        <v>Old Deanham</v>
      </c>
    </row>
    <row r="4169">
      <c r="A4169" s="3">
        <v>1599.0</v>
      </c>
      <c r="B4169" s="3">
        <v>52.0</v>
      </c>
      <c r="C4169" s="3">
        <v>2.0</v>
      </c>
      <c r="D4169" t="str">
        <f>VLOOKUP(B4169,ERA_MOTIF_TYPES.csv!$A$1:$C$119,2,1)</f>
        <v>Single or multiple cups</v>
      </c>
      <c r="E4169" t="str">
        <f>VLOOKUP(A4169,Panels!$A$1:$E$2104,5,0)</f>
        <v>Old Deanham</v>
      </c>
    </row>
    <row r="4170">
      <c r="A4170" s="3">
        <v>1601.0</v>
      </c>
      <c r="B4170" s="3">
        <v>52.0</v>
      </c>
      <c r="C4170" s="3">
        <v>5.0</v>
      </c>
      <c r="D4170" t="str">
        <f>VLOOKUP(B4170,ERA_MOTIF_TYPES.csv!$A$1:$C$119,2,1)</f>
        <v>Single or multiple cups</v>
      </c>
      <c r="E4170" t="str">
        <f>VLOOKUP(A4170,Panels!$A$1:$E$2104,5,0)</f>
        <v>Old Deanham</v>
      </c>
    </row>
    <row r="4171">
      <c r="A4171" s="3">
        <v>1601.0</v>
      </c>
      <c r="B4171" s="3">
        <v>55.0</v>
      </c>
      <c r="C4171" s="3">
        <v>1.0</v>
      </c>
      <c r="D4171" t="str">
        <f>VLOOKUP(B4171,ERA_MOTIF_TYPES.csv!$A$1:$C$119,2,1)</f>
        <v>Cups in a straight or curved line</v>
      </c>
      <c r="E4171" t="str">
        <f>VLOOKUP(A4171,Panels!$A$1:$E$2104,5,0)</f>
        <v>Old Deanham</v>
      </c>
    </row>
    <row r="4172">
      <c r="A4172" s="3">
        <v>1602.0</v>
      </c>
      <c r="B4172" s="3">
        <v>46.0</v>
      </c>
      <c r="C4172" s="3">
        <v>2.0</v>
      </c>
      <c r="D4172" t="str">
        <f>VLOOKUP(B4172,ERA_MOTIF_TYPES.csv!$A$1:$C$119,2,1)</f>
        <v>Groove and cups</v>
      </c>
      <c r="E4172" t="str">
        <f>VLOOKUP(A4172,Panels!$A$1:$E$2104,5,0)</f>
        <v>Middleton Bank Top</v>
      </c>
    </row>
    <row r="4173">
      <c r="A4173" s="3">
        <v>1602.0</v>
      </c>
      <c r="B4173" s="3">
        <v>52.0</v>
      </c>
      <c r="C4173" s="3">
        <v>4.0</v>
      </c>
      <c r="D4173" t="str">
        <f>VLOOKUP(B4173,ERA_MOTIF_TYPES.csv!$A$1:$C$119,2,1)</f>
        <v>Single or multiple cups</v>
      </c>
      <c r="E4173" t="str">
        <f>VLOOKUP(A4173,Panels!$A$1:$E$2104,5,0)</f>
        <v>Middleton Bank Top</v>
      </c>
    </row>
    <row r="4174">
      <c r="A4174" s="3">
        <v>1602.0</v>
      </c>
      <c r="B4174" s="3">
        <v>73.0</v>
      </c>
      <c r="C4174" s="3">
        <v>2.0</v>
      </c>
      <c r="D4174" t="str">
        <f>VLOOKUP(B4174,ERA_MOTIF_TYPES.csv!$A$1:$C$119,2,1)</f>
        <v>Arc</v>
      </c>
      <c r="E4174" t="str">
        <f>VLOOKUP(A4174,Panels!$A$1:$E$2104,5,0)</f>
        <v>Middleton Bank Top</v>
      </c>
    </row>
    <row r="4175">
      <c r="A4175" s="3">
        <v>1603.0</v>
      </c>
      <c r="B4175" s="3">
        <v>1.0</v>
      </c>
      <c r="C4175" s="3">
        <v>16.0</v>
      </c>
      <c r="D4175" t="str">
        <f>VLOOKUP(B4175,ERA_MOTIF_TYPES.csv!$A$1:$C$119,2,1)</f>
        <v>Cups Single</v>
      </c>
      <c r="E4175" t="str">
        <f>VLOOKUP(A4175,Panels!$A$1:$E$2104,5,0)</f>
        <v>Middleton Bank Top</v>
      </c>
    </row>
    <row r="4176">
      <c r="A4176" s="3">
        <v>1603.0</v>
      </c>
      <c r="B4176" s="3">
        <v>13.0</v>
      </c>
      <c r="C4176" s="3">
        <v>1.0</v>
      </c>
      <c r="D4176" t="str">
        <f>VLOOKUP(B4176,ERA_MOTIF_TYPES.csv!$A$1:$C$119,2,1)</f>
        <v>Single Ring + cup</v>
      </c>
      <c r="E4176" t="str">
        <f>VLOOKUP(A4176,Panels!$A$1:$E$2104,5,0)</f>
        <v>Middleton Bank Top</v>
      </c>
    </row>
    <row r="4177">
      <c r="A4177" s="3">
        <v>1603.0</v>
      </c>
      <c r="B4177" s="3">
        <v>17.0</v>
      </c>
      <c r="C4177" s="3">
        <v>1.0</v>
      </c>
      <c r="D4177" t="str">
        <f>VLOOKUP(B4177,ERA_MOTIF_TYPES.csv!$A$1:$C$119,2,1)</f>
        <v>Single Penannular + cup</v>
      </c>
      <c r="E4177" t="str">
        <f>VLOOKUP(A4177,Panels!$A$1:$E$2104,5,0)</f>
        <v>Middleton Bank Top</v>
      </c>
    </row>
    <row r="4178">
      <c r="A4178" s="3">
        <v>1603.0</v>
      </c>
      <c r="B4178" s="3">
        <v>27.0</v>
      </c>
      <c r="C4178" s="3">
        <v>1.0</v>
      </c>
      <c r="D4178" t="str">
        <f>VLOOKUP(B4178,ERA_MOTIF_TYPES.csv!$A$1:$C$119,2,1)</f>
        <v>Serpentine</v>
      </c>
      <c r="E4178" t="str">
        <f>VLOOKUP(A4178,Panels!$A$1:$E$2104,5,0)</f>
        <v>Middleton Bank Top</v>
      </c>
    </row>
    <row r="4179">
      <c r="A4179" s="3">
        <v>1603.0</v>
      </c>
      <c r="B4179" s="3">
        <v>31.0</v>
      </c>
      <c r="C4179" s="3">
        <v>1.0</v>
      </c>
      <c r="D4179" t="str">
        <f>VLOOKUP(B4179,ERA_MOTIF_TYPES.csv!$A$1:$C$119,2,1)</f>
        <v>Cup and Groove</v>
      </c>
      <c r="E4179" t="str">
        <f>VLOOKUP(A4179,Panels!$A$1:$E$2104,5,0)</f>
        <v>Middleton Bank Top</v>
      </c>
    </row>
    <row r="4180">
      <c r="A4180" s="3">
        <v>1603.0</v>
      </c>
      <c r="B4180" s="3">
        <v>52.0</v>
      </c>
      <c r="C4180" s="3">
        <v>6.0</v>
      </c>
      <c r="D4180" t="str">
        <f>VLOOKUP(B4180,ERA_MOTIF_TYPES.csv!$A$1:$C$119,2,1)</f>
        <v>Single or multiple cups</v>
      </c>
      <c r="E4180" t="str">
        <f>VLOOKUP(A4180,Panels!$A$1:$E$2104,5,0)</f>
        <v>Middleton Bank Top</v>
      </c>
    </row>
    <row r="4181">
      <c r="A4181" s="3">
        <v>1603.0</v>
      </c>
      <c r="B4181" s="3">
        <v>56.0</v>
      </c>
      <c r="C4181" s="3">
        <v>1.0</v>
      </c>
      <c r="D4181" t="str">
        <f>VLOOKUP(B4181,ERA_MOTIF_TYPES.csv!$A$1:$C$119,2,1)</f>
        <v>Cups countersunk</v>
      </c>
      <c r="E4181" t="str">
        <f>VLOOKUP(A4181,Panels!$A$1:$E$2104,5,0)</f>
        <v>Middleton Bank Top</v>
      </c>
    </row>
    <row r="4182">
      <c r="A4182" s="3">
        <v>1603.0</v>
      </c>
      <c r="B4182" s="3">
        <v>57.0</v>
      </c>
      <c r="C4182" s="3">
        <v>1.0</v>
      </c>
      <c r="D4182" t="str">
        <f>VLOOKUP(B4182,ERA_MOTIF_TYPES.csv!$A$1:$C$119,2,1)</f>
        <v>Cup and ring</v>
      </c>
      <c r="E4182" t="str">
        <f>VLOOKUP(A4182,Panels!$A$1:$E$2104,5,0)</f>
        <v>Middleton Bank Top</v>
      </c>
    </row>
    <row r="4183">
      <c r="A4183" s="3">
        <v>1603.0</v>
      </c>
      <c r="B4183" s="3">
        <v>59.0</v>
      </c>
      <c r="C4183" s="3">
        <v>1.0</v>
      </c>
      <c r="D4183" t="str">
        <f>VLOOKUP(B4183,ERA_MOTIF_TYPES.csv!$A$1:$C$119,2,1)</f>
        <v>Cup and penannular</v>
      </c>
      <c r="E4183" t="str">
        <f>VLOOKUP(A4183,Panels!$A$1:$E$2104,5,0)</f>
        <v>Middleton Bank Top</v>
      </c>
    </row>
    <row r="4184">
      <c r="A4184" s="3">
        <v>1604.0</v>
      </c>
      <c r="B4184" s="3">
        <v>1.0</v>
      </c>
      <c r="C4184" s="3">
        <v>6.0</v>
      </c>
      <c r="D4184" t="str">
        <f>VLOOKUP(B4184,ERA_MOTIF_TYPES.csv!$A$1:$C$119,2,1)</f>
        <v>Cups Single</v>
      </c>
      <c r="E4184" t="str">
        <f>VLOOKUP(A4184,Panels!$A$1:$E$2104,5,0)</f>
        <v>Middleton Bank Top</v>
      </c>
    </row>
    <row r="4185">
      <c r="A4185" s="3">
        <v>1604.0</v>
      </c>
      <c r="B4185" s="3">
        <v>6.0</v>
      </c>
      <c r="C4185" s="3">
        <v>1.0</v>
      </c>
      <c r="D4185" t="str">
        <f>VLOOKUP(B4185,ERA_MOTIF_TYPES.csv!$A$1:$C$119,2,1)</f>
        <v>curved or straight line</v>
      </c>
      <c r="E4185" t="str">
        <f>VLOOKUP(A4185,Panels!$A$1:$E$2104,5,0)</f>
        <v>Middleton Bank Top</v>
      </c>
    </row>
    <row r="4186">
      <c r="A4186" s="3">
        <v>1604.0</v>
      </c>
      <c r="B4186" s="3">
        <v>13.0</v>
      </c>
      <c r="C4186" s="3">
        <v>1.0</v>
      </c>
      <c r="D4186" t="str">
        <f>VLOOKUP(B4186,ERA_MOTIF_TYPES.csv!$A$1:$C$119,2,1)</f>
        <v>Single Ring + cup</v>
      </c>
      <c r="E4186" t="str">
        <f>VLOOKUP(A4186,Panels!$A$1:$E$2104,5,0)</f>
        <v>Middleton Bank Top</v>
      </c>
    </row>
    <row r="4187">
      <c r="A4187" s="3">
        <v>1604.0</v>
      </c>
      <c r="B4187" s="3">
        <v>14.0</v>
      </c>
      <c r="C4187" s="3">
        <v>1.0</v>
      </c>
      <c r="D4187" t="str">
        <f>VLOOKUP(B4187,ERA_MOTIF_TYPES.csv!$A$1:$C$119,2,1)</f>
        <v>Multi Ring + cup</v>
      </c>
      <c r="E4187" t="str">
        <f>VLOOKUP(A4187,Panels!$A$1:$E$2104,5,0)</f>
        <v>Middleton Bank Top</v>
      </c>
    </row>
    <row r="4188">
      <c r="A4188" s="3">
        <v>1604.0</v>
      </c>
      <c r="B4188" s="3">
        <v>52.0</v>
      </c>
      <c r="C4188" s="3">
        <v>7.0</v>
      </c>
      <c r="D4188" t="str">
        <f>VLOOKUP(B4188,ERA_MOTIF_TYPES.csv!$A$1:$C$119,2,1)</f>
        <v>Single or multiple cups</v>
      </c>
      <c r="E4188" t="str">
        <f>VLOOKUP(A4188,Panels!$A$1:$E$2104,5,0)</f>
        <v>Middleton Bank Top</v>
      </c>
    </row>
    <row r="4189">
      <c r="A4189" s="3">
        <v>1604.0</v>
      </c>
      <c r="B4189" s="3">
        <v>57.0</v>
      </c>
      <c r="C4189" s="3">
        <v>1.0</v>
      </c>
      <c r="D4189" t="str">
        <f>VLOOKUP(B4189,ERA_MOTIF_TYPES.csv!$A$1:$C$119,2,1)</f>
        <v>Cup and ring</v>
      </c>
      <c r="E4189" t="str">
        <f>VLOOKUP(A4189,Panels!$A$1:$E$2104,5,0)</f>
        <v>Middleton Bank Top</v>
      </c>
    </row>
    <row r="4190">
      <c r="A4190" s="3">
        <v>1604.0</v>
      </c>
      <c r="B4190" s="3">
        <v>58.0</v>
      </c>
      <c r="C4190" s="3">
        <v>1.0</v>
      </c>
      <c r="D4190" t="str">
        <f>VLOOKUP(B4190,ERA_MOTIF_TYPES.csv!$A$1:$C$119,2,1)</f>
        <v>Cup and multiple rings</v>
      </c>
      <c r="E4190" t="str">
        <f>VLOOKUP(A4190,Panels!$A$1:$E$2104,5,0)</f>
        <v>Middleton Bank Top</v>
      </c>
    </row>
    <row r="4191">
      <c r="A4191" s="3">
        <v>1604.0</v>
      </c>
      <c r="B4191" s="3">
        <v>59.0</v>
      </c>
      <c r="C4191" s="3">
        <v>1.0</v>
      </c>
      <c r="D4191" t="str">
        <f>VLOOKUP(B4191,ERA_MOTIF_TYPES.csv!$A$1:$C$119,2,1)</f>
        <v>Cup and penannular</v>
      </c>
      <c r="E4191" t="str">
        <f>VLOOKUP(A4191,Panels!$A$1:$E$2104,5,0)</f>
        <v>Middleton Bank Top</v>
      </c>
    </row>
    <row r="4192">
      <c r="A4192" s="3">
        <v>1604.0</v>
      </c>
      <c r="B4192" s="3">
        <v>87.0</v>
      </c>
      <c r="C4192" s="3">
        <v>4.0</v>
      </c>
      <c r="D4192" t="str">
        <f>VLOOKUP(B4192,ERA_MOTIF_TYPES.csv!$A$1:$C$119,2,1)</f>
        <v>Linear and angular groove</v>
      </c>
      <c r="E4192" t="str">
        <f>VLOOKUP(A4192,Panels!$A$1:$E$2104,5,0)</f>
        <v>Middleton Bank Top</v>
      </c>
    </row>
    <row r="4193">
      <c r="A4193" s="3">
        <v>1605.0</v>
      </c>
      <c r="B4193" s="3">
        <v>52.0</v>
      </c>
      <c r="C4193" s="3">
        <v>4.0</v>
      </c>
      <c r="D4193" t="str">
        <f>VLOOKUP(B4193,ERA_MOTIF_TYPES.csv!$A$1:$C$119,2,1)</f>
        <v>Single or multiple cups</v>
      </c>
      <c r="E4193" t="str">
        <f>VLOOKUP(A4193,Panels!$A$1:$E$2104,5,0)</f>
        <v>Middleton Bank Top</v>
      </c>
    </row>
    <row r="4194">
      <c r="A4194" s="3">
        <v>1605.0</v>
      </c>
      <c r="B4194" s="3">
        <v>87.0</v>
      </c>
      <c r="C4194" s="3">
        <v>1.0</v>
      </c>
      <c r="D4194" t="str">
        <f>VLOOKUP(B4194,ERA_MOTIF_TYPES.csv!$A$1:$C$119,2,1)</f>
        <v>Linear and angular groove</v>
      </c>
      <c r="E4194" t="str">
        <f>VLOOKUP(A4194,Panels!$A$1:$E$2104,5,0)</f>
        <v>Middleton Bank Top</v>
      </c>
    </row>
    <row r="4195">
      <c r="A4195" s="3">
        <v>1607.0</v>
      </c>
      <c r="B4195" s="3">
        <v>1.0</v>
      </c>
      <c r="C4195" s="3">
        <v>4.0</v>
      </c>
      <c r="D4195" t="str">
        <f>VLOOKUP(B4195,ERA_MOTIF_TYPES.csv!$A$1:$C$119,2,1)</f>
        <v>Cups Single</v>
      </c>
      <c r="E4195" t="str">
        <f>VLOOKUP(A4195,Panels!$A$1:$E$2104,5,0)</f>
        <v>Middleton Bank Top</v>
      </c>
    </row>
    <row r="4196">
      <c r="A4196" s="3">
        <v>1607.0</v>
      </c>
      <c r="B4196" s="3">
        <v>52.0</v>
      </c>
      <c r="C4196" s="3">
        <v>5.0</v>
      </c>
      <c r="D4196" t="str">
        <f>VLOOKUP(B4196,ERA_MOTIF_TYPES.csv!$A$1:$C$119,2,1)</f>
        <v>Single or multiple cups</v>
      </c>
      <c r="E4196" t="str">
        <f>VLOOKUP(A4196,Panels!$A$1:$E$2104,5,0)</f>
        <v>Middleton Bank Top</v>
      </c>
    </row>
    <row r="4197">
      <c r="A4197" s="3">
        <v>1608.0</v>
      </c>
      <c r="B4197" s="3">
        <v>1.0</v>
      </c>
      <c r="C4197" s="3">
        <v>5.0</v>
      </c>
      <c r="D4197" t="str">
        <f>VLOOKUP(B4197,ERA_MOTIF_TYPES.csv!$A$1:$C$119,2,1)</f>
        <v>Cups Single</v>
      </c>
      <c r="E4197" t="str">
        <f>VLOOKUP(A4197,Panels!$A$1:$E$2104,5,0)</f>
        <v>Shaftoe Jubilee Stone</v>
      </c>
    </row>
    <row r="4198">
      <c r="A4198" s="3">
        <v>1608.0</v>
      </c>
      <c r="B4198" s="3">
        <v>16.0</v>
      </c>
      <c r="C4198" s="3">
        <v>2.0</v>
      </c>
      <c r="D4198" t="str">
        <f>VLOOKUP(B4198,ERA_MOTIF_TYPES.csv!$A$1:$C$119,2,1)</f>
        <v>Single Arc + cup</v>
      </c>
      <c r="E4198" t="str">
        <f>VLOOKUP(A4198,Panels!$A$1:$E$2104,5,0)</f>
        <v>Shaftoe Jubilee Stone</v>
      </c>
    </row>
    <row r="4199">
      <c r="A4199" s="3">
        <v>1608.0</v>
      </c>
      <c r="B4199" s="3">
        <v>25.0</v>
      </c>
      <c r="C4199" s="3">
        <v>2.0</v>
      </c>
      <c r="D4199" t="str">
        <f>VLOOKUP(B4199,ERA_MOTIF_TYPES.csv!$A$1:$C$119,2,1)</f>
        <v>Linear</v>
      </c>
      <c r="E4199" t="str">
        <f>VLOOKUP(A4199,Panels!$A$1:$E$2104,5,0)</f>
        <v>Shaftoe Jubilee Stone</v>
      </c>
    </row>
    <row r="4200">
      <c r="A4200" s="3">
        <v>1608.0</v>
      </c>
      <c r="B4200" s="3">
        <v>52.0</v>
      </c>
      <c r="C4200" s="3">
        <v>3.0</v>
      </c>
      <c r="D4200" t="str">
        <f>VLOOKUP(B4200,ERA_MOTIF_TYPES.csv!$A$1:$C$119,2,1)</f>
        <v>Single or multiple cups</v>
      </c>
      <c r="E4200" t="str">
        <f>VLOOKUP(A4200,Panels!$A$1:$E$2104,5,0)</f>
        <v>Shaftoe Jubilee Stone</v>
      </c>
    </row>
    <row r="4201">
      <c r="A4201" s="3">
        <v>1608.0</v>
      </c>
      <c r="B4201" s="3">
        <v>57.0</v>
      </c>
      <c r="C4201" s="3">
        <v>3.0</v>
      </c>
      <c r="D4201" t="str">
        <f>VLOOKUP(B4201,ERA_MOTIF_TYPES.csv!$A$1:$C$119,2,1)</f>
        <v>Cup and ring</v>
      </c>
      <c r="E4201" t="str">
        <f>VLOOKUP(A4201,Panels!$A$1:$E$2104,5,0)</f>
        <v>Shaftoe Jubilee Stone</v>
      </c>
    </row>
    <row r="4202">
      <c r="A4202" s="3">
        <v>1608.0</v>
      </c>
      <c r="B4202" s="3">
        <v>90.0</v>
      </c>
      <c r="C4202" s="3">
        <v>1.0</v>
      </c>
      <c r="D4202" t="str">
        <f>VLOOKUP(B4202,ERA_MOTIF_TYPES.csv!$A$1:$C$119,2,1)</f>
        <v>Serpentine groove</v>
      </c>
      <c r="E4202" t="str">
        <f>VLOOKUP(A4202,Panels!$A$1:$E$2104,5,0)</f>
        <v>Shaftoe Jubilee Stone</v>
      </c>
    </row>
    <row r="4203">
      <c r="A4203" s="3">
        <v>1608.0</v>
      </c>
      <c r="B4203" s="3">
        <v>106.0</v>
      </c>
      <c r="C4203" s="3">
        <v>1.0</v>
      </c>
      <c r="D4203" t="str">
        <f>VLOOKUP(B4203,ERA_MOTIF_TYPES.csv!$A$1:$C$119,2,1)</f>
        <v>Long groove</v>
      </c>
      <c r="E4203" t="str">
        <f>VLOOKUP(A4203,Panels!$A$1:$E$2104,5,0)</f>
        <v>Shaftoe Jubilee Stone</v>
      </c>
    </row>
    <row r="4204">
      <c r="A4204" s="3">
        <v>1609.0</v>
      </c>
      <c r="B4204" s="3">
        <v>61.0</v>
      </c>
      <c r="C4204" s="3">
        <v>1.0</v>
      </c>
      <c r="D4204" t="str">
        <f>VLOOKUP(B4204,ERA_MOTIF_TYPES.csv!$A$1:$C$119,2,1)</f>
        <v>Cup and arc (or semi-ovoid)</v>
      </c>
      <c r="E4204" t="str">
        <f>VLOOKUP(A4204,Panels!$A$1:$E$2104,5,0)</f>
        <v>Shaftoe Jubilee Stone</v>
      </c>
    </row>
    <row r="4205">
      <c r="A4205" s="3">
        <v>1610.0</v>
      </c>
      <c r="B4205" s="3">
        <v>52.0</v>
      </c>
      <c r="C4205" s="3">
        <v>6.0</v>
      </c>
      <c r="D4205" t="str">
        <f>VLOOKUP(B4205,ERA_MOTIF_TYPES.csv!$A$1:$C$119,2,1)</f>
        <v>Single or multiple cups</v>
      </c>
      <c r="E4205" t="str">
        <f>VLOOKUP(A4205,Panels!$A$1:$E$2104,5,0)</f>
        <v>Shaftoe</v>
      </c>
    </row>
    <row r="4206">
      <c r="A4206" s="3">
        <v>1610.0</v>
      </c>
      <c r="B4206" s="3">
        <v>94.0</v>
      </c>
      <c r="C4206" s="3">
        <v>1.0</v>
      </c>
      <c r="D4206" t="str">
        <f>VLOOKUP(B4206,ERA_MOTIF_TYPES.csv!$A$1:$C$119,2,1)</f>
        <v>Basin</v>
      </c>
      <c r="E4206" t="str">
        <f>VLOOKUP(A4206,Panels!$A$1:$E$2104,5,0)</f>
        <v>Shaftoe</v>
      </c>
    </row>
    <row r="4207">
      <c r="A4207" s="3">
        <v>1610.0</v>
      </c>
      <c r="B4207" s="3">
        <v>105.0</v>
      </c>
      <c r="C4207" s="3">
        <v>1.0</v>
      </c>
      <c r="D4207" t="str">
        <f>VLOOKUP(B4207,ERA_MOTIF_TYPES.csv!$A$1:$C$119,2,1)</f>
        <v>Two cups linked by a groove</v>
      </c>
      <c r="E4207" t="str">
        <f>VLOOKUP(A4207,Panels!$A$1:$E$2104,5,0)</f>
        <v>Shaftoe</v>
      </c>
    </row>
    <row r="4208">
      <c r="A4208" s="3">
        <v>1613.0</v>
      </c>
      <c r="B4208" s="3">
        <v>1.0</v>
      </c>
      <c r="C4208" s="3">
        <v>1.0</v>
      </c>
      <c r="D4208" t="str">
        <f>VLOOKUP(B4208,ERA_MOTIF_TYPES.csv!$A$1:$C$119,2,1)</f>
        <v>Cups Single</v>
      </c>
      <c r="E4208" t="str">
        <f>VLOOKUP(A4208,Panels!$A$1:$E$2104,5,0)</f>
        <v>West Shaftoe Farm</v>
      </c>
    </row>
    <row r="4209">
      <c r="A4209" s="3">
        <v>1614.0</v>
      </c>
      <c r="B4209" s="3">
        <v>1.0</v>
      </c>
      <c r="C4209" s="3">
        <v>10.0</v>
      </c>
      <c r="D4209" t="str">
        <f>VLOOKUP(B4209,ERA_MOTIF_TYPES.csv!$A$1:$C$119,2,1)</f>
        <v>Cups Single</v>
      </c>
      <c r="E4209" t="str">
        <f>VLOOKUP(A4209,Panels!$A$1:$E$2104,5,0)</f>
        <v>West Shaftoe Farm</v>
      </c>
    </row>
    <row r="4210">
      <c r="A4210" s="3">
        <v>1614.0</v>
      </c>
      <c r="B4210" s="3">
        <v>16.0</v>
      </c>
      <c r="C4210" s="3">
        <v>1.0</v>
      </c>
      <c r="D4210" t="str">
        <f>VLOOKUP(B4210,ERA_MOTIF_TYPES.csv!$A$1:$C$119,2,1)</f>
        <v>Single Arc + cup</v>
      </c>
      <c r="E4210" t="str">
        <f>VLOOKUP(A4210,Panels!$A$1:$E$2104,5,0)</f>
        <v>West Shaftoe Farm</v>
      </c>
    </row>
    <row r="4211">
      <c r="A4211" s="3">
        <v>1614.0</v>
      </c>
      <c r="B4211" s="3">
        <v>25.0</v>
      </c>
      <c r="C4211" s="3">
        <v>1.0</v>
      </c>
      <c r="D4211" t="str">
        <f>VLOOKUP(B4211,ERA_MOTIF_TYPES.csv!$A$1:$C$119,2,1)</f>
        <v>Linear</v>
      </c>
      <c r="E4211" t="str">
        <f>VLOOKUP(A4211,Panels!$A$1:$E$2104,5,0)</f>
        <v>West Shaftoe Farm</v>
      </c>
    </row>
    <row r="4212">
      <c r="A4212" s="3">
        <v>1614.0</v>
      </c>
      <c r="B4212" s="3">
        <v>27.0</v>
      </c>
      <c r="C4212" s="3">
        <v>1.0</v>
      </c>
      <c r="D4212" t="str">
        <f>VLOOKUP(B4212,ERA_MOTIF_TYPES.csv!$A$1:$C$119,2,1)</f>
        <v>Serpentine</v>
      </c>
      <c r="E4212" t="str">
        <f>VLOOKUP(A4212,Panels!$A$1:$E$2104,5,0)</f>
        <v>West Shaftoe Farm</v>
      </c>
    </row>
    <row r="4213">
      <c r="A4213" s="3">
        <v>1614.0</v>
      </c>
      <c r="B4213" s="3">
        <v>31.0</v>
      </c>
      <c r="C4213" s="3">
        <v>2.0</v>
      </c>
      <c r="D4213" t="str">
        <f>VLOOKUP(B4213,ERA_MOTIF_TYPES.csv!$A$1:$C$119,2,1)</f>
        <v>Cup and Groove</v>
      </c>
      <c r="E4213" t="str">
        <f>VLOOKUP(A4213,Panels!$A$1:$E$2104,5,0)</f>
        <v>West Shaftoe Farm</v>
      </c>
    </row>
    <row r="4214">
      <c r="A4214" s="3">
        <v>1614.0</v>
      </c>
      <c r="B4214" s="3">
        <v>36.0</v>
      </c>
      <c r="C4214" s="3">
        <v>1.0</v>
      </c>
      <c r="D4214" t="str">
        <f>VLOOKUP(B4214,ERA_MOTIF_TYPES.csv!$A$1:$C$119,2,1)</f>
        <v>Cup Groove and arc</v>
      </c>
      <c r="E4214" t="str">
        <f>VLOOKUP(A4214,Panels!$A$1:$E$2104,5,0)</f>
        <v>West Shaftoe Farm</v>
      </c>
    </row>
    <row r="4215">
      <c r="A4215" s="3">
        <v>1615.0</v>
      </c>
      <c r="B4215" s="3">
        <v>52.0</v>
      </c>
      <c r="C4215" s="3">
        <v>1.0</v>
      </c>
      <c r="D4215" t="str">
        <f>VLOOKUP(B4215,ERA_MOTIF_TYPES.csv!$A$1:$C$119,2,1)</f>
        <v>Single or multiple cups</v>
      </c>
      <c r="E4215" t="str">
        <f>VLOOKUP(A4215,Panels!$A$1:$E$2104,5,0)</f>
        <v>West Shaftoe Farm</v>
      </c>
    </row>
    <row r="4216">
      <c r="A4216" s="3">
        <v>1616.0</v>
      </c>
      <c r="B4216" s="3">
        <v>1.0</v>
      </c>
      <c r="C4216" s="3">
        <v>5.0</v>
      </c>
      <c r="D4216" t="str">
        <f>VLOOKUP(B4216,ERA_MOTIF_TYPES.csv!$A$1:$C$119,2,1)</f>
        <v>Cups Single</v>
      </c>
      <c r="E4216" t="str">
        <f>VLOOKUP(A4216,Panels!$A$1:$E$2104,5,0)</f>
        <v>West Shaftoe Farm</v>
      </c>
    </row>
    <row r="4217">
      <c r="A4217" s="3">
        <v>1616.0</v>
      </c>
      <c r="B4217" s="3">
        <v>15.0</v>
      </c>
      <c r="C4217" s="3">
        <v>1.0</v>
      </c>
      <c r="D4217" t="str">
        <f>VLOOKUP(B4217,ERA_MOTIF_TYPES.csv!$A$1:$C$119,2,1)</f>
        <v>Multi Penanular + cup</v>
      </c>
      <c r="E4217" t="str">
        <f>VLOOKUP(A4217,Panels!$A$1:$E$2104,5,0)</f>
        <v>West Shaftoe Farm</v>
      </c>
    </row>
    <row r="4218">
      <c r="A4218" s="3">
        <v>1616.0</v>
      </c>
      <c r="B4218" s="3">
        <v>52.0</v>
      </c>
      <c r="C4218" s="3">
        <v>5.0</v>
      </c>
      <c r="D4218" t="str">
        <f>VLOOKUP(B4218,ERA_MOTIF_TYPES.csv!$A$1:$C$119,2,1)</f>
        <v>Single or multiple cups</v>
      </c>
      <c r="E4218" t="str">
        <f>VLOOKUP(A4218,Panels!$A$1:$E$2104,5,0)</f>
        <v>West Shaftoe Farm</v>
      </c>
    </row>
    <row r="4219">
      <c r="A4219" s="3">
        <v>1616.0</v>
      </c>
      <c r="B4219" s="3">
        <v>60.0</v>
      </c>
      <c r="C4219" s="3">
        <v>1.0</v>
      </c>
      <c r="D4219" t="str">
        <f>VLOOKUP(B4219,ERA_MOTIF_TYPES.csv!$A$1:$C$119,2,1)</f>
        <v>Cup and multiple penannulars</v>
      </c>
      <c r="E4219" t="str">
        <f>VLOOKUP(A4219,Panels!$A$1:$E$2104,5,0)</f>
        <v>West Shaftoe Farm</v>
      </c>
    </row>
    <row r="4220">
      <c r="A4220" s="3">
        <v>1617.0</v>
      </c>
      <c r="B4220" s="3">
        <v>52.0</v>
      </c>
      <c r="C4220" s="3">
        <v>1.0</v>
      </c>
      <c r="D4220" t="str">
        <f>VLOOKUP(B4220,ERA_MOTIF_TYPES.csv!$A$1:$C$119,2,1)</f>
        <v>Single or multiple cups</v>
      </c>
      <c r="E4220" t="str">
        <f>VLOOKUP(A4220,Panels!$A$1:$E$2104,5,0)</f>
        <v>West Shaftoe Farm</v>
      </c>
    </row>
    <row r="4221">
      <c r="A4221" s="3">
        <v>1618.0</v>
      </c>
      <c r="B4221" s="3">
        <v>52.0</v>
      </c>
      <c r="C4221" s="3">
        <v>2.0</v>
      </c>
      <c r="D4221" t="str">
        <f>VLOOKUP(B4221,ERA_MOTIF_TYPES.csv!$A$1:$C$119,2,1)</f>
        <v>Single or multiple cups</v>
      </c>
      <c r="E4221" t="str">
        <f>VLOOKUP(A4221,Panels!$A$1:$E$2104,5,0)</f>
        <v>West Shaftoe Farm</v>
      </c>
    </row>
    <row r="4222">
      <c r="A4222" s="3">
        <v>1619.0</v>
      </c>
      <c r="B4222" s="3">
        <v>1.0</v>
      </c>
      <c r="C4222" s="3">
        <v>1.0</v>
      </c>
      <c r="D4222" t="str">
        <f>VLOOKUP(B4222,ERA_MOTIF_TYPES.csv!$A$1:$C$119,2,1)</f>
        <v>Cups Single</v>
      </c>
      <c r="E4222" t="str">
        <f>VLOOKUP(A4222,Panels!$A$1:$E$2104,5,0)</f>
        <v>Ferney Chesters</v>
      </c>
    </row>
    <row r="4223">
      <c r="A4223" s="3">
        <v>1619.0</v>
      </c>
      <c r="B4223" s="3">
        <v>50.0</v>
      </c>
      <c r="C4223" s="3">
        <v>4.0</v>
      </c>
      <c r="D4223" t="str">
        <f>VLOOKUP(B4223,ERA_MOTIF_TYPES.csv!$A$1:$C$119,2,1)</f>
        <v>Channels</v>
      </c>
      <c r="E4223" t="str">
        <f>VLOOKUP(A4223,Panels!$A$1:$E$2104,5,0)</f>
        <v>Ferney Chesters</v>
      </c>
    </row>
    <row r="4224">
      <c r="A4224" s="3">
        <v>1620.0</v>
      </c>
      <c r="B4224" s="3">
        <v>1.0</v>
      </c>
      <c r="C4224" s="3">
        <v>3.0</v>
      </c>
      <c r="D4224" t="str">
        <f>VLOOKUP(B4224,ERA_MOTIF_TYPES.csv!$A$1:$C$119,2,1)</f>
        <v>Cups Single</v>
      </c>
      <c r="E4224" t="str">
        <f>VLOOKUP(A4224,Panels!$A$1:$E$2104,5,0)</f>
        <v>Ferney Chesters</v>
      </c>
    </row>
    <row r="4225">
      <c r="A4225" s="3">
        <v>1621.0</v>
      </c>
      <c r="B4225" s="3">
        <v>1.0</v>
      </c>
      <c r="C4225" s="3">
        <v>1.0</v>
      </c>
      <c r="D4225" t="str">
        <f>VLOOKUP(B4225,ERA_MOTIF_TYPES.csv!$A$1:$C$119,2,1)</f>
        <v>Cups Single</v>
      </c>
      <c r="E4225" t="str">
        <f>VLOOKUP(A4225,Panels!$A$1:$E$2104,5,0)</f>
        <v>Ferney Chesters</v>
      </c>
    </row>
    <row r="4226">
      <c r="A4226" s="3">
        <v>1623.0</v>
      </c>
      <c r="B4226" s="3">
        <v>1.0</v>
      </c>
      <c r="C4226" s="3">
        <v>3.0</v>
      </c>
      <c r="D4226" t="str">
        <f>VLOOKUP(B4226,ERA_MOTIF_TYPES.csv!$A$1:$C$119,2,1)</f>
        <v>Cups Single</v>
      </c>
      <c r="E4226" t="str">
        <f>VLOOKUP(A4226,Panels!$A$1:$E$2104,5,0)</f>
        <v>Ferney Chesters</v>
      </c>
    </row>
    <row r="4227">
      <c r="A4227" s="3">
        <v>1623.0</v>
      </c>
      <c r="B4227" s="3">
        <v>6.0</v>
      </c>
      <c r="C4227" s="3">
        <v>1.0</v>
      </c>
      <c r="D4227" t="str">
        <f>VLOOKUP(B4227,ERA_MOTIF_TYPES.csv!$A$1:$C$119,2,1)</f>
        <v>curved or straight line</v>
      </c>
      <c r="E4227" t="str">
        <f>VLOOKUP(A4227,Panels!$A$1:$E$2104,5,0)</f>
        <v>Ferney Chesters</v>
      </c>
    </row>
    <row r="4228">
      <c r="A4228" s="3">
        <v>1624.0</v>
      </c>
      <c r="B4228" s="3">
        <v>1.0</v>
      </c>
      <c r="C4228" s="3">
        <v>4.0</v>
      </c>
      <c r="D4228" t="str">
        <f>VLOOKUP(B4228,ERA_MOTIF_TYPES.csv!$A$1:$C$119,2,1)</f>
        <v>Cups Single</v>
      </c>
      <c r="E4228" t="str">
        <f>VLOOKUP(A4228,Panels!$A$1:$E$2104,5,0)</f>
        <v>Ferney Chesters</v>
      </c>
    </row>
    <row r="4229">
      <c r="A4229" s="3">
        <v>1625.0</v>
      </c>
      <c r="B4229" s="3">
        <v>1.0</v>
      </c>
      <c r="C4229" s="3">
        <v>7.0</v>
      </c>
      <c r="D4229" t="str">
        <f>VLOOKUP(B4229,ERA_MOTIF_TYPES.csv!$A$1:$C$119,2,1)</f>
        <v>Cups Single</v>
      </c>
      <c r="E4229" t="str">
        <f>VLOOKUP(A4229,Panels!$A$1:$E$2104,5,0)</f>
        <v>Beside the Devil's Causeway</v>
      </c>
    </row>
    <row r="4230">
      <c r="A4230" s="3">
        <v>1626.0</v>
      </c>
      <c r="B4230" s="3">
        <v>35.0</v>
      </c>
      <c r="C4230" s="3">
        <v>1.0</v>
      </c>
      <c r="D4230" t="str">
        <f>VLOOKUP(B4230,ERA_MOTIF_TYPES.csv!$A$1:$C$119,2,1)</f>
        <v>Cup Groove and multi penannular</v>
      </c>
      <c r="E4230" t="str">
        <f>VLOOKUP(A4230,Panels!$A$1:$E$2104,5,0)</f>
        <v>Shortflatt</v>
      </c>
    </row>
    <row r="4231">
      <c r="A4231" s="3">
        <v>1626.0</v>
      </c>
      <c r="B4231" s="3">
        <v>66.0</v>
      </c>
      <c r="C4231" s="3">
        <v>1.0</v>
      </c>
      <c r="D4231" t="str">
        <f>VLOOKUP(B4231,ERA_MOTIF_TYPES.csv!$A$1:$C$119,2,1)</f>
        <v>Cup and groove with multiple penannulars</v>
      </c>
      <c r="E4231" t="str">
        <f>VLOOKUP(A4231,Panels!$A$1:$E$2104,5,0)</f>
        <v>Shortflatt</v>
      </c>
    </row>
    <row r="4232">
      <c r="A4232" s="3">
        <v>1627.0</v>
      </c>
      <c r="B4232" s="3">
        <v>52.0</v>
      </c>
      <c r="C4232" s="3">
        <v>1.0</v>
      </c>
      <c r="D4232" t="str">
        <f>VLOOKUP(B4232,ERA_MOTIF_TYPES.csv!$A$1:$C$119,2,1)</f>
        <v>Single or multiple cups</v>
      </c>
      <c r="E4232" t="str">
        <f>VLOOKUP(A4232,Panels!$A$1:$E$2104,5,0)</f>
        <v>Shortflatt</v>
      </c>
    </row>
    <row r="4233">
      <c r="A4233" s="3">
        <v>1628.0</v>
      </c>
      <c r="B4233" s="3">
        <v>1.0</v>
      </c>
      <c r="C4233" s="3">
        <v>2.0</v>
      </c>
      <c r="D4233" t="str">
        <f>VLOOKUP(B4233,ERA_MOTIF_TYPES.csv!$A$1:$C$119,2,1)</f>
        <v>Cups Single</v>
      </c>
      <c r="E4233" t="str">
        <f>VLOOKUP(A4233,Panels!$A$1:$E$2104,5,0)</f>
        <v>Shortflatt</v>
      </c>
    </row>
    <row r="4234">
      <c r="A4234" s="3">
        <v>1628.0</v>
      </c>
      <c r="B4234" s="3">
        <v>25.0</v>
      </c>
      <c r="C4234" s="3">
        <v>1.0</v>
      </c>
      <c r="D4234" t="str">
        <f>VLOOKUP(B4234,ERA_MOTIF_TYPES.csv!$A$1:$C$119,2,1)</f>
        <v>Linear</v>
      </c>
      <c r="E4234" t="str">
        <f>VLOOKUP(A4234,Panels!$A$1:$E$2104,5,0)</f>
        <v>Shortflatt</v>
      </c>
    </row>
    <row r="4235">
      <c r="A4235" s="3">
        <v>1628.0</v>
      </c>
      <c r="B4235" s="3">
        <v>34.0</v>
      </c>
      <c r="C4235" s="3">
        <v>1.0</v>
      </c>
      <c r="D4235" t="str">
        <f>VLOOKUP(B4235,ERA_MOTIF_TYPES.csv!$A$1:$C$119,2,1)</f>
        <v>Cup Groove and penannular</v>
      </c>
      <c r="E4235" t="str">
        <f>VLOOKUP(A4235,Panels!$A$1:$E$2104,5,0)</f>
        <v>Shortflatt</v>
      </c>
    </row>
    <row r="4236">
      <c r="A4236" s="3">
        <v>1628.0</v>
      </c>
      <c r="B4236" s="3">
        <v>35.0</v>
      </c>
      <c r="C4236" s="3">
        <v>1.0</v>
      </c>
      <c r="D4236" t="str">
        <f>VLOOKUP(B4236,ERA_MOTIF_TYPES.csv!$A$1:$C$119,2,1)</f>
        <v>Cup Groove and multi penannular</v>
      </c>
      <c r="E4236" t="str">
        <f>VLOOKUP(A4236,Panels!$A$1:$E$2104,5,0)</f>
        <v>Shortflatt</v>
      </c>
    </row>
    <row r="4237">
      <c r="A4237" s="3">
        <v>1628.0</v>
      </c>
      <c r="B4237" s="3">
        <v>65.0</v>
      </c>
      <c r="C4237" s="3">
        <v>1.0</v>
      </c>
      <c r="D4237" t="str">
        <f>VLOOKUP(B4237,ERA_MOTIF_TYPES.csv!$A$1:$C$119,2,1)</f>
        <v>Cup and groove with penannular</v>
      </c>
      <c r="E4237" t="str">
        <f>VLOOKUP(A4237,Panels!$A$1:$E$2104,5,0)</f>
        <v>Shortflatt</v>
      </c>
    </row>
    <row r="4238">
      <c r="A4238" s="3">
        <v>1628.0</v>
      </c>
      <c r="B4238" s="3">
        <v>66.0</v>
      </c>
      <c r="C4238" s="3">
        <v>1.0</v>
      </c>
      <c r="D4238" t="str">
        <f>VLOOKUP(B4238,ERA_MOTIF_TYPES.csv!$A$1:$C$119,2,1)</f>
        <v>Cup and groove with multiple penannulars</v>
      </c>
      <c r="E4238" t="str">
        <f>VLOOKUP(A4238,Panels!$A$1:$E$2104,5,0)</f>
        <v>Shortflatt</v>
      </c>
    </row>
    <row r="4239">
      <c r="A4239" s="3">
        <v>1628.0</v>
      </c>
      <c r="B4239" s="3">
        <v>103.0</v>
      </c>
      <c r="C4239" s="3">
        <v>1.0</v>
      </c>
      <c r="D4239" t="str">
        <f>VLOOKUP(B4239,ERA_MOTIF_TYPES.csv!$A$1:$C$119,2,1)</f>
        <v>Cup and groove</v>
      </c>
      <c r="E4239" t="str">
        <f>VLOOKUP(A4239,Panels!$A$1:$E$2104,5,0)</f>
        <v>Shortflatt</v>
      </c>
    </row>
    <row r="4240">
      <c r="A4240" s="3">
        <v>1629.0</v>
      </c>
      <c r="B4240" s="3">
        <v>52.0</v>
      </c>
      <c r="C4240" s="3">
        <v>1.0</v>
      </c>
      <c r="D4240" t="str">
        <f>VLOOKUP(B4240,ERA_MOTIF_TYPES.csv!$A$1:$C$119,2,1)</f>
        <v>Single or multiple cups</v>
      </c>
      <c r="E4240" t="str">
        <f>VLOOKUP(A4240,Panels!$A$1:$E$2104,5,0)</f>
        <v>Shortflatt</v>
      </c>
    </row>
    <row r="4241">
      <c r="A4241" s="3">
        <v>1629.0</v>
      </c>
      <c r="B4241" s="3">
        <v>100.0</v>
      </c>
      <c r="C4241" s="3">
        <v>1.0</v>
      </c>
      <c r="D4241" t="str">
        <f>VLOOKUP(B4241,ERA_MOTIF_TYPES.csv!$A$1:$C$119,2,1)</f>
        <v>Pick marks</v>
      </c>
      <c r="E4241" t="str">
        <f>VLOOKUP(A4241,Panels!$A$1:$E$2104,5,0)</f>
        <v>Shortflatt</v>
      </c>
    </row>
    <row r="4242">
      <c r="A4242" s="3">
        <v>1634.0</v>
      </c>
      <c r="B4242" s="3">
        <v>1.0</v>
      </c>
      <c r="C4242" s="3">
        <v>1.0</v>
      </c>
      <c r="D4242" t="str">
        <f>VLOOKUP(B4242,ERA_MOTIF_TYPES.csv!$A$1:$C$119,2,1)</f>
        <v>Cups Single</v>
      </c>
      <c r="E4242" t="str">
        <f>VLOOKUP(A4242,Panels!$A$1:$E$2104,5,0)</f>
        <v>Wallington Newhouses</v>
      </c>
    </row>
    <row r="4243">
      <c r="A4243" s="3">
        <v>1635.0</v>
      </c>
      <c r="B4243" s="3">
        <v>1.0</v>
      </c>
      <c r="C4243" s="3">
        <v>6.0</v>
      </c>
      <c r="D4243" t="str">
        <f>VLOOKUP(B4243,ERA_MOTIF_TYPES.csv!$A$1:$C$119,2,1)</f>
        <v>Cups Single</v>
      </c>
      <c r="E4243" t="str">
        <f>VLOOKUP(A4243,Panels!$A$1:$E$2104,5,0)</f>
        <v>Bolam</v>
      </c>
    </row>
    <row r="4244">
      <c r="A4244" s="3">
        <v>1637.0</v>
      </c>
      <c r="B4244" s="3">
        <v>16.0</v>
      </c>
      <c r="C4244" s="3">
        <v>1.0</v>
      </c>
      <c r="D4244" t="str">
        <f>VLOOKUP(B4244,ERA_MOTIF_TYPES.csv!$A$1:$C$119,2,1)</f>
        <v>Single Arc + cup</v>
      </c>
      <c r="E4244" t="str">
        <f>VLOOKUP(A4244,Panels!$A$1:$E$2104,5,0)</f>
        <v>Ewe Hill, Hethpool</v>
      </c>
    </row>
    <row r="4245">
      <c r="A4245" s="3">
        <v>1638.0</v>
      </c>
      <c r="B4245" s="3">
        <v>1.0</v>
      </c>
      <c r="C4245" s="3">
        <v>1.0</v>
      </c>
      <c r="D4245" t="str">
        <f>VLOOKUP(B4245,ERA_MOTIF_TYPES.csv!$A$1:$C$119,2,1)</f>
        <v>Cups Single</v>
      </c>
      <c r="E4245" t="str">
        <f>VLOOKUP(A4245,Panels!$A$1:$E$2104,5,0)</f>
        <v>Ewe Hill, Hethpool</v>
      </c>
    </row>
    <row r="4246">
      <c r="A4246" s="3">
        <v>1700.0</v>
      </c>
      <c r="B4246" s="3">
        <v>1.0</v>
      </c>
      <c r="C4246" s="3">
        <v>17.0</v>
      </c>
      <c r="D4246" t="str">
        <f>VLOOKUP(B4246,ERA_MOTIF_TYPES.csv!$A$1:$C$119,2,1)</f>
        <v>Cups Single</v>
      </c>
      <c r="E4246" t="str">
        <f>VLOOKUP(A4246,Panels!$A$1:$E$2104,5,0)</f>
        <v>East Loups's</v>
      </c>
    </row>
    <row r="4247">
      <c r="A4247" s="3">
        <v>1701.0</v>
      </c>
      <c r="B4247" s="3">
        <v>6.0</v>
      </c>
      <c r="C4247" s="3">
        <v>6.0</v>
      </c>
      <c r="D4247" t="str">
        <f>VLOOKUP(B4247,ERA_MOTIF_TYPES.csv!$A$1:$C$119,2,1)</f>
        <v>curved or straight line</v>
      </c>
      <c r="E4247" t="str">
        <f>VLOOKUP(A4247,Panels!$A$1:$E$2104,5,0)</f>
        <v>Loups's Hill</v>
      </c>
    </row>
    <row r="4248">
      <c r="A4248" s="3">
        <v>1701.0</v>
      </c>
      <c r="B4248" s="3">
        <v>13.0</v>
      </c>
      <c r="C4248" s="3">
        <v>1.0</v>
      </c>
      <c r="D4248" t="str">
        <f>VLOOKUP(B4248,ERA_MOTIF_TYPES.csv!$A$1:$C$119,2,1)</f>
        <v>Single Ring + cup</v>
      </c>
      <c r="E4248" t="str">
        <f>VLOOKUP(A4248,Panels!$A$1:$E$2104,5,0)</f>
        <v>Loups's Hill</v>
      </c>
    </row>
    <row r="4249">
      <c r="A4249" s="3">
        <v>1701.0</v>
      </c>
      <c r="B4249" s="3">
        <v>25.0</v>
      </c>
      <c r="C4249" s="3">
        <v>2.0</v>
      </c>
      <c r="D4249" t="str">
        <f>VLOOKUP(B4249,ERA_MOTIF_TYPES.csv!$A$1:$C$119,2,1)</f>
        <v>Linear</v>
      </c>
      <c r="E4249" t="str">
        <f>VLOOKUP(A4249,Panels!$A$1:$E$2104,5,0)</f>
        <v>Loups's Hill</v>
      </c>
    </row>
    <row r="4250">
      <c r="A4250" s="3">
        <v>1702.0</v>
      </c>
      <c r="B4250" s="3">
        <v>13.0</v>
      </c>
      <c r="C4250" s="3">
        <v>2.0</v>
      </c>
      <c r="D4250" t="str">
        <f>VLOOKUP(B4250,ERA_MOTIF_TYPES.csv!$A$1:$C$119,2,1)</f>
        <v>Single Ring + cup</v>
      </c>
      <c r="E4250" t="str">
        <f>VLOOKUP(A4250,Panels!$A$1:$E$2104,5,0)</f>
        <v>Loups's Hill</v>
      </c>
    </row>
    <row r="4251">
      <c r="A4251" s="3">
        <v>1703.0</v>
      </c>
      <c r="B4251" s="3">
        <v>1.0</v>
      </c>
      <c r="C4251" s="3">
        <v>3.0</v>
      </c>
      <c r="D4251" t="str">
        <f>VLOOKUP(B4251,ERA_MOTIF_TYPES.csv!$A$1:$C$119,2,1)</f>
        <v>Cups Single</v>
      </c>
      <c r="E4251" t="str">
        <f>VLOOKUP(A4251,Panels!$A$1:$E$2104,5,0)</f>
        <v>Loups's Hill</v>
      </c>
    </row>
    <row r="4252">
      <c r="A4252" s="3">
        <v>1703.0</v>
      </c>
      <c r="B4252" s="3">
        <v>13.0</v>
      </c>
      <c r="C4252" s="3">
        <v>1.0</v>
      </c>
      <c r="D4252" t="str">
        <f>VLOOKUP(B4252,ERA_MOTIF_TYPES.csv!$A$1:$C$119,2,1)</f>
        <v>Single Ring + cup</v>
      </c>
      <c r="E4252" t="str">
        <f>VLOOKUP(A4252,Panels!$A$1:$E$2104,5,0)</f>
        <v>Loups's Hill</v>
      </c>
    </row>
    <row r="4253">
      <c r="A4253" s="3">
        <v>1703.0</v>
      </c>
      <c r="B4253" s="3">
        <v>25.0</v>
      </c>
      <c r="C4253" s="3">
        <v>2.0</v>
      </c>
      <c r="D4253" t="str">
        <f>VLOOKUP(B4253,ERA_MOTIF_TYPES.csv!$A$1:$C$119,2,1)</f>
        <v>Linear</v>
      </c>
      <c r="E4253" t="str">
        <f>VLOOKUP(A4253,Panels!$A$1:$E$2104,5,0)</f>
        <v>Loups's Hill</v>
      </c>
    </row>
    <row r="4254">
      <c r="A4254" s="3">
        <v>1703.0</v>
      </c>
      <c r="B4254" s="3">
        <v>46.0</v>
      </c>
      <c r="C4254" s="3">
        <v>1.0</v>
      </c>
      <c r="D4254" t="str">
        <f>VLOOKUP(B4254,ERA_MOTIF_TYPES.csv!$A$1:$C$119,2,1)</f>
        <v>Groove and cups</v>
      </c>
      <c r="E4254" t="str">
        <f>VLOOKUP(A4254,Panels!$A$1:$E$2104,5,0)</f>
        <v>Loups's Hill</v>
      </c>
    </row>
    <row r="4255">
      <c r="A4255" s="3">
        <v>1704.0</v>
      </c>
      <c r="B4255" s="3">
        <v>1.0</v>
      </c>
      <c r="C4255" s="3">
        <v>10.0</v>
      </c>
      <c r="D4255" t="str">
        <f>VLOOKUP(B4255,ERA_MOTIF_TYPES.csv!$A$1:$C$119,2,1)</f>
        <v>Cups Single</v>
      </c>
      <c r="E4255" t="str">
        <f>VLOOKUP(A4255,Panels!$A$1:$E$2104,5,0)</f>
        <v>West Loups's</v>
      </c>
    </row>
    <row r="4256">
      <c r="A4256" s="3">
        <v>1705.0</v>
      </c>
      <c r="B4256" s="3">
        <v>1.0</v>
      </c>
      <c r="C4256" s="3">
        <v>6.0</v>
      </c>
      <c r="D4256" t="str">
        <f>VLOOKUP(B4256,ERA_MOTIF_TYPES.csv!$A$1:$C$119,2,1)</f>
        <v>Cups Single</v>
      </c>
      <c r="E4256" t="str">
        <f>VLOOKUP(A4256,Panels!$A$1:$E$2104,5,0)</f>
        <v>West Loups's</v>
      </c>
    </row>
    <row r="4257">
      <c r="A4257" s="3">
        <v>1705.0</v>
      </c>
      <c r="B4257" s="3">
        <v>13.0</v>
      </c>
      <c r="C4257" s="3">
        <v>1.0</v>
      </c>
      <c r="D4257" t="str">
        <f>VLOOKUP(B4257,ERA_MOTIF_TYPES.csv!$A$1:$C$119,2,1)</f>
        <v>Single Ring + cup</v>
      </c>
      <c r="E4257" t="str">
        <f>VLOOKUP(A4257,Panels!$A$1:$E$2104,5,0)</f>
        <v>West Loups's</v>
      </c>
    </row>
    <row r="4258">
      <c r="A4258" s="3">
        <v>1705.0</v>
      </c>
      <c r="B4258" s="3">
        <v>16.0</v>
      </c>
      <c r="C4258" s="3">
        <v>1.0</v>
      </c>
      <c r="D4258" t="str">
        <f>VLOOKUP(B4258,ERA_MOTIF_TYPES.csv!$A$1:$C$119,2,1)</f>
        <v>Single Arc + cup</v>
      </c>
      <c r="E4258" t="str">
        <f>VLOOKUP(A4258,Panels!$A$1:$E$2104,5,0)</f>
        <v>West Loups's</v>
      </c>
    </row>
    <row r="4259">
      <c r="A4259" s="3">
        <v>1706.0</v>
      </c>
      <c r="B4259" s="3">
        <v>1.0</v>
      </c>
      <c r="C4259" s="3">
        <v>4.0</v>
      </c>
      <c r="D4259" t="str">
        <f>VLOOKUP(B4259,ERA_MOTIF_TYPES.csv!$A$1:$C$119,2,1)</f>
        <v>Cups Single</v>
      </c>
      <c r="E4259" t="str">
        <f>VLOOKUP(A4259,Panels!$A$1:$E$2104,5,0)</f>
        <v>West Loups's</v>
      </c>
    </row>
    <row r="4260">
      <c r="A4260" s="3">
        <v>1706.0</v>
      </c>
      <c r="B4260" s="3">
        <v>13.0</v>
      </c>
      <c r="C4260" s="3">
        <v>4.0</v>
      </c>
      <c r="D4260" t="str">
        <f>VLOOKUP(B4260,ERA_MOTIF_TYPES.csv!$A$1:$C$119,2,1)</f>
        <v>Single Ring + cup</v>
      </c>
      <c r="E4260" t="str">
        <f>VLOOKUP(A4260,Panels!$A$1:$E$2104,5,0)</f>
        <v>West Loups's</v>
      </c>
    </row>
    <row r="4261">
      <c r="A4261" s="3">
        <v>1707.0</v>
      </c>
      <c r="B4261" s="3">
        <v>1.0</v>
      </c>
      <c r="C4261" s="3">
        <v>3.0</v>
      </c>
      <c r="D4261" t="str">
        <f>VLOOKUP(B4261,ERA_MOTIF_TYPES.csv!$A$1:$C$119,2,1)</f>
        <v>Cups Single</v>
      </c>
      <c r="E4261" t="str">
        <f>VLOOKUP(A4261,Panels!$A$1:$E$2104,5,0)</f>
        <v>West Loups's</v>
      </c>
    </row>
    <row r="4262">
      <c r="A4262" s="3">
        <v>1707.0</v>
      </c>
      <c r="B4262" s="3">
        <v>13.0</v>
      </c>
      <c r="C4262" s="3">
        <v>1.0</v>
      </c>
      <c r="D4262" t="str">
        <f>VLOOKUP(B4262,ERA_MOTIF_TYPES.csv!$A$1:$C$119,2,1)</f>
        <v>Single Ring + cup</v>
      </c>
      <c r="E4262" t="str">
        <f>VLOOKUP(A4262,Panels!$A$1:$E$2104,5,0)</f>
        <v>West Loups's</v>
      </c>
    </row>
    <row r="4263">
      <c r="A4263" s="3">
        <v>1708.0</v>
      </c>
      <c r="B4263" s="3">
        <v>1.0</v>
      </c>
      <c r="C4263" s="3">
        <v>7.0</v>
      </c>
      <c r="D4263" t="str">
        <f>VLOOKUP(B4263,ERA_MOTIF_TYPES.csv!$A$1:$C$119,2,1)</f>
        <v>Cups Single</v>
      </c>
      <c r="E4263" t="str">
        <f>VLOOKUP(A4263,Panels!$A$1:$E$2104,5,0)</f>
        <v>West Loups's</v>
      </c>
    </row>
    <row r="4264">
      <c r="A4264" s="3">
        <v>1708.0</v>
      </c>
      <c r="B4264" s="3">
        <v>25.0</v>
      </c>
      <c r="C4264" s="3">
        <v>1.0</v>
      </c>
      <c r="D4264" t="str">
        <f>VLOOKUP(B4264,ERA_MOTIF_TYPES.csv!$A$1:$C$119,2,1)</f>
        <v>Linear</v>
      </c>
      <c r="E4264" t="str">
        <f>VLOOKUP(A4264,Panels!$A$1:$E$2104,5,0)</f>
        <v>West Loups's</v>
      </c>
    </row>
    <row r="4265">
      <c r="A4265" s="3">
        <v>1708.0</v>
      </c>
      <c r="B4265" s="3">
        <v>31.0</v>
      </c>
      <c r="C4265" s="3">
        <v>1.0</v>
      </c>
      <c r="D4265" t="str">
        <f>VLOOKUP(B4265,ERA_MOTIF_TYPES.csv!$A$1:$C$119,2,1)</f>
        <v>Cup and Groove</v>
      </c>
      <c r="E4265" t="str">
        <f>VLOOKUP(A4265,Panels!$A$1:$E$2104,5,0)</f>
        <v>West Loups's</v>
      </c>
    </row>
    <row r="4266">
      <c r="A4266" s="3">
        <v>1708.0</v>
      </c>
      <c r="B4266" s="3">
        <v>44.0</v>
      </c>
      <c r="C4266" s="3">
        <v>1.0</v>
      </c>
      <c r="D4266" t="str">
        <f>VLOOKUP(B4266,ERA_MOTIF_TYPES.csv!$A$1:$C$119,2,1)</f>
        <v>Rossette</v>
      </c>
      <c r="E4266" t="str">
        <f>VLOOKUP(A4266,Panels!$A$1:$E$2104,5,0)</f>
        <v>West Loups's</v>
      </c>
    </row>
    <row r="4267">
      <c r="A4267" s="3">
        <v>1709.0</v>
      </c>
      <c r="B4267" s="3">
        <v>1.0</v>
      </c>
      <c r="C4267" s="3">
        <v>3.0</v>
      </c>
      <c r="D4267" t="str">
        <f>VLOOKUP(B4267,ERA_MOTIF_TYPES.csv!$A$1:$C$119,2,1)</f>
        <v>Cups Single</v>
      </c>
      <c r="E4267" t="str">
        <f>VLOOKUP(A4267,Panels!$A$1:$E$2104,5,0)</f>
        <v>Kearton Rigg</v>
      </c>
    </row>
    <row r="4268">
      <c r="A4268" s="3">
        <v>1709.0</v>
      </c>
      <c r="B4268" s="3">
        <v>13.0</v>
      </c>
      <c r="C4268" s="3">
        <v>2.0</v>
      </c>
      <c r="D4268" t="str">
        <f>VLOOKUP(B4268,ERA_MOTIF_TYPES.csv!$A$1:$C$119,2,1)</f>
        <v>Single Ring + cup</v>
      </c>
      <c r="E4268" t="str">
        <f>VLOOKUP(A4268,Panels!$A$1:$E$2104,5,0)</f>
        <v>Kearton Rigg</v>
      </c>
    </row>
    <row r="4269">
      <c r="A4269" s="3">
        <v>1709.0</v>
      </c>
      <c r="B4269" s="3">
        <v>25.0</v>
      </c>
      <c r="C4269" s="3">
        <v>1.0</v>
      </c>
      <c r="D4269" t="str">
        <f>VLOOKUP(B4269,ERA_MOTIF_TYPES.csv!$A$1:$C$119,2,1)</f>
        <v>Linear</v>
      </c>
      <c r="E4269" t="str">
        <f>VLOOKUP(A4269,Panels!$A$1:$E$2104,5,0)</f>
        <v>Kearton Rigg</v>
      </c>
    </row>
    <row r="4270">
      <c r="A4270" s="3">
        <v>1709.0</v>
      </c>
      <c r="B4270" s="3">
        <v>32.0</v>
      </c>
      <c r="C4270" s="3">
        <v>2.0</v>
      </c>
      <c r="D4270" t="str">
        <f>VLOOKUP(B4270,ERA_MOTIF_TYPES.csv!$A$1:$C$119,2,1)</f>
        <v>Cup Groove and single ring</v>
      </c>
      <c r="E4270" t="str">
        <f>VLOOKUP(A4270,Panels!$A$1:$E$2104,5,0)</f>
        <v>Kearton Rigg</v>
      </c>
    </row>
    <row r="4271">
      <c r="A4271" s="3">
        <v>1710.0</v>
      </c>
      <c r="B4271" s="3">
        <v>1.0</v>
      </c>
      <c r="C4271" s="3">
        <v>7.0</v>
      </c>
      <c r="D4271" t="str">
        <f>VLOOKUP(B4271,ERA_MOTIF_TYPES.csv!$A$1:$C$119,2,1)</f>
        <v>Cups Single</v>
      </c>
      <c r="E4271" t="str">
        <f>VLOOKUP(A4271,Panels!$A$1:$E$2104,5,0)</f>
        <v>Kearton Rigg</v>
      </c>
    </row>
    <row r="4272">
      <c r="A4272" s="3">
        <v>1711.0</v>
      </c>
      <c r="B4272" s="3">
        <v>1.0</v>
      </c>
      <c r="C4272" s="3">
        <v>15.0</v>
      </c>
      <c r="D4272" t="str">
        <f>VLOOKUP(B4272,ERA_MOTIF_TYPES.csv!$A$1:$C$119,2,1)</f>
        <v>Cups Single</v>
      </c>
      <c r="E4272" t="str">
        <f>VLOOKUP(A4272,Panels!$A$1:$E$2104,5,0)</f>
        <v>Goldsborough Rigg</v>
      </c>
    </row>
    <row r="4273">
      <c r="A4273" s="3">
        <v>1711.0</v>
      </c>
      <c r="B4273" s="3">
        <v>4.0</v>
      </c>
      <c r="C4273" s="3">
        <v>1.0</v>
      </c>
      <c r="D4273" t="str">
        <f>VLOOKUP(B4273,ERA_MOTIF_TYPES.csv!$A$1:$C$119,2,1)</f>
        <v>Counter-sunk</v>
      </c>
      <c r="E4273" t="str">
        <f>VLOOKUP(A4273,Panels!$A$1:$E$2104,5,0)</f>
        <v>Goldsborough Rigg</v>
      </c>
    </row>
    <row r="4274">
      <c r="A4274" s="3">
        <v>1711.0</v>
      </c>
      <c r="B4274" s="3">
        <v>13.0</v>
      </c>
      <c r="C4274" s="3">
        <v>7.0</v>
      </c>
      <c r="D4274" t="str">
        <f>VLOOKUP(B4274,ERA_MOTIF_TYPES.csv!$A$1:$C$119,2,1)</f>
        <v>Single Ring + cup</v>
      </c>
      <c r="E4274" t="str">
        <f>VLOOKUP(A4274,Panels!$A$1:$E$2104,5,0)</f>
        <v>Goldsborough Rigg</v>
      </c>
    </row>
    <row r="4275">
      <c r="A4275" s="3">
        <v>1711.0</v>
      </c>
      <c r="B4275" s="3">
        <v>17.0</v>
      </c>
      <c r="C4275" s="3">
        <v>2.0</v>
      </c>
      <c r="D4275" t="str">
        <f>VLOOKUP(B4275,ERA_MOTIF_TYPES.csv!$A$1:$C$119,2,1)</f>
        <v>Single Penannular + cup</v>
      </c>
      <c r="E4275" t="str">
        <f>VLOOKUP(A4275,Panels!$A$1:$E$2104,5,0)</f>
        <v>Goldsborough Rigg</v>
      </c>
    </row>
    <row r="4276">
      <c r="A4276" s="3">
        <v>1711.0</v>
      </c>
      <c r="B4276" s="3">
        <v>25.0</v>
      </c>
      <c r="C4276" s="3">
        <v>1.0</v>
      </c>
      <c r="D4276" t="str">
        <f>VLOOKUP(B4276,ERA_MOTIF_TYPES.csv!$A$1:$C$119,2,1)</f>
        <v>Linear</v>
      </c>
      <c r="E4276" t="str">
        <f>VLOOKUP(A4276,Panels!$A$1:$E$2104,5,0)</f>
        <v>Goldsborough Rigg</v>
      </c>
    </row>
    <row r="4277">
      <c r="A4277" s="3">
        <v>1711.0</v>
      </c>
      <c r="B4277" s="3">
        <v>31.0</v>
      </c>
      <c r="C4277" s="3">
        <v>1.0</v>
      </c>
      <c r="D4277" t="str">
        <f>VLOOKUP(B4277,ERA_MOTIF_TYPES.csv!$A$1:$C$119,2,1)</f>
        <v>Cup and Groove</v>
      </c>
      <c r="E4277" t="str">
        <f>VLOOKUP(A4277,Panels!$A$1:$E$2104,5,0)</f>
        <v>Goldsborough Rigg</v>
      </c>
    </row>
    <row r="4278">
      <c r="A4278" s="3">
        <v>1712.0</v>
      </c>
      <c r="B4278" s="3">
        <v>13.0</v>
      </c>
      <c r="C4278" s="3">
        <v>1.0</v>
      </c>
      <c r="D4278" t="str">
        <f>VLOOKUP(B4278,ERA_MOTIF_TYPES.csv!$A$1:$C$119,2,1)</f>
        <v>Single Ring + cup</v>
      </c>
      <c r="E4278" t="str">
        <f>VLOOKUP(A4278,Panels!$A$1:$E$2104,5,0)</f>
        <v>Goldsborough Rigg</v>
      </c>
    </row>
    <row r="4279">
      <c r="A4279" s="3">
        <v>1712.0</v>
      </c>
      <c r="B4279" s="3">
        <v>31.0</v>
      </c>
      <c r="C4279" s="3">
        <v>1.0</v>
      </c>
      <c r="D4279" t="str">
        <f>VLOOKUP(B4279,ERA_MOTIF_TYPES.csv!$A$1:$C$119,2,1)</f>
        <v>Cup and Groove</v>
      </c>
      <c r="E4279" t="str">
        <f>VLOOKUP(A4279,Panels!$A$1:$E$2104,5,0)</f>
        <v>Goldsborough Rigg</v>
      </c>
    </row>
    <row r="4280">
      <c r="A4280" s="3">
        <v>1712.0</v>
      </c>
      <c r="B4280" s="3">
        <v>50.0</v>
      </c>
      <c r="C4280" s="3">
        <v>1.0</v>
      </c>
      <c r="D4280" t="str">
        <f>VLOOKUP(B4280,ERA_MOTIF_TYPES.csv!$A$1:$C$119,2,1)</f>
        <v>Channels</v>
      </c>
      <c r="E4280" t="str">
        <f>VLOOKUP(A4280,Panels!$A$1:$E$2104,5,0)</f>
        <v>Goldsborough Rigg</v>
      </c>
    </row>
    <row r="4281">
      <c r="A4281" s="3">
        <v>1713.0</v>
      </c>
      <c r="B4281" s="3">
        <v>1.0</v>
      </c>
      <c r="C4281" s="3">
        <v>4.0</v>
      </c>
      <c r="D4281" t="str">
        <f>VLOOKUP(B4281,ERA_MOTIF_TYPES.csv!$A$1:$C$119,2,1)</f>
        <v>Cups Single</v>
      </c>
      <c r="E4281" t="str">
        <f>VLOOKUP(A4281,Panels!$A$1:$E$2104,5,0)</f>
        <v>Goldsborough Rigg</v>
      </c>
    </row>
    <row r="4282">
      <c r="A4282" s="3">
        <v>1713.0</v>
      </c>
      <c r="B4282" s="3">
        <v>13.0</v>
      </c>
      <c r="C4282" s="3">
        <v>1.0</v>
      </c>
      <c r="D4282" t="str">
        <f>VLOOKUP(B4282,ERA_MOTIF_TYPES.csv!$A$1:$C$119,2,1)</f>
        <v>Single Ring + cup</v>
      </c>
      <c r="E4282" t="str">
        <f>VLOOKUP(A4282,Panels!$A$1:$E$2104,5,0)</f>
        <v>Goldsborough Rigg</v>
      </c>
    </row>
    <row r="4283">
      <c r="A4283" s="3">
        <v>1713.0</v>
      </c>
      <c r="B4283" s="3">
        <v>16.0</v>
      </c>
      <c r="C4283" s="3">
        <v>3.0</v>
      </c>
      <c r="D4283" t="str">
        <f>VLOOKUP(B4283,ERA_MOTIF_TYPES.csv!$A$1:$C$119,2,1)</f>
        <v>Single Arc + cup</v>
      </c>
      <c r="E4283" t="str">
        <f>VLOOKUP(A4283,Panels!$A$1:$E$2104,5,0)</f>
        <v>Goldsborough Rigg</v>
      </c>
    </row>
    <row r="4284">
      <c r="A4284" s="3">
        <v>1713.0</v>
      </c>
      <c r="B4284" s="3">
        <v>31.0</v>
      </c>
      <c r="C4284" s="3">
        <v>1.0</v>
      </c>
      <c r="D4284" t="str">
        <f>VLOOKUP(B4284,ERA_MOTIF_TYPES.csv!$A$1:$C$119,2,1)</f>
        <v>Cup and Groove</v>
      </c>
      <c r="E4284" t="str">
        <f>VLOOKUP(A4284,Panels!$A$1:$E$2104,5,0)</f>
        <v>Goldsborough Rigg</v>
      </c>
    </row>
    <row r="4285">
      <c r="A4285" s="3">
        <v>1714.0</v>
      </c>
      <c r="B4285" s="3">
        <v>1.0</v>
      </c>
      <c r="C4285" s="3">
        <v>1.0</v>
      </c>
      <c r="D4285" t="str">
        <f>VLOOKUP(B4285,ERA_MOTIF_TYPES.csv!$A$1:$C$119,2,1)</f>
        <v>Cups Single</v>
      </c>
      <c r="E4285" t="str">
        <f>VLOOKUP(A4285,Panels!$A$1:$E$2104,5,0)</f>
        <v>Goldsborough Rigg</v>
      </c>
    </row>
    <row r="4286">
      <c r="A4286" s="3">
        <v>1714.0</v>
      </c>
      <c r="B4286" s="3">
        <v>26.0</v>
      </c>
      <c r="C4286" s="3">
        <v>2.0</v>
      </c>
      <c r="D4286" t="str">
        <f>VLOOKUP(B4286,ERA_MOTIF_TYPES.csv!$A$1:$C$119,2,1)</f>
        <v>Parallel</v>
      </c>
      <c r="E4286" t="str">
        <f>VLOOKUP(A4286,Panels!$A$1:$E$2104,5,0)</f>
        <v>Goldsborough Rigg</v>
      </c>
    </row>
    <row r="4287">
      <c r="A4287" s="3">
        <v>1714.0</v>
      </c>
      <c r="B4287" s="3">
        <v>31.0</v>
      </c>
      <c r="C4287" s="3">
        <v>2.0</v>
      </c>
      <c r="D4287" t="str">
        <f>VLOOKUP(B4287,ERA_MOTIF_TYPES.csv!$A$1:$C$119,2,1)</f>
        <v>Cup and Groove</v>
      </c>
      <c r="E4287" t="str">
        <f>VLOOKUP(A4287,Panels!$A$1:$E$2104,5,0)</f>
        <v>Goldsborough Rigg</v>
      </c>
    </row>
    <row r="4288">
      <c r="A4288" s="3">
        <v>1715.0</v>
      </c>
      <c r="B4288" s="3">
        <v>1.0</v>
      </c>
      <c r="C4288" s="3">
        <v>1.0</v>
      </c>
      <c r="D4288" t="str">
        <f>VLOOKUP(B4288,ERA_MOTIF_TYPES.csv!$A$1:$C$119,2,1)</f>
        <v>Cups Single</v>
      </c>
      <c r="E4288" t="str">
        <f>VLOOKUP(A4288,Panels!$A$1:$E$2104,5,0)</f>
        <v>Goldsborough Rigg</v>
      </c>
    </row>
    <row r="4289">
      <c r="A4289" s="3">
        <v>1716.0</v>
      </c>
      <c r="B4289" s="3">
        <v>1.0</v>
      </c>
      <c r="C4289" s="3">
        <v>1.0</v>
      </c>
      <c r="D4289" t="str">
        <f>VLOOKUP(B4289,ERA_MOTIF_TYPES.csv!$A$1:$C$119,2,1)</f>
        <v>Cups Single</v>
      </c>
      <c r="E4289" t="str">
        <f>VLOOKUP(A4289,Panels!$A$1:$E$2104,5,0)</f>
        <v>Goldsborough Rigg</v>
      </c>
    </row>
    <row r="4290">
      <c r="A4290" s="3">
        <v>1717.0</v>
      </c>
      <c r="B4290" s="3">
        <v>1.0</v>
      </c>
      <c r="C4290" s="3">
        <v>1.0</v>
      </c>
      <c r="D4290" t="str">
        <f>VLOOKUP(B4290,ERA_MOTIF_TYPES.csv!$A$1:$C$119,2,1)</f>
        <v>Cups Single</v>
      </c>
      <c r="E4290" t="str">
        <f>VLOOKUP(A4290,Panels!$A$1:$E$2104,5,0)</f>
        <v>Goldsborough Rigg</v>
      </c>
    </row>
    <row r="4291">
      <c r="A4291" s="3">
        <v>1718.0</v>
      </c>
      <c r="B4291" s="3">
        <v>1.0</v>
      </c>
      <c r="C4291" s="3">
        <v>20.0</v>
      </c>
      <c r="D4291" t="str">
        <f>VLOOKUP(B4291,ERA_MOTIF_TYPES.csv!$A$1:$C$119,2,1)</f>
        <v>Cups Single</v>
      </c>
      <c r="E4291" t="str">
        <f>VLOOKUP(A4291,Panels!$A$1:$E$2104,5,0)</f>
        <v>How Beck Head</v>
      </c>
    </row>
    <row r="4292">
      <c r="A4292" s="3">
        <v>1718.0</v>
      </c>
      <c r="B4292" s="3">
        <v>5.0</v>
      </c>
      <c r="C4292" s="3">
        <v>1.0</v>
      </c>
      <c r="D4292" t="str">
        <f>VLOOKUP(B4292,ERA_MOTIF_TYPES.csv!$A$1:$C$119,2,1)</f>
        <v>Rosette</v>
      </c>
      <c r="E4292" t="str">
        <f>VLOOKUP(A4292,Panels!$A$1:$E$2104,5,0)</f>
        <v>How Beck Head</v>
      </c>
    </row>
    <row r="4293">
      <c r="A4293" s="3">
        <v>1719.0</v>
      </c>
      <c r="B4293" s="3">
        <v>1.0</v>
      </c>
      <c r="C4293" s="3">
        <v>1.0</v>
      </c>
      <c r="D4293" t="str">
        <f>VLOOKUP(B4293,ERA_MOTIF_TYPES.csv!$A$1:$C$119,2,1)</f>
        <v>Cups Single</v>
      </c>
      <c r="E4293" t="str">
        <f>VLOOKUP(A4293,Panels!$A$1:$E$2104,5,0)</f>
        <v>Goldsborough Rigg</v>
      </c>
    </row>
    <row r="4294">
      <c r="A4294" s="3">
        <v>1720.0</v>
      </c>
      <c r="B4294" s="3">
        <v>1.0</v>
      </c>
      <c r="C4294" s="3">
        <v>2.0</v>
      </c>
      <c r="D4294" t="str">
        <f>VLOOKUP(B4294,ERA_MOTIF_TYPES.csv!$A$1:$C$119,2,1)</f>
        <v>Cups Single</v>
      </c>
      <c r="E4294" t="str">
        <f>VLOOKUP(A4294,Panels!$A$1:$E$2104,5,0)</f>
        <v>Goldsborough Rigg</v>
      </c>
    </row>
    <row r="4295">
      <c r="A4295" s="3">
        <v>1721.0</v>
      </c>
      <c r="B4295" s="3">
        <v>13.0</v>
      </c>
      <c r="C4295" s="3">
        <v>1.0</v>
      </c>
      <c r="D4295" t="str">
        <f>VLOOKUP(B4295,ERA_MOTIF_TYPES.csv!$A$1:$C$119,2,1)</f>
        <v>Single Ring + cup</v>
      </c>
      <c r="E4295" t="str">
        <f>VLOOKUP(A4295,Panels!$A$1:$E$2104,5,0)</f>
        <v>Goldsborough Rigg</v>
      </c>
    </row>
    <row r="4296">
      <c r="A4296" s="3">
        <v>1722.0</v>
      </c>
      <c r="B4296" s="3">
        <v>1.0</v>
      </c>
      <c r="C4296" s="3">
        <v>2.0</v>
      </c>
      <c r="D4296" t="str">
        <f>VLOOKUP(B4296,ERA_MOTIF_TYPES.csv!$A$1:$C$119,2,1)</f>
        <v>Cups Single</v>
      </c>
      <c r="E4296" t="str">
        <f>VLOOKUP(A4296,Panels!$A$1:$E$2104,5,0)</f>
        <v>Goldsborough Rigg</v>
      </c>
    </row>
    <row r="4297">
      <c r="A4297" s="3">
        <v>1722.0</v>
      </c>
      <c r="B4297" s="3">
        <v>13.0</v>
      </c>
      <c r="C4297" s="3">
        <v>1.0</v>
      </c>
      <c r="D4297" t="str">
        <f>VLOOKUP(B4297,ERA_MOTIF_TYPES.csv!$A$1:$C$119,2,1)</f>
        <v>Single Ring + cup</v>
      </c>
      <c r="E4297" t="str">
        <f>VLOOKUP(A4297,Panels!$A$1:$E$2104,5,0)</f>
        <v>Goldsborough Rigg</v>
      </c>
    </row>
    <row r="4298">
      <c r="A4298" s="3">
        <v>1723.0</v>
      </c>
      <c r="B4298" s="3">
        <v>1.0</v>
      </c>
      <c r="C4298" s="3">
        <v>1.0</v>
      </c>
      <c r="D4298" t="str">
        <f>VLOOKUP(B4298,ERA_MOTIF_TYPES.csv!$A$1:$C$119,2,1)</f>
        <v>Cups Single</v>
      </c>
      <c r="E4298" t="str">
        <f>VLOOKUP(A4298,Panels!$A$1:$E$2104,5,0)</f>
        <v>Goldsborough Rigg</v>
      </c>
    </row>
    <row r="4299">
      <c r="A4299" s="3">
        <v>1724.0</v>
      </c>
      <c r="B4299" s="3">
        <v>1.0</v>
      </c>
      <c r="C4299" s="3">
        <v>2.0</v>
      </c>
      <c r="D4299" t="str">
        <f>VLOOKUP(B4299,ERA_MOTIF_TYPES.csv!$A$1:$C$119,2,1)</f>
        <v>Cups Single</v>
      </c>
      <c r="E4299" t="str">
        <f>VLOOKUP(A4299,Panels!$A$1:$E$2104,5,0)</f>
        <v>Goldsborough Rigg</v>
      </c>
    </row>
    <row r="4300">
      <c r="A4300" s="3">
        <v>1725.0</v>
      </c>
      <c r="B4300" s="3">
        <v>1.0</v>
      </c>
      <c r="C4300" s="3">
        <v>1.0</v>
      </c>
      <c r="D4300" t="str">
        <f>VLOOKUP(B4300,ERA_MOTIF_TYPES.csv!$A$1:$C$119,2,1)</f>
        <v>Cups Single</v>
      </c>
      <c r="E4300" t="str">
        <f>VLOOKUP(A4300,Panels!$A$1:$E$2104,5,0)</f>
        <v>Goldsborough Rigg</v>
      </c>
    </row>
    <row r="4301">
      <c r="A4301" s="3">
        <v>1726.0</v>
      </c>
      <c r="B4301" s="3">
        <v>1.0</v>
      </c>
      <c r="C4301" s="3">
        <v>3.0</v>
      </c>
      <c r="D4301" t="str">
        <f>VLOOKUP(B4301,ERA_MOTIF_TYPES.csv!$A$1:$C$119,2,1)</f>
        <v>Cups Single</v>
      </c>
      <c r="E4301" t="str">
        <f>VLOOKUP(A4301,Panels!$A$1:$E$2104,5,0)</f>
        <v>Howgill Grange</v>
      </c>
    </row>
    <row r="4302">
      <c r="A4302" s="3">
        <v>1727.0</v>
      </c>
      <c r="B4302" s="3">
        <v>1.0</v>
      </c>
      <c r="C4302" s="3">
        <v>9.0</v>
      </c>
      <c r="D4302" t="str">
        <f>VLOOKUP(B4302,ERA_MOTIF_TYPES.csv!$A$1:$C$119,2,1)</f>
        <v>Cups Single</v>
      </c>
      <c r="E4302" t="str">
        <f>VLOOKUP(A4302,Panels!$A$1:$E$2104,5,0)</f>
        <v>Howgill Grange</v>
      </c>
    </row>
    <row r="4303">
      <c r="A4303" s="3">
        <v>1727.0</v>
      </c>
      <c r="B4303" s="3">
        <v>25.0</v>
      </c>
      <c r="C4303" s="3">
        <v>1.0</v>
      </c>
      <c r="D4303" t="str">
        <f>VLOOKUP(B4303,ERA_MOTIF_TYPES.csv!$A$1:$C$119,2,1)</f>
        <v>Linear</v>
      </c>
      <c r="E4303" t="str">
        <f>VLOOKUP(A4303,Panels!$A$1:$E$2104,5,0)</f>
        <v>Howgill Grange</v>
      </c>
    </row>
    <row r="4304">
      <c r="A4304" s="3">
        <v>1728.0</v>
      </c>
      <c r="B4304" s="3">
        <v>1.0</v>
      </c>
      <c r="C4304" s="3">
        <v>9.0</v>
      </c>
      <c r="D4304" t="str">
        <f>VLOOKUP(B4304,ERA_MOTIF_TYPES.csv!$A$1:$C$119,2,1)</f>
        <v>Cups Single</v>
      </c>
      <c r="E4304" t="str">
        <f>VLOOKUP(A4304,Panels!$A$1:$E$2104,5,0)</f>
        <v>Howgill Grange</v>
      </c>
    </row>
    <row r="4305">
      <c r="A4305" s="3">
        <v>1728.0</v>
      </c>
      <c r="B4305" s="3">
        <v>13.0</v>
      </c>
      <c r="C4305" s="3">
        <v>2.0</v>
      </c>
      <c r="D4305" t="str">
        <f>VLOOKUP(B4305,ERA_MOTIF_TYPES.csv!$A$1:$C$119,2,1)</f>
        <v>Single Ring + cup</v>
      </c>
      <c r="E4305" t="str">
        <f>VLOOKUP(A4305,Panels!$A$1:$E$2104,5,0)</f>
        <v>Howgill Grange</v>
      </c>
    </row>
    <row r="4306">
      <c r="A4306" s="3">
        <v>1728.0</v>
      </c>
      <c r="B4306" s="3">
        <v>17.0</v>
      </c>
      <c r="C4306" s="3">
        <v>1.0</v>
      </c>
      <c r="D4306" t="str">
        <f>VLOOKUP(B4306,ERA_MOTIF_TYPES.csv!$A$1:$C$119,2,1)</f>
        <v>Single Penannular + cup</v>
      </c>
      <c r="E4306" t="str">
        <f>VLOOKUP(A4306,Panels!$A$1:$E$2104,5,0)</f>
        <v>Howgill Grange</v>
      </c>
    </row>
    <row r="4307">
      <c r="A4307" s="3">
        <v>1728.0</v>
      </c>
      <c r="B4307" s="3">
        <v>25.0</v>
      </c>
      <c r="C4307" s="3">
        <v>1.0</v>
      </c>
      <c r="D4307" t="str">
        <f>VLOOKUP(B4307,ERA_MOTIF_TYPES.csv!$A$1:$C$119,2,1)</f>
        <v>Linear</v>
      </c>
      <c r="E4307" t="str">
        <f>VLOOKUP(A4307,Panels!$A$1:$E$2104,5,0)</f>
        <v>Howgill Grange</v>
      </c>
    </row>
    <row r="4308">
      <c r="A4308" s="3">
        <v>1729.0</v>
      </c>
      <c r="B4308" s="3">
        <v>1.0</v>
      </c>
      <c r="C4308" s="3">
        <v>2.0</v>
      </c>
      <c r="D4308" t="str">
        <f>VLOOKUP(B4308,ERA_MOTIF_TYPES.csv!$A$1:$C$119,2,1)</f>
        <v>Cups Single</v>
      </c>
      <c r="E4308" t="str">
        <f>VLOOKUP(A4308,Panels!$A$1:$E$2104,5,0)</f>
        <v>Howgill Grange</v>
      </c>
    </row>
    <row r="4309">
      <c r="A4309" s="3">
        <v>1730.0</v>
      </c>
      <c r="B4309" s="3">
        <v>1.0</v>
      </c>
      <c r="C4309" s="3">
        <v>12.0</v>
      </c>
      <c r="D4309" t="str">
        <f>VLOOKUP(B4309,ERA_MOTIF_TYPES.csv!$A$1:$C$119,2,1)</f>
        <v>Cups Single</v>
      </c>
      <c r="E4309" t="str">
        <f>VLOOKUP(A4309,Panels!$A$1:$E$2104,5,0)</f>
        <v>Howgill Grange</v>
      </c>
    </row>
    <row r="4310">
      <c r="A4310" s="3">
        <v>1730.0</v>
      </c>
      <c r="B4310" s="3">
        <v>13.0</v>
      </c>
      <c r="C4310" s="3">
        <v>1.0</v>
      </c>
      <c r="D4310" t="str">
        <f>VLOOKUP(B4310,ERA_MOTIF_TYPES.csv!$A$1:$C$119,2,1)</f>
        <v>Single Ring + cup</v>
      </c>
      <c r="E4310" t="str">
        <f>VLOOKUP(A4310,Panels!$A$1:$E$2104,5,0)</f>
        <v>Howgill Grange</v>
      </c>
    </row>
    <row r="4311">
      <c r="A4311" s="3">
        <v>1730.0</v>
      </c>
      <c r="B4311" s="3">
        <v>31.0</v>
      </c>
      <c r="C4311" s="3">
        <v>1.0</v>
      </c>
      <c r="D4311" t="str">
        <f>VLOOKUP(B4311,ERA_MOTIF_TYPES.csv!$A$1:$C$119,2,1)</f>
        <v>Cup and Groove</v>
      </c>
      <c r="E4311" t="str">
        <f>VLOOKUP(A4311,Panels!$A$1:$E$2104,5,0)</f>
        <v>Howgill Grange</v>
      </c>
    </row>
    <row r="4312">
      <c r="A4312" s="3">
        <v>1730.0</v>
      </c>
      <c r="B4312" s="3">
        <v>32.0</v>
      </c>
      <c r="C4312" s="3">
        <v>1.0</v>
      </c>
      <c r="D4312" t="str">
        <f>VLOOKUP(B4312,ERA_MOTIF_TYPES.csv!$A$1:$C$119,2,1)</f>
        <v>Cup Groove and single ring</v>
      </c>
      <c r="E4312" t="str">
        <f>VLOOKUP(A4312,Panels!$A$1:$E$2104,5,0)</f>
        <v>Howgill Grange</v>
      </c>
    </row>
    <row r="4313">
      <c r="A4313" s="3">
        <v>1731.0</v>
      </c>
      <c r="B4313" s="3">
        <v>13.0</v>
      </c>
      <c r="C4313" s="3">
        <v>1.0</v>
      </c>
      <c r="D4313" t="str">
        <f>VLOOKUP(B4313,ERA_MOTIF_TYPES.csv!$A$1:$C$119,2,1)</f>
        <v>Single Ring + cup</v>
      </c>
      <c r="E4313" t="str">
        <f>VLOOKUP(A4313,Panels!$A$1:$E$2104,5,0)</f>
        <v>Howgill Grange</v>
      </c>
    </row>
    <row r="4314">
      <c r="A4314" s="3">
        <v>1732.0</v>
      </c>
      <c r="B4314" s="3">
        <v>1.0</v>
      </c>
      <c r="C4314" s="3">
        <v>3.0</v>
      </c>
      <c r="D4314" t="str">
        <f>VLOOKUP(B4314,ERA_MOTIF_TYPES.csv!$A$1:$C$119,2,1)</f>
        <v>Cups Single</v>
      </c>
      <c r="E4314" t="str">
        <f>VLOOKUP(A4314,Panels!$A$1:$E$2104,5,0)</f>
        <v>Howgill Grange</v>
      </c>
    </row>
    <row r="4315">
      <c r="A4315" s="3">
        <v>1732.0</v>
      </c>
      <c r="B4315" s="3">
        <v>2.0</v>
      </c>
      <c r="C4315" s="3">
        <v>1.0</v>
      </c>
      <c r="D4315" t="str">
        <f>VLOOKUP(B4315,ERA_MOTIF_TYPES.csv!$A$1:$C$119,2,1)</f>
        <v>Random Cluster</v>
      </c>
      <c r="E4315" t="str">
        <f>VLOOKUP(A4315,Panels!$A$1:$E$2104,5,0)</f>
        <v>Howgill Grange</v>
      </c>
    </row>
    <row r="4316">
      <c r="A4316" s="3">
        <v>1733.0</v>
      </c>
      <c r="B4316" s="3">
        <v>1.0</v>
      </c>
      <c r="C4316" s="3">
        <v>8.0</v>
      </c>
      <c r="D4316" t="str">
        <f>VLOOKUP(B4316,ERA_MOTIF_TYPES.csv!$A$1:$C$119,2,1)</f>
        <v>Cups Single</v>
      </c>
      <c r="E4316" t="str">
        <f>VLOOKUP(A4316,Panels!$A$1:$E$2104,5,0)</f>
        <v>Howgill Grange</v>
      </c>
    </row>
    <row r="4317">
      <c r="A4317" s="3">
        <v>1734.0</v>
      </c>
      <c r="B4317" s="3">
        <v>1.0</v>
      </c>
      <c r="C4317" s="3">
        <v>5.0</v>
      </c>
      <c r="D4317" t="str">
        <f>VLOOKUP(B4317,ERA_MOTIF_TYPES.csv!$A$1:$C$119,2,1)</f>
        <v>Cups Single</v>
      </c>
      <c r="E4317" t="str">
        <f>VLOOKUP(A4317,Panels!$A$1:$E$2104,5,0)</f>
        <v>Howgill Grange</v>
      </c>
    </row>
    <row r="4318">
      <c r="A4318" s="3">
        <v>1734.0</v>
      </c>
      <c r="B4318" s="3">
        <v>2.0</v>
      </c>
      <c r="C4318" s="3">
        <v>1.0</v>
      </c>
      <c r="D4318" t="str">
        <f>VLOOKUP(B4318,ERA_MOTIF_TYPES.csv!$A$1:$C$119,2,1)</f>
        <v>Random Cluster</v>
      </c>
      <c r="E4318" t="str">
        <f>VLOOKUP(A4318,Panels!$A$1:$E$2104,5,0)</f>
        <v>Howgill Grange</v>
      </c>
    </row>
    <row r="4319">
      <c r="A4319" s="3">
        <v>1734.0</v>
      </c>
      <c r="B4319" s="3">
        <v>46.0</v>
      </c>
      <c r="C4319" s="3">
        <v>1.0</v>
      </c>
      <c r="D4319" t="str">
        <f>VLOOKUP(B4319,ERA_MOTIF_TYPES.csv!$A$1:$C$119,2,1)</f>
        <v>Groove and cups</v>
      </c>
      <c r="E4319" t="str">
        <f>VLOOKUP(A4319,Panels!$A$1:$E$2104,5,0)</f>
        <v>Howgill Grange</v>
      </c>
    </row>
    <row r="4320">
      <c r="A4320" s="3">
        <v>1734.0</v>
      </c>
      <c r="B4320" s="3">
        <v>51.0</v>
      </c>
      <c r="C4320" s="3">
        <v>1.0</v>
      </c>
      <c r="D4320" t="str">
        <f>VLOOKUP(B4320,ERA_MOTIF_TYPES.csv!$A$1:$C$119,2,1)</f>
        <v>Bowls</v>
      </c>
      <c r="E4320" t="str">
        <f>VLOOKUP(A4320,Panels!$A$1:$E$2104,5,0)</f>
        <v>Howgill Grange</v>
      </c>
    </row>
    <row r="4321">
      <c r="A4321" s="3">
        <v>1735.0</v>
      </c>
      <c r="B4321" s="3">
        <v>6.0</v>
      </c>
      <c r="C4321" s="3">
        <v>1.0</v>
      </c>
      <c r="D4321" t="str">
        <f>VLOOKUP(B4321,ERA_MOTIF_TYPES.csv!$A$1:$C$119,2,1)</f>
        <v>curved or straight line</v>
      </c>
      <c r="E4321" t="str">
        <f>VLOOKUP(A4321,Panels!$A$1:$E$2104,5,0)</f>
        <v>Howgill Grange</v>
      </c>
    </row>
    <row r="4322">
      <c r="A4322" s="3">
        <v>1736.0</v>
      </c>
      <c r="B4322" s="3">
        <v>50.0</v>
      </c>
      <c r="C4322" s="3">
        <v>1.0</v>
      </c>
      <c r="D4322" t="str">
        <f>VLOOKUP(B4322,ERA_MOTIF_TYPES.csv!$A$1:$C$119,2,1)</f>
        <v>Channels</v>
      </c>
      <c r="E4322" t="str">
        <f>VLOOKUP(A4322,Panels!$A$1:$E$2104,5,0)</f>
        <v>Blake Hill</v>
      </c>
    </row>
    <row r="4323">
      <c r="A4323" s="3">
        <v>1737.0</v>
      </c>
      <c r="B4323" s="3">
        <v>6.0</v>
      </c>
      <c r="C4323" s="3">
        <v>1.0</v>
      </c>
      <c r="D4323" t="str">
        <f>VLOOKUP(B4323,ERA_MOTIF_TYPES.csv!$A$1:$C$119,2,1)</f>
        <v>curved or straight line</v>
      </c>
      <c r="E4323" t="str">
        <f>VLOOKUP(A4323,Panels!$A$1:$E$2104,5,0)</f>
        <v>Blake Hill</v>
      </c>
    </row>
    <row r="4324">
      <c r="A4324" s="3">
        <v>1738.0</v>
      </c>
      <c r="B4324" s="3">
        <v>1.0</v>
      </c>
      <c r="C4324" s="3">
        <v>2.0</v>
      </c>
      <c r="D4324" t="str">
        <f>VLOOKUP(B4324,ERA_MOTIF_TYPES.csv!$A$1:$C$119,2,1)</f>
        <v>Cups Single</v>
      </c>
      <c r="E4324" t="str">
        <f>VLOOKUP(A4324,Panels!$A$1:$E$2104,5,0)</f>
        <v>Blake Hill</v>
      </c>
    </row>
    <row r="4325">
      <c r="A4325" s="3">
        <v>1739.0</v>
      </c>
      <c r="B4325" s="3">
        <v>1.0</v>
      </c>
      <c r="C4325" s="3">
        <v>3.0</v>
      </c>
      <c r="D4325" t="str">
        <f>VLOOKUP(B4325,ERA_MOTIF_TYPES.csv!$A$1:$C$119,2,1)</f>
        <v>Cups Single</v>
      </c>
      <c r="E4325" t="str">
        <f>VLOOKUP(A4325,Panels!$A$1:$E$2104,5,0)</f>
        <v>Blake Hill</v>
      </c>
    </row>
    <row r="4326">
      <c r="A4326" s="3">
        <v>1740.0</v>
      </c>
      <c r="B4326" s="3">
        <v>1.0</v>
      </c>
      <c r="C4326" s="3">
        <v>3.0</v>
      </c>
      <c r="D4326" t="str">
        <f>VLOOKUP(B4326,ERA_MOTIF_TYPES.csv!$A$1:$C$119,2,1)</f>
        <v>Cups Single</v>
      </c>
      <c r="E4326" t="str">
        <f>VLOOKUP(A4326,Panels!$A$1:$E$2104,5,0)</f>
        <v>Blake Hill</v>
      </c>
    </row>
    <row r="4327">
      <c r="A4327" s="3">
        <v>1740.0</v>
      </c>
      <c r="B4327" s="3">
        <v>16.0</v>
      </c>
      <c r="C4327" s="3">
        <v>1.0</v>
      </c>
      <c r="D4327" t="str">
        <f>VLOOKUP(B4327,ERA_MOTIF_TYPES.csv!$A$1:$C$119,2,1)</f>
        <v>Single Arc + cup</v>
      </c>
      <c r="E4327" t="str">
        <f>VLOOKUP(A4327,Panels!$A$1:$E$2104,5,0)</f>
        <v>Blake Hill</v>
      </c>
    </row>
    <row r="4328">
      <c r="A4328" s="3">
        <v>1741.0</v>
      </c>
      <c r="B4328" s="3">
        <v>1.0</v>
      </c>
      <c r="C4328" s="3">
        <v>3.0</v>
      </c>
      <c r="D4328" t="str">
        <f>VLOOKUP(B4328,ERA_MOTIF_TYPES.csv!$A$1:$C$119,2,1)</f>
        <v>Cups Single</v>
      </c>
      <c r="E4328" t="str">
        <f>VLOOKUP(A4328,Panels!$A$1:$E$2104,5,0)</f>
        <v>Romaldkirk Moor</v>
      </c>
    </row>
    <row r="4329">
      <c r="A4329" s="3">
        <v>1741.0</v>
      </c>
      <c r="B4329" s="3">
        <v>31.0</v>
      </c>
      <c r="C4329" s="3">
        <v>1.0</v>
      </c>
      <c r="D4329" t="str">
        <f>VLOOKUP(B4329,ERA_MOTIF_TYPES.csv!$A$1:$C$119,2,1)</f>
        <v>Cup and Groove</v>
      </c>
      <c r="E4329" t="str">
        <f>VLOOKUP(A4329,Panels!$A$1:$E$2104,5,0)</f>
        <v>Romaldkirk Moor</v>
      </c>
    </row>
    <row r="4330">
      <c r="A4330" s="3">
        <v>1742.0</v>
      </c>
      <c r="B4330" s="3">
        <v>1.0</v>
      </c>
      <c r="C4330" s="3">
        <v>1.0</v>
      </c>
      <c r="D4330" t="str">
        <f>VLOOKUP(B4330,ERA_MOTIF_TYPES.csv!$A$1:$C$119,2,1)</f>
        <v>Cups Single</v>
      </c>
      <c r="E4330" t="str">
        <f>VLOOKUP(A4330,Panels!$A$1:$E$2104,5,0)</f>
        <v>Romaldkirk Moor</v>
      </c>
    </row>
    <row r="4331">
      <c r="A4331" s="3">
        <v>1744.0</v>
      </c>
      <c r="B4331" s="3">
        <v>1.0</v>
      </c>
      <c r="C4331" s="3">
        <v>5.0</v>
      </c>
      <c r="D4331" t="str">
        <f>VLOOKUP(B4331,ERA_MOTIF_TYPES.csv!$A$1:$C$119,2,1)</f>
        <v>Cups Single</v>
      </c>
      <c r="E4331" t="str">
        <f>VLOOKUP(A4331,Panels!$A$1:$E$2104,5,0)</f>
        <v>Hunderthwaite Moor</v>
      </c>
    </row>
    <row r="4332">
      <c r="A4332" s="3">
        <v>1746.0</v>
      </c>
      <c r="B4332" s="3">
        <v>1.0</v>
      </c>
      <c r="C4332" s="3">
        <v>2.0</v>
      </c>
      <c r="D4332" t="str">
        <f>VLOOKUP(B4332,ERA_MOTIF_TYPES.csv!$A$1:$C$119,2,1)</f>
        <v>Cups Single</v>
      </c>
      <c r="E4332" t="str">
        <f>VLOOKUP(A4332,Panels!$A$1:$E$2104,5,0)</f>
        <v>Blackton Reservoir</v>
      </c>
    </row>
    <row r="4333">
      <c r="A4333" s="3">
        <v>1746.0</v>
      </c>
      <c r="B4333" s="3">
        <v>13.0</v>
      </c>
      <c r="C4333" s="3">
        <v>2.0</v>
      </c>
      <c r="D4333" t="str">
        <f>VLOOKUP(B4333,ERA_MOTIF_TYPES.csv!$A$1:$C$119,2,1)</f>
        <v>Single Ring + cup</v>
      </c>
      <c r="E4333" t="str">
        <f>VLOOKUP(A4333,Panels!$A$1:$E$2104,5,0)</f>
        <v>Blackton Reservoir</v>
      </c>
    </row>
    <row r="4334">
      <c r="A4334" s="3">
        <v>1747.0</v>
      </c>
      <c r="B4334" s="3">
        <v>1.0</v>
      </c>
      <c r="C4334" s="3">
        <v>20.0</v>
      </c>
      <c r="D4334" t="str">
        <f>VLOOKUP(B4334,ERA_MOTIF_TYPES.csv!$A$1:$C$119,2,1)</f>
        <v>Cups Single</v>
      </c>
      <c r="E4334" t="str">
        <f>VLOOKUP(A4334,Panels!$A$1:$E$2104,5,0)</f>
        <v>Bracken Rigg</v>
      </c>
    </row>
    <row r="4335">
      <c r="A4335" s="3">
        <v>1747.0</v>
      </c>
      <c r="B4335" s="3">
        <v>13.0</v>
      </c>
      <c r="C4335" s="3">
        <v>1.0</v>
      </c>
      <c r="D4335" t="str">
        <f>VLOOKUP(B4335,ERA_MOTIF_TYPES.csv!$A$1:$C$119,2,1)</f>
        <v>Single Ring + cup</v>
      </c>
      <c r="E4335" t="str">
        <f>VLOOKUP(A4335,Panels!$A$1:$E$2104,5,0)</f>
        <v>Bracken Rigg</v>
      </c>
    </row>
    <row r="4336">
      <c r="A4336" s="3">
        <v>1747.0</v>
      </c>
      <c r="B4336" s="3">
        <v>31.0</v>
      </c>
      <c r="C4336" s="3">
        <v>1.0</v>
      </c>
      <c r="D4336" t="str">
        <f>VLOOKUP(B4336,ERA_MOTIF_TYPES.csv!$A$1:$C$119,2,1)</f>
        <v>Cup and Groove</v>
      </c>
      <c r="E4336" t="str">
        <f>VLOOKUP(A4336,Panels!$A$1:$E$2104,5,0)</f>
        <v>Bracken Rigg</v>
      </c>
    </row>
    <row r="4337">
      <c r="A4337" s="3">
        <v>1748.0</v>
      </c>
      <c r="B4337" s="3">
        <v>1.0</v>
      </c>
      <c r="C4337" s="3">
        <v>7.0</v>
      </c>
      <c r="D4337" t="str">
        <f>VLOOKUP(B4337,ERA_MOTIF_TYPES.csv!$A$1:$C$119,2,1)</f>
        <v>Cups Single</v>
      </c>
      <c r="E4337" t="str">
        <f>VLOOKUP(A4337,Panels!$A$1:$E$2104,5,0)</f>
        <v>Bracken Rigg</v>
      </c>
    </row>
    <row r="4338">
      <c r="A4338" s="3">
        <v>1749.0</v>
      </c>
      <c r="B4338" s="3">
        <v>1.0</v>
      </c>
      <c r="C4338" s="3">
        <v>2.0</v>
      </c>
      <c r="D4338" t="str">
        <f>VLOOKUP(B4338,ERA_MOTIF_TYPES.csv!$A$1:$C$119,2,1)</f>
        <v>Cups Single</v>
      </c>
      <c r="E4338" t="str">
        <f>VLOOKUP(A4338,Panels!$A$1:$E$2104,5,0)</f>
        <v>Guestwick Hills</v>
      </c>
    </row>
    <row r="4339">
      <c r="A4339" s="3">
        <v>1752.0</v>
      </c>
      <c r="B4339" s="3">
        <v>1.0</v>
      </c>
      <c r="C4339" s="3">
        <v>1.0</v>
      </c>
      <c r="D4339" t="str">
        <f>VLOOKUP(B4339,ERA_MOTIF_TYPES.csv!$A$1:$C$119,2,1)</f>
        <v>Cups Single</v>
      </c>
      <c r="E4339" t="str">
        <f>VLOOKUP(A4339,Panels!$A$1:$E$2104,5,0)</f>
        <v>Howgill Grange</v>
      </c>
    </row>
    <row r="4340">
      <c r="A4340" s="3">
        <v>1800.0</v>
      </c>
      <c r="B4340" s="3">
        <v>1.0</v>
      </c>
      <c r="C4340" s="3">
        <v>1.0</v>
      </c>
      <c r="D4340" t="str">
        <f>VLOOKUP(B4340,ERA_MOTIF_TYPES.csv!$A$1:$C$119,2,1)</f>
        <v>Cups Single</v>
      </c>
      <c r="E4340" t="str">
        <f>VLOOKUP(A4340,Panels!$A$1:$E$2104,5,0)</f>
        <v>Ellingham</v>
      </c>
    </row>
    <row r="4341">
      <c r="A4341" s="3">
        <v>1800.0</v>
      </c>
      <c r="B4341" s="3">
        <v>52.0</v>
      </c>
      <c r="C4341" s="3">
        <v>1.0</v>
      </c>
      <c r="D4341" t="str">
        <f>VLOOKUP(B4341,ERA_MOTIF_TYPES.csv!$A$1:$C$119,2,1)</f>
        <v>Single or multiple cups</v>
      </c>
      <c r="E4341" t="str">
        <f>VLOOKUP(A4341,Panels!$A$1:$E$2104,5,0)</f>
        <v>Ellingham</v>
      </c>
    </row>
    <row r="4342">
      <c r="A4342" s="3">
        <v>1801.0</v>
      </c>
      <c r="B4342" s="3">
        <v>1.0</v>
      </c>
      <c r="C4342" s="3">
        <v>1.0</v>
      </c>
      <c r="D4342" t="str">
        <f>VLOOKUP(B4342,ERA_MOTIF_TYPES.csv!$A$1:$C$119,2,1)</f>
        <v>Cups Single</v>
      </c>
      <c r="E4342" t="str">
        <f>VLOOKUP(A4342,Panels!$A$1:$E$2104,5,0)</f>
        <v>Ellingham</v>
      </c>
    </row>
    <row r="4343">
      <c r="A4343" s="3">
        <v>1801.0</v>
      </c>
      <c r="B4343" s="3">
        <v>52.0</v>
      </c>
      <c r="C4343" s="3">
        <v>1.0</v>
      </c>
      <c r="D4343" t="str">
        <f>VLOOKUP(B4343,ERA_MOTIF_TYPES.csv!$A$1:$C$119,2,1)</f>
        <v>Single or multiple cups</v>
      </c>
      <c r="E4343" t="str">
        <f>VLOOKUP(A4343,Panels!$A$1:$E$2104,5,0)</f>
        <v>Ellingham</v>
      </c>
    </row>
    <row r="4344">
      <c r="A4344" s="3">
        <v>1802.0</v>
      </c>
      <c r="B4344" s="3">
        <v>1.0</v>
      </c>
      <c r="C4344" s="3">
        <v>1.0</v>
      </c>
      <c r="D4344" t="str">
        <f>VLOOKUP(B4344,ERA_MOTIF_TYPES.csv!$A$1:$C$119,2,1)</f>
        <v>Cups Single</v>
      </c>
      <c r="E4344" t="str">
        <f>VLOOKUP(A4344,Panels!$A$1:$E$2104,5,0)</f>
        <v>Fowberry Cairn excavation site</v>
      </c>
    </row>
    <row r="4345">
      <c r="A4345" s="3">
        <v>1802.0</v>
      </c>
      <c r="B4345" s="3">
        <v>52.0</v>
      </c>
      <c r="C4345" s="3">
        <v>1.0</v>
      </c>
      <c r="D4345" t="str">
        <f>VLOOKUP(B4345,ERA_MOTIF_TYPES.csv!$A$1:$C$119,2,1)</f>
        <v>Single or multiple cups</v>
      </c>
      <c r="E4345" t="str">
        <f>VLOOKUP(A4345,Panels!$A$1:$E$2104,5,0)</f>
        <v>Fowberry Cairn excavation site</v>
      </c>
    </row>
    <row r="4346">
      <c r="A4346" s="3">
        <v>1803.0</v>
      </c>
      <c r="B4346" s="3">
        <v>2.0</v>
      </c>
      <c r="C4346" s="3">
        <v>1.0</v>
      </c>
      <c r="D4346" t="str">
        <f>VLOOKUP(B4346,ERA_MOTIF_TYPES.csv!$A$1:$C$119,2,1)</f>
        <v>Random Cluster</v>
      </c>
      <c r="E4346" t="str">
        <f>VLOOKUP(A4346,Panels!$A$1:$E$2104,5,0)</f>
        <v>Lilburn Portable</v>
      </c>
    </row>
    <row r="4347">
      <c r="A4347" s="3">
        <v>1803.0</v>
      </c>
      <c r="B4347" s="3">
        <v>52.0</v>
      </c>
      <c r="C4347" s="3">
        <v>4.0</v>
      </c>
      <c r="D4347" t="str">
        <f>VLOOKUP(B4347,ERA_MOTIF_TYPES.csv!$A$1:$C$119,2,1)</f>
        <v>Single or multiple cups</v>
      </c>
      <c r="E4347" t="str">
        <f>VLOOKUP(A4347,Panels!$A$1:$E$2104,5,0)</f>
        <v>Lilburn Portable</v>
      </c>
    </row>
    <row r="4348">
      <c r="A4348" s="3">
        <v>1803.0</v>
      </c>
      <c r="B4348" s="3">
        <v>100.0</v>
      </c>
      <c r="C4348" s="3">
        <v>1.0</v>
      </c>
      <c r="D4348" t="str">
        <f>VLOOKUP(B4348,ERA_MOTIF_TYPES.csv!$A$1:$C$119,2,1)</f>
        <v>Pick marks</v>
      </c>
      <c r="E4348" t="str">
        <f>VLOOKUP(A4348,Panels!$A$1:$E$2104,5,0)</f>
        <v>Lilburn Portable</v>
      </c>
    </row>
    <row r="4349">
      <c r="A4349" s="3">
        <v>1804.0</v>
      </c>
      <c r="B4349" s="3">
        <v>1.0</v>
      </c>
      <c r="C4349" s="3">
        <v>6.0</v>
      </c>
      <c r="D4349" t="str">
        <f>VLOOKUP(B4349,ERA_MOTIF_TYPES.csv!$A$1:$C$119,2,1)</f>
        <v>Cups Single</v>
      </c>
      <c r="E4349" t="str">
        <f>VLOOKUP(A4349,Panels!$A$1:$E$2104,5,0)</f>
        <v>Rimside, Millstone Burn</v>
      </c>
    </row>
    <row r="4350">
      <c r="A4350" s="3">
        <v>1804.0</v>
      </c>
      <c r="B4350" s="3">
        <v>52.0</v>
      </c>
      <c r="C4350" s="3">
        <v>7.0</v>
      </c>
      <c r="D4350" t="str">
        <f>VLOOKUP(B4350,ERA_MOTIF_TYPES.csv!$A$1:$C$119,2,1)</f>
        <v>Single or multiple cups</v>
      </c>
      <c r="E4350" t="str">
        <f>VLOOKUP(A4350,Panels!$A$1:$E$2104,5,0)</f>
        <v>Rimside, Millstone Burn</v>
      </c>
    </row>
    <row r="4351">
      <c r="A4351" s="3">
        <v>1805.0</v>
      </c>
      <c r="B4351" s="3">
        <v>1.0</v>
      </c>
      <c r="C4351" s="3">
        <v>1.0</v>
      </c>
      <c r="D4351" t="str">
        <f>VLOOKUP(B4351,ERA_MOTIF_TYPES.csv!$A$1:$C$119,2,1)</f>
        <v>Cups Single</v>
      </c>
      <c r="E4351" t="str">
        <f>VLOOKUP(A4351,Panels!$A$1:$E$2104,5,0)</f>
        <v>Weetwood Cairn</v>
      </c>
    </row>
    <row r="4352">
      <c r="A4352" s="3">
        <v>1805.0</v>
      </c>
      <c r="B4352" s="3">
        <v>52.0</v>
      </c>
      <c r="C4352" s="3">
        <v>1.0</v>
      </c>
      <c r="D4352" t="str">
        <f>VLOOKUP(B4352,ERA_MOTIF_TYPES.csv!$A$1:$C$119,2,1)</f>
        <v>Single or multiple cups</v>
      </c>
      <c r="E4352" t="str">
        <f>VLOOKUP(A4352,Panels!$A$1:$E$2104,5,0)</f>
        <v>Weetwood Cairn</v>
      </c>
    </row>
    <row r="4353">
      <c r="A4353" s="3">
        <v>1806.0</v>
      </c>
      <c r="B4353" s="3">
        <v>1.0</v>
      </c>
      <c r="C4353" s="3">
        <v>1.0</v>
      </c>
      <c r="D4353" t="str">
        <f>VLOOKUP(B4353,ERA_MOTIF_TYPES.csv!$A$1:$C$119,2,1)</f>
        <v>Cups Single</v>
      </c>
      <c r="E4353" t="str">
        <f>VLOOKUP(A4353,Panels!$A$1:$E$2104,5,0)</f>
        <v>Weetwood Cairn</v>
      </c>
    </row>
    <row r="4354">
      <c r="A4354" s="3">
        <v>1806.0</v>
      </c>
      <c r="B4354" s="3">
        <v>52.0</v>
      </c>
      <c r="C4354" s="3">
        <v>1.0</v>
      </c>
      <c r="D4354" t="str">
        <f>VLOOKUP(B4354,ERA_MOTIF_TYPES.csv!$A$1:$C$119,2,1)</f>
        <v>Single or multiple cups</v>
      </c>
      <c r="E4354" t="str">
        <f>VLOOKUP(A4354,Panels!$A$1:$E$2104,5,0)</f>
        <v>Weetwood Cairn</v>
      </c>
    </row>
    <row r="4355">
      <c r="A4355" s="3">
        <v>1807.0</v>
      </c>
      <c r="B4355" s="3">
        <v>1.0</v>
      </c>
      <c r="C4355" s="3">
        <v>1.0</v>
      </c>
      <c r="D4355" t="str">
        <f>VLOOKUP(B4355,ERA_MOTIF_TYPES.csv!$A$1:$C$119,2,1)</f>
        <v>Cups Single</v>
      </c>
      <c r="E4355" t="str">
        <f>VLOOKUP(A4355,Panels!$A$1:$E$2104,5,0)</f>
        <v>Weetwood Cairn</v>
      </c>
    </row>
    <row r="4356">
      <c r="A4356" s="3">
        <v>1807.0</v>
      </c>
      <c r="B4356" s="3">
        <v>25.0</v>
      </c>
      <c r="C4356" s="3">
        <v>1.0</v>
      </c>
      <c r="D4356" t="str">
        <f>VLOOKUP(B4356,ERA_MOTIF_TYPES.csv!$A$1:$C$119,2,1)</f>
        <v>Linear</v>
      </c>
      <c r="E4356" t="str">
        <f>VLOOKUP(A4356,Panels!$A$1:$E$2104,5,0)</f>
        <v>Weetwood Cairn</v>
      </c>
    </row>
    <row r="4357">
      <c r="A4357" s="3">
        <v>1807.0</v>
      </c>
      <c r="B4357" s="3">
        <v>52.0</v>
      </c>
      <c r="C4357" s="3">
        <v>1.0</v>
      </c>
      <c r="D4357" t="str">
        <f>VLOOKUP(B4357,ERA_MOTIF_TYPES.csv!$A$1:$C$119,2,1)</f>
        <v>Single or multiple cups</v>
      </c>
      <c r="E4357" t="str">
        <f>VLOOKUP(A4357,Panels!$A$1:$E$2104,5,0)</f>
        <v>Weetwood Cairn</v>
      </c>
    </row>
    <row r="4358">
      <c r="A4358" s="3">
        <v>1807.0</v>
      </c>
      <c r="B4358" s="3">
        <v>87.0</v>
      </c>
      <c r="C4358" s="3">
        <v>1.0</v>
      </c>
      <c r="D4358" t="str">
        <f>VLOOKUP(B4358,ERA_MOTIF_TYPES.csv!$A$1:$C$119,2,1)</f>
        <v>Linear and angular groove</v>
      </c>
      <c r="E4358" t="str">
        <f>VLOOKUP(A4358,Panels!$A$1:$E$2104,5,0)</f>
        <v>Weetwood Cairn</v>
      </c>
    </row>
    <row r="4359">
      <c r="A4359" s="3">
        <v>1808.0</v>
      </c>
      <c r="B4359" s="3">
        <v>1.0</v>
      </c>
      <c r="C4359" s="3">
        <v>1.0</v>
      </c>
      <c r="D4359" t="str">
        <f>VLOOKUP(B4359,ERA_MOTIF_TYPES.csv!$A$1:$C$119,2,1)</f>
        <v>Cups Single</v>
      </c>
      <c r="E4359" t="str">
        <f>VLOOKUP(A4359,Panels!$A$1:$E$2104,5,0)</f>
        <v>Weetwood Cairn</v>
      </c>
    </row>
    <row r="4360">
      <c r="A4360" s="3">
        <v>1808.0</v>
      </c>
      <c r="B4360" s="3">
        <v>52.0</v>
      </c>
      <c r="C4360" s="3">
        <v>1.0</v>
      </c>
      <c r="D4360" t="str">
        <f>VLOOKUP(B4360,ERA_MOTIF_TYPES.csv!$A$1:$C$119,2,1)</f>
        <v>Single or multiple cups</v>
      </c>
      <c r="E4360" t="str">
        <f>VLOOKUP(A4360,Panels!$A$1:$E$2104,5,0)</f>
        <v>Weetwood Cairn</v>
      </c>
    </row>
    <row r="4361">
      <c r="A4361" s="3">
        <v>1809.0</v>
      </c>
      <c r="B4361" s="3">
        <v>1.0</v>
      </c>
      <c r="C4361" s="3">
        <v>2.0</v>
      </c>
      <c r="D4361" t="str">
        <f>VLOOKUP(B4361,ERA_MOTIF_TYPES.csv!$A$1:$C$119,2,1)</f>
        <v>Cups Single</v>
      </c>
      <c r="E4361" t="str">
        <f>VLOOKUP(A4361,Panels!$A$1:$E$2104,5,0)</f>
        <v>Weetwood Cairn</v>
      </c>
    </row>
    <row r="4362">
      <c r="A4362" s="3">
        <v>1809.0</v>
      </c>
      <c r="B4362" s="3">
        <v>52.0</v>
      </c>
      <c r="C4362" s="3">
        <v>1.0</v>
      </c>
      <c r="D4362" t="str">
        <f>VLOOKUP(B4362,ERA_MOTIF_TYPES.csv!$A$1:$C$119,2,1)</f>
        <v>Single or multiple cups</v>
      </c>
      <c r="E4362" t="str">
        <f>VLOOKUP(A4362,Panels!$A$1:$E$2104,5,0)</f>
        <v>Weetwood Cairn</v>
      </c>
    </row>
    <row r="4363">
      <c r="A4363" s="3">
        <v>1810.0</v>
      </c>
      <c r="B4363" s="3">
        <v>1.0</v>
      </c>
      <c r="C4363" s="3">
        <v>1.0</v>
      </c>
      <c r="D4363" t="str">
        <f>VLOOKUP(B4363,ERA_MOTIF_TYPES.csv!$A$1:$C$119,2,1)</f>
        <v>Cups Single</v>
      </c>
      <c r="E4363" t="str">
        <f>VLOOKUP(A4363,Panels!$A$1:$E$2104,5,0)</f>
        <v>Weetwood Cairn</v>
      </c>
    </row>
    <row r="4364">
      <c r="A4364" s="3">
        <v>1810.0</v>
      </c>
      <c r="B4364" s="3">
        <v>52.0</v>
      </c>
      <c r="C4364" s="3">
        <v>1.0</v>
      </c>
      <c r="D4364" t="str">
        <f>VLOOKUP(B4364,ERA_MOTIF_TYPES.csv!$A$1:$C$119,2,1)</f>
        <v>Single or multiple cups</v>
      </c>
      <c r="E4364" t="str">
        <f>VLOOKUP(A4364,Panels!$A$1:$E$2104,5,0)</f>
        <v>Weetwood Cairn</v>
      </c>
    </row>
    <row r="4365">
      <c r="A4365" s="3">
        <v>1811.0</v>
      </c>
      <c r="B4365" s="3">
        <v>1.0</v>
      </c>
      <c r="C4365" s="3">
        <v>1.0</v>
      </c>
      <c r="D4365" t="str">
        <f>VLOOKUP(B4365,ERA_MOTIF_TYPES.csv!$A$1:$C$119,2,1)</f>
        <v>Cups Single</v>
      </c>
      <c r="E4365" t="str">
        <f>VLOOKUP(A4365,Panels!$A$1:$E$2104,5,0)</f>
        <v>Weetwood Cairn</v>
      </c>
    </row>
    <row r="4366">
      <c r="A4366" s="3">
        <v>1811.0</v>
      </c>
      <c r="B4366" s="3">
        <v>52.0</v>
      </c>
      <c r="C4366" s="3">
        <v>1.0</v>
      </c>
      <c r="D4366" t="str">
        <f>VLOOKUP(B4366,ERA_MOTIF_TYPES.csv!$A$1:$C$119,2,1)</f>
        <v>Single or multiple cups</v>
      </c>
      <c r="E4366" t="str">
        <f>VLOOKUP(A4366,Panels!$A$1:$E$2104,5,0)</f>
        <v>Weetwood Cairn</v>
      </c>
    </row>
    <row r="4367">
      <c r="A4367" s="3">
        <v>1812.0</v>
      </c>
      <c r="B4367" s="3">
        <v>15.0</v>
      </c>
      <c r="C4367" s="3">
        <v>1.0</v>
      </c>
      <c r="D4367" t="str">
        <f>VLOOKUP(B4367,ERA_MOTIF_TYPES.csv!$A$1:$C$119,2,1)</f>
        <v>Multi Penanular + cup</v>
      </c>
      <c r="E4367" t="str">
        <f>VLOOKUP(A4367,Panels!$A$1:$E$2104,5,0)</f>
        <v>Weetwood Cairn</v>
      </c>
    </row>
    <row r="4368">
      <c r="A4368" s="3">
        <v>1812.0</v>
      </c>
      <c r="B4368" s="3">
        <v>35.0</v>
      </c>
      <c r="C4368" s="3">
        <v>1.0</v>
      </c>
      <c r="D4368" t="str">
        <f>VLOOKUP(B4368,ERA_MOTIF_TYPES.csv!$A$1:$C$119,2,1)</f>
        <v>Cup Groove and multi penannular</v>
      </c>
      <c r="E4368" t="str">
        <f>VLOOKUP(A4368,Panels!$A$1:$E$2104,5,0)</f>
        <v>Weetwood Cairn</v>
      </c>
    </row>
    <row r="4369">
      <c r="A4369" s="3">
        <v>1812.0</v>
      </c>
      <c r="B4369" s="3">
        <v>71.0</v>
      </c>
      <c r="C4369" s="3">
        <v>1.0</v>
      </c>
      <c r="D4369" t="str">
        <f>VLOOKUP(B4369,ERA_MOTIF_TYPES.csv!$A$1:$C$119,2,1)</f>
        <v>Penannular</v>
      </c>
      <c r="E4369" t="str">
        <f>VLOOKUP(A4369,Panels!$A$1:$E$2104,5,0)</f>
        <v>Weetwood Cairn</v>
      </c>
    </row>
    <row r="4370">
      <c r="A4370" s="3">
        <v>1812.0</v>
      </c>
      <c r="B4370" s="3">
        <v>87.0</v>
      </c>
      <c r="C4370" s="3">
        <v>1.0</v>
      </c>
      <c r="D4370" t="str">
        <f>VLOOKUP(B4370,ERA_MOTIF_TYPES.csv!$A$1:$C$119,2,1)</f>
        <v>Linear and angular groove</v>
      </c>
      <c r="E4370" t="str">
        <f>VLOOKUP(A4370,Panels!$A$1:$E$2104,5,0)</f>
        <v>Weetwood Cairn</v>
      </c>
    </row>
    <row r="4371">
      <c r="A4371" s="3">
        <v>1812.0</v>
      </c>
      <c r="B4371" s="3">
        <v>107.0</v>
      </c>
      <c r="C4371" s="3">
        <v>1.0</v>
      </c>
      <c r="D4371" t="str">
        <f>VLOOKUP(B4371,ERA_MOTIF_TYPES.csv!$A$1:$C$119,2,1)</f>
        <v>Cup and ring with exterior groove</v>
      </c>
      <c r="E4371" t="str">
        <f>VLOOKUP(A4371,Panels!$A$1:$E$2104,5,0)</f>
        <v>Weetwood Cairn</v>
      </c>
    </row>
    <row r="4372">
      <c r="A4372" s="3">
        <v>1813.0</v>
      </c>
      <c r="B4372" s="3">
        <v>31.0</v>
      </c>
      <c r="C4372" s="3">
        <v>1.0</v>
      </c>
      <c r="D4372" t="str">
        <f>VLOOKUP(B4372,ERA_MOTIF_TYPES.csv!$A$1:$C$119,2,1)</f>
        <v>Cup and Groove</v>
      </c>
      <c r="E4372" t="str">
        <f>VLOOKUP(A4372,Panels!$A$1:$E$2104,5,0)</f>
        <v>Weetwood Cairn</v>
      </c>
    </row>
    <row r="4373">
      <c r="A4373" s="3">
        <v>1813.0</v>
      </c>
      <c r="B4373" s="3">
        <v>73.0</v>
      </c>
      <c r="C4373" s="3">
        <v>1.0</v>
      </c>
      <c r="D4373" t="str">
        <f>VLOOKUP(B4373,ERA_MOTIF_TYPES.csv!$A$1:$C$119,2,1)</f>
        <v>Arc</v>
      </c>
      <c r="E4373" t="str">
        <f>VLOOKUP(A4373,Panels!$A$1:$E$2104,5,0)</f>
        <v>Weetwood Cairn</v>
      </c>
    </row>
    <row r="4374">
      <c r="A4374" s="3">
        <v>1813.0</v>
      </c>
      <c r="B4374" s="3">
        <v>90.0</v>
      </c>
      <c r="C4374" s="3">
        <v>1.0</v>
      </c>
      <c r="D4374" t="str">
        <f>VLOOKUP(B4374,ERA_MOTIF_TYPES.csv!$A$1:$C$119,2,1)</f>
        <v>Serpentine groove</v>
      </c>
      <c r="E4374" t="str">
        <f>VLOOKUP(A4374,Panels!$A$1:$E$2104,5,0)</f>
        <v>Weetwood Cairn</v>
      </c>
    </row>
    <row r="4375">
      <c r="A4375" s="3">
        <v>1813.0</v>
      </c>
      <c r="B4375" s="3">
        <v>105.0</v>
      </c>
      <c r="C4375" s="3">
        <v>1.0</v>
      </c>
      <c r="D4375" t="str">
        <f>VLOOKUP(B4375,ERA_MOTIF_TYPES.csv!$A$1:$C$119,2,1)</f>
        <v>Two cups linked by a groove</v>
      </c>
      <c r="E4375" t="str">
        <f>VLOOKUP(A4375,Panels!$A$1:$E$2104,5,0)</f>
        <v>Weetwood Cairn</v>
      </c>
    </row>
    <row r="4376">
      <c r="A4376" s="3">
        <v>1814.0</v>
      </c>
      <c r="B4376" s="3">
        <v>1.0</v>
      </c>
      <c r="C4376" s="3">
        <v>1.0</v>
      </c>
      <c r="D4376" t="str">
        <f>VLOOKUP(B4376,ERA_MOTIF_TYPES.csv!$A$1:$C$119,2,1)</f>
        <v>Cups Single</v>
      </c>
      <c r="E4376" t="str">
        <f>VLOOKUP(A4376,Panels!$A$1:$E$2104,5,0)</f>
        <v>Weetwood Cairn</v>
      </c>
    </row>
    <row r="4377">
      <c r="A4377" s="3">
        <v>1814.0</v>
      </c>
      <c r="B4377" s="3">
        <v>52.0</v>
      </c>
      <c r="C4377" s="3">
        <v>1.0</v>
      </c>
      <c r="D4377" t="str">
        <f>VLOOKUP(B4377,ERA_MOTIF_TYPES.csv!$A$1:$C$119,2,1)</f>
        <v>Single or multiple cups</v>
      </c>
      <c r="E4377" t="str">
        <f>VLOOKUP(A4377,Panels!$A$1:$E$2104,5,0)</f>
        <v>Weetwood Cairn</v>
      </c>
    </row>
    <row r="4378">
      <c r="A4378" s="3">
        <v>1815.0</v>
      </c>
      <c r="B4378" s="3">
        <v>1.0</v>
      </c>
      <c r="C4378" s="3">
        <v>1.0</v>
      </c>
      <c r="D4378" t="str">
        <f>VLOOKUP(B4378,ERA_MOTIF_TYPES.csv!$A$1:$C$119,2,1)</f>
        <v>Cups Single</v>
      </c>
      <c r="E4378" t="str">
        <f>VLOOKUP(A4378,Panels!$A$1:$E$2104,5,0)</f>
        <v>Weetwood Cairn</v>
      </c>
    </row>
    <row r="4379">
      <c r="A4379" s="3">
        <v>1815.0</v>
      </c>
      <c r="B4379" s="3">
        <v>52.0</v>
      </c>
      <c r="C4379" s="3">
        <v>1.0</v>
      </c>
      <c r="D4379" t="str">
        <f>VLOOKUP(B4379,ERA_MOTIF_TYPES.csv!$A$1:$C$119,2,1)</f>
        <v>Single or multiple cups</v>
      </c>
      <c r="E4379" t="str">
        <f>VLOOKUP(A4379,Panels!$A$1:$E$2104,5,0)</f>
        <v>Weetwood Cairn</v>
      </c>
    </row>
    <row r="4380">
      <c r="A4380" s="3">
        <v>1816.0</v>
      </c>
      <c r="B4380" s="3">
        <v>1.0</v>
      </c>
      <c r="C4380" s="3">
        <v>1.0</v>
      </c>
      <c r="D4380" t="str">
        <f>VLOOKUP(B4380,ERA_MOTIF_TYPES.csv!$A$1:$C$119,2,1)</f>
        <v>Cups Single</v>
      </c>
      <c r="E4380" t="str">
        <f>VLOOKUP(A4380,Panels!$A$1:$E$2104,5,0)</f>
        <v>Weetwood Cairn</v>
      </c>
    </row>
    <row r="4381">
      <c r="A4381" s="3">
        <v>1816.0</v>
      </c>
      <c r="B4381" s="3">
        <v>52.0</v>
      </c>
      <c r="C4381" s="3">
        <v>1.0</v>
      </c>
      <c r="D4381" t="str">
        <f>VLOOKUP(B4381,ERA_MOTIF_TYPES.csv!$A$1:$C$119,2,1)</f>
        <v>Single or multiple cups</v>
      </c>
      <c r="E4381" t="str">
        <f>VLOOKUP(A4381,Panels!$A$1:$E$2104,5,0)</f>
        <v>Weetwood Cairn</v>
      </c>
    </row>
    <row r="4382">
      <c r="A4382" s="3">
        <v>1817.0</v>
      </c>
      <c r="B4382" s="3">
        <v>1.0</v>
      </c>
      <c r="C4382" s="3">
        <v>1.0</v>
      </c>
      <c r="D4382" t="str">
        <f>VLOOKUP(B4382,ERA_MOTIF_TYPES.csv!$A$1:$C$119,2,1)</f>
        <v>Cups Single</v>
      </c>
      <c r="E4382" t="str">
        <f>VLOOKUP(A4382,Panels!$A$1:$E$2104,5,0)</f>
        <v>Weetwood Cairn</v>
      </c>
    </row>
    <row r="4383">
      <c r="A4383" s="3">
        <v>1817.0</v>
      </c>
      <c r="B4383" s="3">
        <v>52.0</v>
      </c>
      <c r="C4383" s="3">
        <v>1.0</v>
      </c>
      <c r="D4383" t="str">
        <f>VLOOKUP(B4383,ERA_MOTIF_TYPES.csv!$A$1:$C$119,2,1)</f>
        <v>Single or multiple cups</v>
      </c>
      <c r="E4383" t="str">
        <f>VLOOKUP(A4383,Panels!$A$1:$E$2104,5,0)</f>
        <v>Weetwood Cairn</v>
      </c>
    </row>
    <row r="4384">
      <c r="A4384" s="3">
        <v>1818.0</v>
      </c>
      <c r="B4384" s="3">
        <v>1.0</v>
      </c>
      <c r="C4384" s="3">
        <v>1.0</v>
      </c>
      <c r="D4384" t="str">
        <f>VLOOKUP(B4384,ERA_MOTIF_TYPES.csv!$A$1:$C$119,2,1)</f>
        <v>Cups Single</v>
      </c>
      <c r="E4384" t="str">
        <f>VLOOKUP(A4384,Panels!$A$1:$E$2104,5,0)</f>
        <v>Weetwood Cairn</v>
      </c>
    </row>
    <row r="4385">
      <c r="A4385" s="3">
        <v>1818.0</v>
      </c>
      <c r="B4385" s="3">
        <v>52.0</v>
      </c>
      <c r="C4385" s="3">
        <v>1.0</v>
      </c>
      <c r="D4385" t="str">
        <f>VLOOKUP(B4385,ERA_MOTIF_TYPES.csv!$A$1:$C$119,2,1)</f>
        <v>Single or multiple cups</v>
      </c>
      <c r="E4385" t="str">
        <f>VLOOKUP(A4385,Panels!$A$1:$E$2104,5,0)</f>
        <v>Weetwood Cairn</v>
      </c>
    </row>
    <row r="4386">
      <c r="A4386" s="3">
        <v>1819.0</v>
      </c>
      <c r="B4386" s="3">
        <v>77.0</v>
      </c>
      <c r="C4386" s="3">
        <v>1.0</v>
      </c>
      <c r="D4386" t="str">
        <f>VLOOKUP(B4386,ERA_MOTIF_TYPES.csv!$A$1:$C$119,2,1)</f>
        <v>Keyhole enclosed by pennanular</v>
      </c>
      <c r="E4386" t="str">
        <f>VLOOKUP(A4386,Panels!$A$1:$E$2104,5,0)</f>
        <v>Weetwood Cairn</v>
      </c>
    </row>
    <row r="4387">
      <c r="A4387" s="3">
        <v>1820.0</v>
      </c>
      <c r="B4387" s="3">
        <v>1.0</v>
      </c>
      <c r="C4387" s="3">
        <v>1.0</v>
      </c>
      <c r="D4387" t="str">
        <f>VLOOKUP(B4387,ERA_MOTIF_TYPES.csv!$A$1:$C$119,2,1)</f>
        <v>Cups Single</v>
      </c>
      <c r="E4387" t="str">
        <f>VLOOKUP(A4387,Panels!$A$1:$E$2104,5,0)</f>
        <v>Weetwood Cairn</v>
      </c>
    </row>
    <row r="4388">
      <c r="A4388" s="3">
        <v>1820.0</v>
      </c>
      <c r="B4388" s="3">
        <v>52.0</v>
      </c>
      <c r="C4388" s="3">
        <v>1.0</v>
      </c>
      <c r="D4388" t="str">
        <f>VLOOKUP(B4388,ERA_MOTIF_TYPES.csv!$A$1:$C$119,2,1)</f>
        <v>Single or multiple cups</v>
      </c>
      <c r="E4388" t="str">
        <f>VLOOKUP(A4388,Panels!$A$1:$E$2104,5,0)</f>
        <v>Weetwood Cairn</v>
      </c>
    </row>
    <row r="4389">
      <c r="A4389" s="3">
        <v>1821.0</v>
      </c>
      <c r="B4389" s="3">
        <v>1.0</v>
      </c>
      <c r="C4389" s="3">
        <v>1.0</v>
      </c>
      <c r="D4389" t="str">
        <f>VLOOKUP(B4389,ERA_MOTIF_TYPES.csv!$A$1:$C$119,2,1)</f>
        <v>Cups Single</v>
      </c>
      <c r="E4389" t="str">
        <f>VLOOKUP(A4389,Panels!$A$1:$E$2104,5,0)</f>
        <v>Weetwood Cairn</v>
      </c>
    </row>
    <row r="4390">
      <c r="A4390" s="3">
        <v>1821.0</v>
      </c>
      <c r="B4390" s="3">
        <v>25.0</v>
      </c>
      <c r="C4390" s="3">
        <v>1.0</v>
      </c>
      <c r="D4390" t="str">
        <f>VLOOKUP(B4390,ERA_MOTIF_TYPES.csv!$A$1:$C$119,2,1)</f>
        <v>Linear</v>
      </c>
      <c r="E4390" t="str">
        <f>VLOOKUP(A4390,Panels!$A$1:$E$2104,5,0)</f>
        <v>Weetwood Cairn</v>
      </c>
    </row>
    <row r="4391">
      <c r="A4391" s="3">
        <v>1821.0</v>
      </c>
      <c r="B4391" s="3">
        <v>52.0</v>
      </c>
      <c r="C4391" s="3">
        <v>1.0</v>
      </c>
      <c r="D4391" t="str">
        <f>VLOOKUP(B4391,ERA_MOTIF_TYPES.csv!$A$1:$C$119,2,1)</f>
        <v>Single or multiple cups</v>
      </c>
      <c r="E4391" t="str">
        <f>VLOOKUP(A4391,Panels!$A$1:$E$2104,5,0)</f>
        <v>Weetwood Cairn</v>
      </c>
    </row>
    <row r="4392">
      <c r="A4392" s="3">
        <v>1822.0</v>
      </c>
      <c r="B4392" s="3">
        <v>1.0</v>
      </c>
      <c r="C4392" s="3">
        <v>1.0</v>
      </c>
      <c r="D4392" t="str">
        <f>VLOOKUP(B4392,ERA_MOTIF_TYPES.csv!$A$1:$C$119,2,1)</f>
        <v>Cups Single</v>
      </c>
      <c r="E4392" t="str">
        <f>VLOOKUP(A4392,Panels!$A$1:$E$2104,5,0)</f>
        <v>Weetwood Cairn</v>
      </c>
    </row>
    <row r="4393">
      <c r="A4393" s="3">
        <v>1822.0</v>
      </c>
      <c r="B4393" s="3">
        <v>25.0</v>
      </c>
      <c r="C4393" s="3">
        <v>1.0</v>
      </c>
      <c r="D4393" t="str">
        <f>VLOOKUP(B4393,ERA_MOTIF_TYPES.csv!$A$1:$C$119,2,1)</f>
        <v>Linear</v>
      </c>
      <c r="E4393" t="str">
        <f>VLOOKUP(A4393,Panels!$A$1:$E$2104,5,0)</f>
        <v>Weetwood Cairn</v>
      </c>
    </row>
    <row r="4394">
      <c r="A4394" s="3">
        <v>1822.0</v>
      </c>
      <c r="B4394" s="3">
        <v>52.0</v>
      </c>
      <c r="C4394" s="3">
        <v>1.0</v>
      </c>
      <c r="D4394" t="str">
        <f>VLOOKUP(B4394,ERA_MOTIF_TYPES.csv!$A$1:$C$119,2,1)</f>
        <v>Single or multiple cups</v>
      </c>
      <c r="E4394" t="str">
        <f>VLOOKUP(A4394,Panels!$A$1:$E$2104,5,0)</f>
        <v>Weetwood Cairn</v>
      </c>
    </row>
    <row r="4395">
      <c r="A4395" s="3">
        <v>1823.0</v>
      </c>
      <c r="B4395" s="3">
        <v>17.0</v>
      </c>
      <c r="C4395" s="3">
        <v>1.0</v>
      </c>
      <c r="D4395" t="str">
        <f>VLOOKUP(B4395,ERA_MOTIF_TYPES.csv!$A$1:$C$119,2,1)</f>
        <v>Single Penannular + cup</v>
      </c>
      <c r="E4395" t="str">
        <f>VLOOKUP(A4395,Panels!$A$1:$E$2104,5,0)</f>
        <v>Weetwood Cairn</v>
      </c>
    </row>
    <row r="4396">
      <c r="A4396" s="3">
        <v>1823.0</v>
      </c>
      <c r="B4396" s="3">
        <v>61.0</v>
      </c>
      <c r="C4396" s="3">
        <v>1.0</v>
      </c>
      <c r="D4396" t="str">
        <f>VLOOKUP(B4396,ERA_MOTIF_TYPES.csv!$A$1:$C$119,2,1)</f>
        <v>Cup and arc (or semi-ovoid)</v>
      </c>
      <c r="E4396" t="str">
        <f>VLOOKUP(A4396,Panels!$A$1:$E$2104,5,0)</f>
        <v>Weetwood Cairn</v>
      </c>
    </row>
    <row r="4397">
      <c r="A4397" s="3">
        <v>1824.0</v>
      </c>
      <c r="B4397" s="3">
        <v>1.0</v>
      </c>
      <c r="C4397" s="3">
        <v>2.0</v>
      </c>
      <c r="D4397" t="str">
        <f>VLOOKUP(B4397,ERA_MOTIF_TYPES.csv!$A$1:$C$119,2,1)</f>
        <v>Cups Single</v>
      </c>
      <c r="E4397" t="str">
        <f>VLOOKUP(A4397,Panels!$A$1:$E$2104,5,0)</f>
        <v>Weetwood Cairn</v>
      </c>
    </row>
    <row r="4398">
      <c r="A4398" s="3">
        <v>1824.0</v>
      </c>
      <c r="B4398" s="3">
        <v>52.0</v>
      </c>
      <c r="C4398" s="3">
        <v>2.0</v>
      </c>
      <c r="D4398" t="str">
        <f>VLOOKUP(B4398,ERA_MOTIF_TYPES.csv!$A$1:$C$119,2,1)</f>
        <v>Single or multiple cups</v>
      </c>
      <c r="E4398" t="str">
        <f>VLOOKUP(A4398,Panels!$A$1:$E$2104,5,0)</f>
        <v>Weetwood Cairn</v>
      </c>
    </row>
    <row r="4399">
      <c r="A4399" s="3">
        <v>1824.0</v>
      </c>
      <c r="B4399" s="3">
        <v>100.0</v>
      </c>
      <c r="C4399" s="3">
        <v>1.0</v>
      </c>
      <c r="D4399" t="str">
        <f>VLOOKUP(B4399,ERA_MOTIF_TYPES.csv!$A$1:$C$119,2,1)</f>
        <v>Pick marks</v>
      </c>
      <c r="E4399" t="str">
        <f>VLOOKUP(A4399,Panels!$A$1:$E$2104,5,0)</f>
        <v>Weetwood Cairn</v>
      </c>
    </row>
    <row r="4400">
      <c r="A4400" s="3">
        <v>1825.0</v>
      </c>
      <c r="B4400" s="3">
        <v>1.0</v>
      </c>
      <c r="C4400" s="3">
        <v>1.0</v>
      </c>
      <c r="D4400" t="str">
        <f>VLOOKUP(B4400,ERA_MOTIF_TYPES.csv!$A$1:$C$119,2,1)</f>
        <v>Cups Single</v>
      </c>
      <c r="E4400" t="str">
        <f>VLOOKUP(A4400,Panels!$A$1:$E$2104,5,0)</f>
        <v>Weetwood Cairn</v>
      </c>
    </row>
    <row r="4401">
      <c r="A4401" s="3">
        <v>1825.0</v>
      </c>
      <c r="B4401" s="3">
        <v>52.0</v>
      </c>
      <c r="C4401" s="3">
        <v>1.0</v>
      </c>
      <c r="D4401" t="str">
        <f>VLOOKUP(B4401,ERA_MOTIF_TYPES.csv!$A$1:$C$119,2,1)</f>
        <v>Single or multiple cups</v>
      </c>
      <c r="E4401" t="str">
        <f>VLOOKUP(A4401,Panels!$A$1:$E$2104,5,0)</f>
        <v>Weetwood Cairn</v>
      </c>
    </row>
    <row r="4402">
      <c r="A4402" s="3">
        <v>1826.0</v>
      </c>
      <c r="B4402" s="3">
        <v>1.0</v>
      </c>
      <c r="C4402" s="3">
        <v>1.0</v>
      </c>
      <c r="D4402" t="str">
        <f>VLOOKUP(B4402,ERA_MOTIF_TYPES.csv!$A$1:$C$119,2,1)</f>
        <v>Cups Single</v>
      </c>
      <c r="E4402" t="str">
        <f>VLOOKUP(A4402,Panels!$A$1:$E$2104,5,0)</f>
        <v>Weetwood Cairn</v>
      </c>
    </row>
    <row r="4403">
      <c r="A4403" s="3">
        <v>1826.0</v>
      </c>
      <c r="B4403" s="3">
        <v>52.0</v>
      </c>
      <c r="C4403" s="3">
        <v>1.0</v>
      </c>
      <c r="D4403" t="str">
        <f>VLOOKUP(B4403,ERA_MOTIF_TYPES.csv!$A$1:$C$119,2,1)</f>
        <v>Single or multiple cups</v>
      </c>
      <c r="E4403" t="str">
        <f>VLOOKUP(A4403,Panels!$A$1:$E$2104,5,0)</f>
        <v>Weetwood Cairn</v>
      </c>
    </row>
    <row r="4404">
      <c r="A4404" s="3">
        <v>1827.0</v>
      </c>
      <c r="B4404" s="3">
        <v>1.0</v>
      </c>
      <c r="C4404" s="3">
        <v>1.0</v>
      </c>
      <c r="D4404" t="str">
        <f>VLOOKUP(B4404,ERA_MOTIF_TYPES.csv!$A$1:$C$119,2,1)</f>
        <v>Cups Single</v>
      </c>
      <c r="E4404" t="str">
        <f>VLOOKUP(A4404,Panels!$A$1:$E$2104,5,0)</f>
        <v>Weetwood Cairn</v>
      </c>
    </row>
    <row r="4405">
      <c r="A4405" s="3">
        <v>1827.0</v>
      </c>
      <c r="B4405" s="3">
        <v>52.0</v>
      </c>
      <c r="C4405" s="3">
        <v>1.0</v>
      </c>
      <c r="D4405" t="str">
        <f>VLOOKUP(B4405,ERA_MOTIF_TYPES.csv!$A$1:$C$119,2,1)</f>
        <v>Single or multiple cups</v>
      </c>
      <c r="E4405" t="str">
        <f>VLOOKUP(A4405,Panels!$A$1:$E$2104,5,0)</f>
        <v>Weetwood Cairn</v>
      </c>
    </row>
    <row r="4406">
      <c r="A4406" s="3">
        <v>1828.0</v>
      </c>
      <c r="B4406" s="3">
        <v>1.0</v>
      </c>
      <c r="C4406" s="3">
        <v>1.0</v>
      </c>
      <c r="D4406" t="str">
        <f>VLOOKUP(B4406,ERA_MOTIF_TYPES.csv!$A$1:$C$119,2,1)</f>
        <v>Cups Single</v>
      </c>
      <c r="E4406" t="str">
        <f>VLOOKUP(A4406,Panels!$A$1:$E$2104,5,0)</f>
        <v>Weetwood Cairn</v>
      </c>
    </row>
    <row r="4407">
      <c r="A4407" s="3">
        <v>1828.0</v>
      </c>
      <c r="B4407" s="3">
        <v>25.0</v>
      </c>
      <c r="C4407" s="3">
        <v>1.0</v>
      </c>
      <c r="D4407" t="str">
        <f>VLOOKUP(B4407,ERA_MOTIF_TYPES.csv!$A$1:$C$119,2,1)</f>
        <v>Linear</v>
      </c>
      <c r="E4407" t="str">
        <f>VLOOKUP(A4407,Panels!$A$1:$E$2104,5,0)</f>
        <v>Weetwood Cairn</v>
      </c>
    </row>
    <row r="4408">
      <c r="A4408" s="3">
        <v>1828.0</v>
      </c>
      <c r="B4408" s="3">
        <v>27.0</v>
      </c>
      <c r="C4408" s="3">
        <v>1.0</v>
      </c>
      <c r="D4408" t="str">
        <f>VLOOKUP(B4408,ERA_MOTIF_TYPES.csv!$A$1:$C$119,2,1)</f>
        <v>Serpentine</v>
      </c>
      <c r="E4408" t="str">
        <f>VLOOKUP(A4408,Panels!$A$1:$E$2104,5,0)</f>
        <v>Weetwood Cairn</v>
      </c>
    </row>
    <row r="4409">
      <c r="A4409" s="3">
        <v>1828.0</v>
      </c>
      <c r="B4409" s="3">
        <v>52.0</v>
      </c>
      <c r="C4409" s="3">
        <v>1.0</v>
      </c>
      <c r="D4409" t="str">
        <f>VLOOKUP(B4409,ERA_MOTIF_TYPES.csv!$A$1:$C$119,2,1)</f>
        <v>Single or multiple cups</v>
      </c>
      <c r="E4409" t="str">
        <f>VLOOKUP(A4409,Panels!$A$1:$E$2104,5,0)</f>
        <v>Weetwood Cairn</v>
      </c>
    </row>
    <row r="4410">
      <c r="A4410" s="3">
        <v>1829.0</v>
      </c>
      <c r="B4410" s="3">
        <v>25.0</v>
      </c>
      <c r="C4410" s="3">
        <v>1.0</v>
      </c>
      <c r="D4410" t="str">
        <f>VLOOKUP(B4410,ERA_MOTIF_TYPES.csv!$A$1:$C$119,2,1)</f>
        <v>Linear</v>
      </c>
      <c r="E4410" t="str">
        <f>VLOOKUP(A4410,Panels!$A$1:$E$2104,5,0)</f>
        <v>Weetwood Cairn</v>
      </c>
    </row>
    <row r="4411">
      <c r="A4411" s="3">
        <v>1829.0</v>
      </c>
      <c r="B4411" s="3">
        <v>31.0</v>
      </c>
      <c r="C4411" s="3">
        <v>1.0</v>
      </c>
      <c r="D4411" t="str">
        <f>VLOOKUP(B4411,ERA_MOTIF_TYPES.csv!$A$1:$C$119,2,1)</f>
        <v>Cup and Groove</v>
      </c>
      <c r="E4411" t="str">
        <f>VLOOKUP(A4411,Panels!$A$1:$E$2104,5,0)</f>
        <v>Weetwood Cairn</v>
      </c>
    </row>
    <row r="4412">
      <c r="A4412" s="3">
        <v>1829.0</v>
      </c>
      <c r="B4412" s="3">
        <v>87.0</v>
      </c>
      <c r="C4412" s="3">
        <v>1.0</v>
      </c>
      <c r="D4412" t="str">
        <f>VLOOKUP(B4412,ERA_MOTIF_TYPES.csv!$A$1:$C$119,2,1)</f>
        <v>Linear and angular groove</v>
      </c>
      <c r="E4412" t="str">
        <f>VLOOKUP(A4412,Panels!$A$1:$E$2104,5,0)</f>
        <v>Weetwood Cairn</v>
      </c>
    </row>
    <row r="4413">
      <c r="A4413" s="3">
        <v>1829.0</v>
      </c>
      <c r="B4413" s="3">
        <v>103.0</v>
      </c>
      <c r="C4413" s="3">
        <v>1.0</v>
      </c>
      <c r="D4413" t="str">
        <f>VLOOKUP(B4413,ERA_MOTIF_TYPES.csv!$A$1:$C$119,2,1)</f>
        <v>Cup and groove</v>
      </c>
      <c r="E4413" t="str">
        <f>VLOOKUP(A4413,Panels!$A$1:$E$2104,5,0)</f>
        <v>Weetwood Cairn</v>
      </c>
    </row>
    <row r="4414">
      <c r="A4414" s="3">
        <v>1830.0</v>
      </c>
      <c r="B4414" s="3">
        <v>1.0</v>
      </c>
      <c r="C4414" s="3">
        <v>1.0</v>
      </c>
      <c r="D4414" t="str">
        <f>VLOOKUP(B4414,ERA_MOTIF_TYPES.csv!$A$1:$C$119,2,1)</f>
        <v>Cups Single</v>
      </c>
      <c r="E4414" t="str">
        <f>VLOOKUP(A4414,Panels!$A$1:$E$2104,5,0)</f>
        <v>Weetwood Cairn</v>
      </c>
    </row>
    <row r="4415">
      <c r="A4415" s="3">
        <v>1830.0</v>
      </c>
      <c r="B4415" s="3">
        <v>52.0</v>
      </c>
      <c r="C4415" s="3">
        <v>1.0</v>
      </c>
      <c r="D4415" t="str">
        <f>VLOOKUP(B4415,ERA_MOTIF_TYPES.csv!$A$1:$C$119,2,1)</f>
        <v>Single or multiple cups</v>
      </c>
      <c r="E4415" t="str">
        <f>VLOOKUP(A4415,Panels!$A$1:$E$2104,5,0)</f>
        <v>Weetwood Cairn</v>
      </c>
    </row>
    <row r="4416">
      <c r="A4416" s="3">
        <v>1831.0</v>
      </c>
      <c r="B4416" s="3">
        <v>34.0</v>
      </c>
      <c r="C4416" s="3">
        <v>1.0</v>
      </c>
      <c r="D4416" t="str">
        <f>VLOOKUP(B4416,ERA_MOTIF_TYPES.csv!$A$1:$C$119,2,1)</f>
        <v>Cup Groove and penannular</v>
      </c>
      <c r="E4416" t="str">
        <f>VLOOKUP(A4416,Panels!$A$1:$E$2104,5,0)</f>
        <v>Weetwood Cairn</v>
      </c>
    </row>
    <row r="4417">
      <c r="A4417" s="3">
        <v>1831.0</v>
      </c>
      <c r="B4417" s="3">
        <v>65.0</v>
      </c>
      <c r="C4417" s="3">
        <v>1.0</v>
      </c>
      <c r="D4417" t="str">
        <f>VLOOKUP(B4417,ERA_MOTIF_TYPES.csv!$A$1:$C$119,2,1)</f>
        <v>Cup and groove with penannular</v>
      </c>
      <c r="E4417" t="str">
        <f>VLOOKUP(A4417,Panels!$A$1:$E$2104,5,0)</f>
        <v>Weetwood Cairn</v>
      </c>
    </row>
    <row r="4418">
      <c r="A4418" s="3">
        <v>1832.0</v>
      </c>
      <c r="B4418" s="3">
        <v>1.0</v>
      </c>
      <c r="C4418" s="3">
        <v>1.0</v>
      </c>
      <c r="D4418" t="str">
        <f>VLOOKUP(B4418,ERA_MOTIF_TYPES.csv!$A$1:$C$119,2,1)</f>
        <v>Cups Single</v>
      </c>
      <c r="E4418" t="str">
        <f>VLOOKUP(A4418,Panels!$A$1:$E$2104,5,0)</f>
        <v>Weetwood Cairn</v>
      </c>
    </row>
    <row r="4419">
      <c r="A4419" s="3">
        <v>1832.0</v>
      </c>
      <c r="B4419" s="3">
        <v>52.0</v>
      </c>
      <c r="C4419" s="3">
        <v>1.0</v>
      </c>
      <c r="D4419" t="str">
        <f>VLOOKUP(B4419,ERA_MOTIF_TYPES.csv!$A$1:$C$119,2,1)</f>
        <v>Single or multiple cups</v>
      </c>
      <c r="E4419" t="str">
        <f>VLOOKUP(A4419,Panels!$A$1:$E$2104,5,0)</f>
        <v>Weetwood Cairn</v>
      </c>
    </row>
    <row r="4420">
      <c r="A4420" s="3">
        <v>1833.0</v>
      </c>
      <c r="B4420" s="3">
        <v>1.0</v>
      </c>
      <c r="C4420" s="3">
        <v>1.0</v>
      </c>
      <c r="D4420" t="str">
        <f>VLOOKUP(B4420,ERA_MOTIF_TYPES.csv!$A$1:$C$119,2,1)</f>
        <v>Cups Single</v>
      </c>
      <c r="E4420" t="str">
        <f>VLOOKUP(A4420,Panels!$A$1:$E$2104,5,0)</f>
        <v>Weetwood Cairn</v>
      </c>
    </row>
    <row r="4421">
      <c r="A4421" s="3">
        <v>1833.0</v>
      </c>
      <c r="B4421" s="3">
        <v>52.0</v>
      </c>
      <c r="C4421" s="3">
        <v>1.0</v>
      </c>
      <c r="D4421" t="str">
        <f>VLOOKUP(B4421,ERA_MOTIF_TYPES.csv!$A$1:$C$119,2,1)</f>
        <v>Single or multiple cups</v>
      </c>
      <c r="E4421" t="str">
        <f>VLOOKUP(A4421,Panels!$A$1:$E$2104,5,0)</f>
        <v>Weetwood Cairn</v>
      </c>
    </row>
    <row r="4422">
      <c r="A4422" s="3">
        <v>1834.0</v>
      </c>
      <c r="B4422" s="3">
        <v>1.0</v>
      </c>
      <c r="C4422" s="3">
        <v>2.0</v>
      </c>
      <c r="D4422" t="str">
        <f>VLOOKUP(B4422,ERA_MOTIF_TYPES.csv!$A$1:$C$119,2,1)</f>
        <v>Cups Single</v>
      </c>
      <c r="E4422" t="str">
        <f>VLOOKUP(A4422,Panels!$A$1:$E$2104,5,0)</f>
        <v>Weetwood Cairn</v>
      </c>
    </row>
    <row r="4423">
      <c r="A4423" s="3">
        <v>1834.0</v>
      </c>
      <c r="B4423" s="3">
        <v>52.0</v>
      </c>
      <c r="C4423" s="3">
        <v>2.0</v>
      </c>
      <c r="D4423" t="str">
        <f>VLOOKUP(B4423,ERA_MOTIF_TYPES.csv!$A$1:$C$119,2,1)</f>
        <v>Single or multiple cups</v>
      </c>
      <c r="E4423" t="str">
        <f>VLOOKUP(A4423,Panels!$A$1:$E$2104,5,0)</f>
        <v>Weetwood Cairn</v>
      </c>
    </row>
    <row r="4424">
      <c r="A4424" s="3">
        <v>1835.0</v>
      </c>
      <c r="B4424" s="3">
        <v>1.0</v>
      </c>
      <c r="C4424" s="3">
        <v>1.0</v>
      </c>
      <c r="D4424" t="str">
        <f>VLOOKUP(B4424,ERA_MOTIF_TYPES.csv!$A$1:$C$119,2,1)</f>
        <v>Cups Single</v>
      </c>
      <c r="E4424" t="str">
        <f>VLOOKUP(A4424,Panels!$A$1:$E$2104,5,0)</f>
        <v>Weetwood Cairn</v>
      </c>
    </row>
    <row r="4425">
      <c r="A4425" s="3">
        <v>1835.0</v>
      </c>
      <c r="B4425" s="3">
        <v>52.0</v>
      </c>
      <c r="C4425" s="3">
        <v>1.0</v>
      </c>
      <c r="D4425" t="str">
        <f>VLOOKUP(B4425,ERA_MOTIF_TYPES.csv!$A$1:$C$119,2,1)</f>
        <v>Single or multiple cups</v>
      </c>
      <c r="E4425" t="str">
        <f>VLOOKUP(A4425,Panels!$A$1:$E$2104,5,0)</f>
        <v>Weetwood Cairn</v>
      </c>
    </row>
    <row r="4426">
      <c r="A4426" s="3">
        <v>1836.0</v>
      </c>
      <c r="B4426" s="3">
        <v>1.0</v>
      </c>
      <c r="C4426" s="3">
        <v>1.0</v>
      </c>
      <c r="D4426" t="str">
        <f>VLOOKUP(B4426,ERA_MOTIF_TYPES.csv!$A$1:$C$119,2,1)</f>
        <v>Cups Single</v>
      </c>
      <c r="E4426" t="str">
        <f>VLOOKUP(A4426,Panels!$A$1:$E$2104,5,0)</f>
        <v>Weetwood portable</v>
      </c>
    </row>
    <row r="4427">
      <c r="A4427" s="3">
        <v>1836.0</v>
      </c>
      <c r="B4427" s="3">
        <v>57.0</v>
      </c>
      <c r="C4427" s="3">
        <v>1.0</v>
      </c>
      <c r="D4427" t="str">
        <f>VLOOKUP(B4427,ERA_MOTIF_TYPES.csv!$A$1:$C$119,2,1)</f>
        <v>Cup and ring</v>
      </c>
      <c r="E4427" t="str">
        <f>VLOOKUP(A4427,Panels!$A$1:$E$2104,5,0)</f>
        <v>Weetwood portable</v>
      </c>
    </row>
    <row r="4428">
      <c r="A4428" s="3">
        <v>1836.0</v>
      </c>
      <c r="B4428" s="3">
        <v>71.0</v>
      </c>
      <c r="C4428" s="3">
        <v>1.0</v>
      </c>
      <c r="D4428" t="str">
        <f>VLOOKUP(B4428,ERA_MOTIF_TYPES.csv!$A$1:$C$119,2,1)</f>
        <v>Penannular</v>
      </c>
      <c r="E4428" t="str">
        <f>VLOOKUP(A4428,Panels!$A$1:$E$2104,5,0)</f>
        <v>Weetwood portable</v>
      </c>
    </row>
    <row r="4429">
      <c r="A4429" s="3">
        <v>1837.0</v>
      </c>
      <c r="B4429" s="3">
        <v>1.0</v>
      </c>
      <c r="C4429" s="3">
        <v>1.0</v>
      </c>
      <c r="D4429" t="str">
        <f>VLOOKUP(B4429,ERA_MOTIF_TYPES.csv!$A$1:$C$119,2,1)</f>
        <v>Cups Single</v>
      </c>
      <c r="E4429" t="str">
        <f>VLOOKUP(A4429,Panels!$A$1:$E$2104,5,0)</f>
        <v>Allen Banks</v>
      </c>
    </row>
    <row r="4430">
      <c r="A4430" s="3">
        <v>1837.0</v>
      </c>
      <c r="B4430" s="3">
        <v>52.0</v>
      </c>
      <c r="C4430" s="3">
        <v>1.0</v>
      </c>
      <c r="D4430" t="str">
        <f>VLOOKUP(B4430,ERA_MOTIF_TYPES.csv!$A$1:$C$119,2,1)</f>
        <v>Single or multiple cups</v>
      </c>
      <c r="E4430" t="str">
        <f>VLOOKUP(A4430,Panels!$A$1:$E$2104,5,0)</f>
        <v>Allen Banks</v>
      </c>
    </row>
    <row r="4431">
      <c r="A4431" s="3">
        <v>1838.0</v>
      </c>
      <c r="B4431" s="3">
        <v>1.0</v>
      </c>
      <c r="C4431" s="3">
        <v>1.0</v>
      </c>
      <c r="D4431" t="str">
        <f>VLOOKUP(B4431,ERA_MOTIF_TYPES.csv!$A$1:$C$119,2,1)</f>
        <v>Cups Single</v>
      </c>
      <c r="E4431" t="str">
        <f>VLOOKUP(A4431,Panels!$A$1:$E$2104,5,0)</f>
        <v>Blueburn Farm, Rothbury</v>
      </c>
    </row>
    <row r="4432">
      <c r="A4432" s="3">
        <v>1838.0</v>
      </c>
      <c r="B4432" s="3">
        <v>52.0</v>
      </c>
      <c r="C4432" s="3">
        <v>1.0</v>
      </c>
      <c r="D4432" t="str">
        <f>VLOOKUP(B4432,ERA_MOTIF_TYPES.csv!$A$1:$C$119,2,1)</f>
        <v>Single or multiple cups</v>
      </c>
      <c r="E4432" t="str">
        <f>VLOOKUP(A4432,Panels!$A$1:$E$2104,5,0)</f>
        <v>Blueburn Farm, Rothbury</v>
      </c>
    </row>
    <row r="4433">
      <c r="A4433" s="3">
        <v>1838.0</v>
      </c>
      <c r="B4433" s="3">
        <v>100.0</v>
      </c>
      <c r="C4433" s="3">
        <v>1.0</v>
      </c>
      <c r="D4433" t="str">
        <f>VLOOKUP(B4433,ERA_MOTIF_TYPES.csv!$A$1:$C$119,2,1)</f>
        <v>Pick marks</v>
      </c>
      <c r="E4433" t="str">
        <f>VLOOKUP(A4433,Panels!$A$1:$E$2104,5,0)</f>
        <v>Blueburn Farm, Rothbury</v>
      </c>
    </row>
    <row r="4434">
      <c r="A4434" s="3">
        <v>1840.0</v>
      </c>
      <c r="B4434" s="3">
        <v>52.0</v>
      </c>
      <c r="C4434" s="3">
        <v>10.0</v>
      </c>
      <c r="D4434" t="str">
        <f>VLOOKUP(B4434,ERA_MOTIF_TYPES.csv!$A$1:$C$119,2,1)</f>
        <v>Single or multiple cups</v>
      </c>
      <c r="E4434" t="str">
        <f>VLOOKUP(A4434,Panels!$A$1:$E$2104,5,0)</f>
        <v>Camp Hill</v>
      </c>
    </row>
    <row r="4435">
      <c r="A4435" s="3">
        <v>1841.0</v>
      </c>
      <c r="B4435" s="3">
        <v>2.0</v>
      </c>
      <c r="C4435" s="3">
        <v>1.0</v>
      </c>
      <c r="D4435" t="str">
        <f>VLOOKUP(B4435,ERA_MOTIF_TYPES.csv!$A$1:$C$119,2,1)</f>
        <v>Random Cluster</v>
      </c>
      <c r="E4435" t="str">
        <f>VLOOKUP(A4435,Panels!$A$1:$E$2104,5,0)</f>
        <v>Cartington Castle</v>
      </c>
    </row>
    <row r="4436">
      <c r="A4436" s="3">
        <v>1841.0</v>
      </c>
      <c r="B4436" s="3">
        <v>13.0</v>
      </c>
      <c r="C4436" s="3">
        <v>1.0</v>
      </c>
      <c r="D4436" t="str">
        <f>VLOOKUP(B4436,ERA_MOTIF_TYPES.csv!$A$1:$C$119,2,1)</f>
        <v>Single Ring + cup</v>
      </c>
      <c r="E4436" t="str">
        <f>VLOOKUP(A4436,Panels!$A$1:$E$2104,5,0)</f>
        <v>Cartington Castle</v>
      </c>
    </row>
    <row r="4437">
      <c r="A4437" s="3">
        <v>1841.0</v>
      </c>
      <c r="B4437" s="3">
        <v>46.0</v>
      </c>
      <c r="C4437" s="3">
        <v>1.0</v>
      </c>
      <c r="D4437" t="str">
        <f>VLOOKUP(B4437,ERA_MOTIF_TYPES.csv!$A$1:$C$119,2,1)</f>
        <v>Groove and cups</v>
      </c>
      <c r="E4437" t="str">
        <f>VLOOKUP(A4437,Panels!$A$1:$E$2104,5,0)</f>
        <v>Cartington Castle</v>
      </c>
    </row>
    <row r="4438">
      <c r="A4438" s="3">
        <v>1841.0</v>
      </c>
      <c r="B4438" s="3">
        <v>52.0</v>
      </c>
      <c r="C4438" s="3">
        <v>11.0</v>
      </c>
      <c r="D4438" t="str">
        <f>VLOOKUP(B4438,ERA_MOTIF_TYPES.csv!$A$1:$C$119,2,1)</f>
        <v>Single or multiple cups</v>
      </c>
      <c r="E4438" t="str">
        <f>VLOOKUP(A4438,Panels!$A$1:$E$2104,5,0)</f>
        <v>Cartington Castle</v>
      </c>
    </row>
    <row r="4439">
      <c r="A4439" s="3">
        <v>1841.0</v>
      </c>
      <c r="B4439" s="3">
        <v>57.0</v>
      </c>
      <c r="C4439" s="3">
        <v>2.0</v>
      </c>
      <c r="D4439" t="str">
        <f>VLOOKUP(B4439,ERA_MOTIF_TYPES.csv!$A$1:$C$119,2,1)</f>
        <v>Cup and ring</v>
      </c>
      <c r="E4439" t="str">
        <f>VLOOKUP(A4439,Panels!$A$1:$E$2104,5,0)</f>
        <v>Cartington Castle</v>
      </c>
    </row>
    <row r="4440">
      <c r="A4440" s="3">
        <v>1841.0</v>
      </c>
      <c r="B4440" s="3">
        <v>84.0</v>
      </c>
      <c r="C4440" s="3">
        <v>2.0</v>
      </c>
      <c r="D4440" t="str">
        <f>VLOOKUP(B4440,ERA_MOTIF_TYPES.csv!$A$1:$C$119,2,1)</f>
        <v>Oval groove enclosing cups</v>
      </c>
      <c r="E4440" t="str">
        <f>VLOOKUP(A4440,Panels!$A$1:$E$2104,5,0)</f>
        <v>Cartington Castle</v>
      </c>
    </row>
    <row r="4441">
      <c r="A4441" s="3">
        <v>1841.0</v>
      </c>
      <c r="B4441" s="3">
        <v>87.0</v>
      </c>
      <c r="C4441" s="3">
        <v>4.0</v>
      </c>
      <c r="D4441" t="str">
        <f>VLOOKUP(B4441,ERA_MOTIF_TYPES.csv!$A$1:$C$119,2,1)</f>
        <v>Linear and angular groove</v>
      </c>
      <c r="E4441" t="str">
        <f>VLOOKUP(A4441,Panels!$A$1:$E$2104,5,0)</f>
        <v>Cartington Castle</v>
      </c>
    </row>
    <row r="4442">
      <c r="A4442" s="3">
        <v>1841.0</v>
      </c>
      <c r="B4442" s="3">
        <v>105.0</v>
      </c>
      <c r="C4442" s="3">
        <v>2.0</v>
      </c>
      <c r="D4442" t="str">
        <f>VLOOKUP(B4442,ERA_MOTIF_TYPES.csv!$A$1:$C$119,2,1)</f>
        <v>Two cups linked by a groove</v>
      </c>
      <c r="E4442" t="str">
        <f>VLOOKUP(A4442,Panels!$A$1:$E$2104,5,0)</f>
        <v>Cartington Castle</v>
      </c>
    </row>
    <row r="4443">
      <c r="A4443" s="3">
        <v>1841.0</v>
      </c>
      <c r="B4443" s="3">
        <v>110.0</v>
      </c>
      <c r="C4443" s="3">
        <v>1.0</v>
      </c>
      <c r="D4443" t="str">
        <f>VLOOKUP(B4443,ERA_MOTIF_TYPES.csv!$A$1:$C$119,2,1)</f>
        <v>Curved groove</v>
      </c>
      <c r="E4443" t="str">
        <f>VLOOKUP(A4443,Panels!$A$1:$E$2104,5,0)</f>
        <v>Cartington Castle</v>
      </c>
    </row>
    <row r="4444">
      <c r="A4444" s="3">
        <v>1842.0</v>
      </c>
      <c r="B4444" s="3">
        <v>66.0</v>
      </c>
      <c r="C4444" s="3">
        <v>1.0</v>
      </c>
      <c r="D4444" t="str">
        <f>VLOOKUP(B4444,ERA_MOTIF_TYPES.csv!$A$1:$C$119,2,1)</f>
        <v>Cup and groove with multiple penannulars</v>
      </c>
      <c r="E4444" t="str">
        <f>VLOOKUP(A4444,Panels!$A$1:$E$2104,5,0)</f>
        <v>Fowberry Moor Farm, Island/Deershed Plantation</v>
      </c>
    </row>
    <row r="4445">
      <c r="A4445" s="3">
        <v>1843.0</v>
      </c>
      <c r="B4445" s="3">
        <v>70.0</v>
      </c>
      <c r="C4445" s="3">
        <v>1.0</v>
      </c>
      <c r="D4445" t="str">
        <f>VLOOKUP(B4445,ERA_MOTIF_TYPES.csv!$A$1:$C$119,2,1)</f>
        <v>Concentric rings</v>
      </c>
      <c r="E4445" t="str">
        <f>VLOOKUP(A4445,Panels!$A$1:$E$2104,5,0)</f>
        <v>Dod Law 'Cist'</v>
      </c>
    </row>
    <row r="4446">
      <c r="A4446" s="3">
        <v>1847.0</v>
      </c>
      <c r="B4446" s="3">
        <v>1.0</v>
      </c>
      <c r="C4446" s="3">
        <v>2.0</v>
      </c>
      <c r="D4446" t="str">
        <f>VLOOKUP(B4446,ERA_MOTIF_TYPES.csv!$A$1:$C$119,2,1)</f>
        <v>Cups Single</v>
      </c>
      <c r="E4446" t="str">
        <f>VLOOKUP(A4446,Panels!$A$1:$E$2104,5,0)</f>
        <v>Dod Law excavation - site object</v>
      </c>
    </row>
    <row r="4447">
      <c r="A4447" s="3">
        <v>1847.0</v>
      </c>
      <c r="B4447" s="3">
        <v>52.0</v>
      </c>
      <c r="C4447" s="3">
        <v>2.0</v>
      </c>
      <c r="D4447" t="str">
        <f>VLOOKUP(B4447,ERA_MOTIF_TYPES.csv!$A$1:$C$119,2,1)</f>
        <v>Single or multiple cups</v>
      </c>
      <c r="E4447" t="str">
        <f>VLOOKUP(A4447,Panels!$A$1:$E$2104,5,0)</f>
        <v>Dod Law excavation - site object</v>
      </c>
    </row>
    <row r="4448">
      <c r="A4448" s="3">
        <v>1848.0</v>
      </c>
      <c r="B4448" s="3">
        <v>2.0</v>
      </c>
      <c r="C4448" s="3">
        <v>1.0</v>
      </c>
      <c r="D4448" t="str">
        <f>VLOOKUP(B4448,ERA_MOTIF_TYPES.csv!$A$1:$C$119,2,1)</f>
        <v>Random Cluster</v>
      </c>
      <c r="E4448" t="str">
        <f>VLOOKUP(A4448,Panels!$A$1:$E$2104,5,0)</f>
        <v>Dod Law excavation - site object</v>
      </c>
    </row>
    <row r="4449">
      <c r="A4449" s="3">
        <v>1848.0</v>
      </c>
      <c r="B4449" s="3">
        <v>34.0</v>
      </c>
      <c r="C4449" s="3">
        <v>1.0</v>
      </c>
      <c r="D4449" t="str">
        <f>VLOOKUP(B4449,ERA_MOTIF_TYPES.csv!$A$1:$C$119,2,1)</f>
        <v>Cup Groove and penannular</v>
      </c>
      <c r="E4449" t="str">
        <f>VLOOKUP(A4449,Panels!$A$1:$E$2104,5,0)</f>
        <v>Dod Law excavation - site object</v>
      </c>
    </row>
    <row r="4450">
      <c r="A4450" s="3">
        <v>1848.0</v>
      </c>
      <c r="B4450" s="3">
        <v>65.0</v>
      </c>
      <c r="C4450" s="3">
        <v>1.0</v>
      </c>
      <c r="D4450" t="str">
        <f>VLOOKUP(B4450,ERA_MOTIF_TYPES.csv!$A$1:$C$119,2,1)</f>
        <v>Cup and groove with penannular</v>
      </c>
      <c r="E4450" t="str">
        <f>VLOOKUP(A4450,Panels!$A$1:$E$2104,5,0)</f>
        <v>Dod Law excavation - site object</v>
      </c>
    </row>
    <row r="4451">
      <c r="A4451" s="3">
        <v>1848.0</v>
      </c>
      <c r="B4451" s="3">
        <v>100.0</v>
      </c>
      <c r="C4451" s="3">
        <v>1.0</v>
      </c>
      <c r="D4451" t="str">
        <f>VLOOKUP(B4451,ERA_MOTIF_TYPES.csv!$A$1:$C$119,2,1)</f>
        <v>Pick marks</v>
      </c>
      <c r="E4451" t="str">
        <f>VLOOKUP(A4451,Panels!$A$1:$E$2104,5,0)</f>
        <v>Dod Law excavation - site object</v>
      </c>
    </row>
    <row r="4452">
      <c r="A4452" s="3">
        <v>1849.0</v>
      </c>
      <c r="B4452" s="3">
        <v>1.0</v>
      </c>
      <c r="C4452" s="3">
        <v>1.0</v>
      </c>
      <c r="D4452" t="str">
        <f>VLOOKUP(B4452,ERA_MOTIF_TYPES.csv!$A$1:$C$119,2,1)</f>
        <v>Cups Single</v>
      </c>
      <c r="E4452" t="str">
        <f>VLOOKUP(A4452,Panels!$A$1:$E$2104,5,0)</f>
        <v>Dod Law excavation - site object</v>
      </c>
    </row>
    <row r="4453">
      <c r="A4453" s="3">
        <v>1849.0</v>
      </c>
      <c r="B4453" s="3">
        <v>2.0</v>
      </c>
      <c r="C4453" s="3">
        <v>1.0</v>
      </c>
      <c r="D4453" t="str">
        <f>VLOOKUP(B4453,ERA_MOTIF_TYPES.csv!$A$1:$C$119,2,1)</f>
        <v>Random Cluster</v>
      </c>
      <c r="E4453" t="str">
        <f>VLOOKUP(A4453,Panels!$A$1:$E$2104,5,0)</f>
        <v>Dod Law excavation - site object</v>
      </c>
    </row>
    <row r="4454">
      <c r="A4454" s="3">
        <v>1849.0</v>
      </c>
      <c r="B4454" s="3">
        <v>52.0</v>
      </c>
      <c r="C4454" s="3">
        <v>1.0</v>
      </c>
      <c r="D4454" t="str">
        <f>VLOOKUP(B4454,ERA_MOTIF_TYPES.csv!$A$1:$C$119,2,1)</f>
        <v>Single or multiple cups</v>
      </c>
      <c r="E4454" t="str">
        <f>VLOOKUP(A4454,Panels!$A$1:$E$2104,5,0)</f>
        <v>Dod Law excavation - site object</v>
      </c>
    </row>
    <row r="4455">
      <c r="A4455" s="3">
        <v>1849.0</v>
      </c>
      <c r="B4455" s="3">
        <v>100.0</v>
      </c>
      <c r="C4455" s="3">
        <v>1.0</v>
      </c>
      <c r="D4455" t="str">
        <f>VLOOKUP(B4455,ERA_MOTIF_TYPES.csv!$A$1:$C$119,2,1)</f>
        <v>Pick marks</v>
      </c>
      <c r="E4455" t="str">
        <f>VLOOKUP(A4455,Panels!$A$1:$E$2104,5,0)</f>
        <v>Dod Law excavation - site object</v>
      </c>
    </row>
    <row r="4456">
      <c r="A4456" s="3">
        <v>1850.0</v>
      </c>
      <c r="B4456" s="3">
        <v>1.0</v>
      </c>
      <c r="C4456" s="3">
        <v>9.0</v>
      </c>
      <c r="D4456" t="str">
        <f>VLOOKUP(B4456,ERA_MOTIF_TYPES.csv!$A$1:$C$119,2,1)</f>
        <v>Cups Single</v>
      </c>
      <c r="E4456" t="str">
        <f>VLOOKUP(A4456,Panels!$A$1:$E$2104,5,0)</f>
        <v>Dod Law excavation - site object</v>
      </c>
    </row>
    <row r="4457">
      <c r="A4457" s="3">
        <v>1850.0</v>
      </c>
      <c r="B4457" s="3">
        <v>100.0</v>
      </c>
      <c r="C4457" s="3">
        <v>1.0</v>
      </c>
      <c r="D4457" t="str">
        <f>VLOOKUP(B4457,ERA_MOTIF_TYPES.csv!$A$1:$C$119,2,1)</f>
        <v>Pick marks</v>
      </c>
      <c r="E4457" t="str">
        <f>VLOOKUP(A4457,Panels!$A$1:$E$2104,5,0)</f>
        <v>Dod Law excavation - site object</v>
      </c>
    </row>
    <row r="4458">
      <c r="A4458" s="3">
        <v>1851.0</v>
      </c>
      <c r="B4458" s="3">
        <v>52.0</v>
      </c>
      <c r="C4458" s="3">
        <v>1.0</v>
      </c>
      <c r="D4458" t="str">
        <f>VLOOKUP(B4458,ERA_MOTIF_TYPES.csv!$A$1:$C$119,2,1)</f>
        <v>Single or multiple cups</v>
      </c>
      <c r="E4458" t="str">
        <f>VLOOKUP(A4458,Panels!$A$1:$E$2104,5,0)</f>
        <v>Dod Law portable</v>
      </c>
    </row>
    <row r="4459">
      <c r="A4459" s="3">
        <v>1852.0</v>
      </c>
      <c r="B4459" s="3">
        <v>1.0</v>
      </c>
      <c r="C4459" s="3">
        <v>3.0</v>
      </c>
      <c r="D4459" t="str">
        <f>VLOOKUP(B4459,ERA_MOTIF_TYPES.csv!$A$1:$C$119,2,1)</f>
        <v>Cups Single</v>
      </c>
      <c r="E4459" t="str">
        <f>VLOOKUP(A4459,Panels!$A$1:$E$2104,5,0)</f>
        <v>Ellingham</v>
      </c>
    </row>
    <row r="4460">
      <c r="A4460" s="3">
        <v>1852.0</v>
      </c>
      <c r="B4460" s="3">
        <v>6.0</v>
      </c>
      <c r="C4460" s="3">
        <v>1.0</v>
      </c>
      <c r="D4460" t="str">
        <f>VLOOKUP(B4460,ERA_MOTIF_TYPES.csv!$A$1:$C$119,2,1)</f>
        <v>curved or straight line</v>
      </c>
      <c r="E4460" t="str">
        <f>VLOOKUP(A4460,Panels!$A$1:$E$2104,5,0)</f>
        <v>Ellingham</v>
      </c>
    </row>
    <row r="4461">
      <c r="A4461" s="3">
        <v>1852.0</v>
      </c>
      <c r="B4461" s="3">
        <v>55.0</v>
      </c>
      <c r="C4461" s="3">
        <v>1.0</v>
      </c>
      <c r="D4461" t="str">
        <f>VLOOKUP(B4461,ERA_MOTIF_TYPES.csv!$A$1:$C$119,2,1)</f>
        <v>Cups in a straight or curved line</v>
      </c>
      <c r="E4461" t="str">
        <f>VLOOKUP(A4461,Panels!$A$1:$E$2104,5,0)</f>
        <v>Ellingham</v>
      </c>
    </row>
    <row r="4462">
      <c r="A4462" s="3">
        <v>1852.0</v>
      </c>
      <c r="B4462" s="3">
        <v>110.0</v>
      </c>
      <c r="C4462" s="3">
        <v>2.0</v>
      </c>
      <c r="D4462" t="str">
        <f>VLOOKUP(B4462,ERA_MOTIF_TYPES.csv!$A$1:$C$119,2,1)</f>
        <v>Curved groove</v>
      </c>
      <c r="E4462" t="str">
        <f>VLOOKUP(A4462,Panels!$A$1:$E$2104,5,0)</f>
        <v>Ellingham</v>
      </c>
    </row>
    <row r="4463">
      <c r="A4463" s="3">
        <v>1853.0</v>
      </c>
      <c r="B4463" s="3">
        <v>1.0</v>
      </c>
      <c r="C4463" s="3">
        <v>1.0</v>
      </c>
      <c r="D4463" t="str">
        <f>VLOOKUP(B4463,ERA_MOTIF_TYPES.csv!$A$1:$C$119,2,1)</f>
        <v>Cups Single</v>
      </c>
      <c r="E4463" t="str">
        <f>VLOOKUP(A4463,Panels!$A$1:$E$2104,5,0)</f>
        <v>Ellingham</v>
      </c>
    </row>
    <row r="4464">
      <c r="A4464" s="3">
        <v>1853.0</v>
      </c>
      <c r="B4464" s="3">
        <v>2.0</v>
      </c>
      <c r="C4464" s="3">
        <v>1.0</v>
      </c>
      <c r="D4464" t="str">
        <f>VLOOKUP(B4464,ERA_MOTIF_TYPES.csv!$A$1:$C$119,2,1)</f>
        <v>Random Cluster</v>
      </c>
      <c r="E4464" t="str">
        <f>VLOOKUP(A4464,Panels!$A$1:$E$2104,5,0)</f>
        <v>Ellingham</v>
      </c>
    </row>
    <row r="4465">
      <c r="A4465" s="3">
        <v>1853.0</v>
      </c>
      <c r="B4465" s="3">
        <v>31.0</v>
      </c>
      <c r="C4465" s="3">
        <v>1.0</v>
      </c>
      <c r="D4465" t="str">
        <f>VLOOKUP(B4465,ERA_MOTIF_TYPES.csv!$A$1:$C$119,2,1)</f>
        <v>Cup and Groove</v>
      </c>
      <c r="E4465" t="str">
        <f>VLOOKUP(A4465,Panels!$A$1:$E$2104,5,0)</f>
        <v>Ellingham</v>
      </c>
    </row>
    <row r="4466">
      <c r="A4466" s="3">
        <v>1853.0</v>
      </c>
      <c r="B4466" s="3">
        <v>52.0</v>
      </c>
      <c r="C4466" s="3">
        <v>3.0</v>
      </c>
      <c r="D4466" t="str">
        <f>VLOOKUP(B4466,ERA_MOTIF_TYPES.csv!$A$1:$C$119,2,1)</f>
        <v>Single or multiple cups</v>
      </c>
      <c r="E4466" t="str">
        <f>VLOOKUP(A4466,Panels!$A$1:$E$2104,5,0)</f>
        <v>Ellingham</v>
      </c>
    </row>
    <row r="4467">
      <c r="A4467" s="3">
        <v>1853.0</v>
      </c>
      <c r="B4467" s="3">
        <v>103.0</v>
      </c>
      <c r="C4467" s="3">
        <v>1.0</v>
      </c>
      <c r="D4467" t="str">
        <f>VLOOKUP(B4467,ERA_MOTIF_TYPES.csv!$A$1:$C$119,2,1)</f>
        <v>Cup and groove</v>
      </c>
      <c r="E4467" t="str">
        <f>VLOOKUP(A4467,Panels!$A$1:$E$2104,5,0)</f>
        <v>Ellingham</v>
      </c>
    </row>
    <row r="4468">
      <c r="A4468" s="3">
        <v>1854.0</v>
      </c>
      <c r="B4468" s="3">
        <v>2.0</v>
      </c>
      <c r="C4468" s="3">
        <v>1.0</v>
      </c>
      <c r="D4468" t="str">
        <f>VLOOKUP(B4468,ERA_MOTIF_TYPES.csv!$A$1:$C$119,2,1)</f>
        <v>Random Cluster</v>
      </c>
      <c r="E4468" t="str">
        <f>VLOOKUP(A4468,Panels!$A$1:$E$2104,5,0)</f>
        <v>Embleton Steads</v>
      </c>
    </row>
    <row r="4469">
      <c r="A4469" s="3">
        <v>1854.0</v>
      </c>
      <c r="B4469" s="3">
        <v>52.0</v>
      </c>
      <c r="C4469" s="3">
        <v>5.0</v>
      </c>
      <c r="D4469" t="str">
        <f>VLOOKUP(B4469,ERA_MOTIF_TYPES.csv!$A$1:$C$119,2,1)</f>
        <v>Single or multiple cups</v>
      </c>
      <c r="E4469" t="str">
        <f>VLOOKUP(A4469,Panels!$A$1:$E$2104,5,0)</f>
        <v>Embleton Steads</v>
      </c>
    </row>
    <row r="4470">
      <c r="A4470" s="3">
        <v>1855.0</v>
      </c>
      <c r="B4470" s="3">
        <v>52.0</v>
      </c>
      <c r="C4470" s="3">
        <v>6.0</v>
      </c>
      <c r="D4470" t="str">
        <f>VLOOKUP(B4470,ERA_MOTIF_TYPES.csv!$A$1:$C$119,2,1)</f>
        <v>Single or multiple cups</v>
      </c>
      <c r="E4470" t="str">
        <f>VLOOKUP(A4470,Panels!$A$1:$E$2104,5,0)</f>
        <v>Ford Westfield</v>
      </c>
    </row>
    <row r="4471">
      <c r="A4471" s="3">
        <v>1856.0</v>
      </c>
      <c r="B4471" s="3">
        <v>26.0</v>
      </c>
      <c r="C4471" s="3">
        <v>3.0</v>
      </c>
      <c r="D4471" t="str">
        <f>VLOOKUP(B4471,ERA_MOTIF_TYPES.csv!$A$1:$C$119,2,1)</f>
        <v>Parallel</v>
      </c>
      <c r="E4471" t="str">
        <f>VLOOKUP(A4471,Panels!$A$1:$E$2104,5,0)</f>
        <v>Ford Westfield</v>
      </c>
    </row>
    <row r="4472">
      <c r="A4472" s="3">
        <v>1856.0</v>
      </c>
      <c r="B4472" s="3">
        <v>35.0</v>
      </c>
      <c r="C4472" s="3">
        <v>1.0</v>
      </c>
      <c r="D4472" t="str">
        <f>VLOOKUP(B4472,ERA_MOTIF_TYPES.csv!$A$1:$C$119,2,1)</f>
        <v>Cup Groove and multi penannular</v>
      </c>
      <c r="E4472" t="str">
        <f>VLOOKUP(A4472,Panels!$A$1:$E$2104,5,0)</f>
        <v>Ford Westfield</v>
      </c>
    </row>
    <row r="4473">
      <c r="A4473" s="3">
        <v>1856.0</v>
      </c>
      <c r="B4473" s="3">
        <v>65.0</v>
      </c>
      <c r="C4473" s="3">
        <v>6.0</v>
      </c>
      <c r="D4473" t="str">
        <f>VLOOKUP(B4473,ERA_MOTIF_TYPES.csv!$A$1:$C$119,2,1)</f>
        <v>Cup and groove with penannular</v>
      </c>
      <c r="E4473" t="str">
        <f>VLOOKUP(A4473,Panels!$A$1:$E$2104,5,0)</f>
        <v>Ford Westfield</v>
      </c>
    </row>
    <row r="4474">
      <c r="A4474" s="3">
        <v>1856.0</v>
      </c>
      <c r="B4474" s="3">
        <v>93.0</v>
      </c>
      <c r="C4474" s="3">
        <v>3.0</v>
      </c>
      <c r="D4474" t="str">
        <f>VLOOKUP(B4474,ERA_MOTIF_TYPES.csv!$A$1:$C$119,2,1)</f>
        <v>Midget cup</v>
      </c>
      <c r="E4474" t="str">
        <f>VLOOKUP(A4474,Panels!$A$1:$E$2104,5,0)</f>
        <v>Ford Westfield</v>
      </c>
    </row>
    <row r="4475">
      <c r="A4475" s="3">
        <v>1856.0</v>
      </c>
      <c r="B4475" s="3">
        <v>100.0</v>
      </c>
      <c r="C4475" s="3">
        <v>1.0</v>
      </c>
      <c r="D4475" t="str">
        <f>VLOOKUP(B4475,ERA_MOTIF_TYPES.csv!$A$1:$C$119,2,1)</f>
        <v>Pick marks</v>
      </c>
      <c r="E4475" t="str">
        <f>VLOOKUP(A4475,Panels!$A$1:$E$2104,5,0)</f>
        <v>Ford Westfield</v>
      </c>
    </row>
    <row r="4476">
      <c r="A4476" s="3">
        <v>1857.0</v>
      </c>
      <c r="B4476" s="3">
        <v>1.0</v>
      </c>
      <c r="C4476" s="3">
        <v>1.0</v>
      </c>
      <c r="D4476" t="str">
        <f>VLOOKUP(B4476,ERA_MOTIF_TYPES.csv!$A$1:$C$119,2,1)</f>
        <v>Cups Single</v>
      </c>
      <c r="E4476" t="str">
        <f>VLOOKUP(A4476,Panels!$A$1:$E$2104,5,0)</f>
        <v>Fowberry Excavation Site</v>
      </c>
    </row>
    <row r="4477">
      <c r="A4477" s="3">
        <v>1857.0</v>
      </c>
      <c r="B4477" s="3">
        <v>73.0</v>
      </c>
      <c r="C4477" s="3">
        <v>1.0</v>
      </c>
      <c r="D4477" t="str">
        <f>VLOOKUP(B4477,ERA_MOTIF_TYPES.csv!$A$1:$C$119,2,1)</f>
        <v>Arc</v>
      </c>
      <c r="E4477" t="str">
        <f>VLOOKUP(A4477,Panels!$A$1:$E$2104,5,0)</f>
        <v>Fowberry Excavation Site</v>
      </c>
    </row>
    <row r="4478">
      <c r="A4478" s="3">
        <v>1857.0</v>
      </c>
      <c r="B4478" s="3">
        <v>87.0</v>
      </c>
      <c r="C4478" s="3">
        <v>3.0</v>
      </c>
      <c r="D4478" t="str">
        <f>VLOOKUP(B4478,ERA_MOTIF_TYPES.csv!$A$1:$C$119,2,1)</f>
        <v>Linear and angular groove</v>
      </c>
      <c r="E4478" t="str">
        <f>VLOOKUP(A4478,Panels!$A$1:$E$2104,5,0)</f>
        <v>Fowberry Excavation Site</v>
      </c>
    </row>
    <row r="4479">
      <c r="A4479" s="3">
        <v>1857.0</v>
      </c>
      <c r="B4479" s="3">
        <v>110.0</v>
      </c>
      <c r="C4479" s="3">
        <v>2.0</v>
      </c>
      <c r="D4479" t="str">
        <f>VLOOKUP(B4479,ERA_MOTIF_TYPES.csv!$A$1:$C$119,2,1)</f>
        <v>Curved groove</v>
      </c>
      <c r="E4479" t="str">
        <f>VLOOKUP(A4479,Panels!$A$1:$E$2104,5,0)</f>
        <v>Fowberry Excavation Site</v>
      </c>
    </row>
    <row r="4480">
      <c r="A4480" s="3">
        <v>1858.0</v>
      </c>
      <c r="B4480" s="3">
        <v>1.0</v>
      </c>
      <c r="C4480" s="3">
        <v>1.0</v>
      </c>
      <c r="D4480" t="str">
        <f>VLOOKUP(B4480,ERA_MOTIF_TYPES.csv!$A$1:$C$119,2,1)</f>
        <v>Cups Single</v>
      </c>
      <c r="E4480" t="str">
        <f>VLOOKUP(A4480,Panels!$A$1:$E$2104,5,0)</f>
        <v>Fowberry Excavation Site - cairn</v>
      </c>
    </row>
    <row r="4481">
      <c r="A4481" s="3">
        <v>1858.0</v>
      </c>
      <c r="B4481" s="3">
        <v>52.0</v>
      </c>
      <c r="C4481" s="3">
        <v>1.0</v>
      </c>
      <c r="D4481" t="str">
        <f>VLOOKUP(B4481,ERA_MOTIF_TYPES.csv!$A$1:$C$119,2,1)</f>
        <v>Single or multiple cups</v>
      </c>
      <c r="E4481" t="str">
        <f>VLOOKUP(A4481,Panels!$A$1:$E$2104,5,0)</f>
        <v>Fowberry Excavation Site - cairn</v>
      </c>
    </row>
    <row r="4482">
      <c r="A4482" s="3">
        <v>1859.0</v>
      </c>
      <c r="B4482" s="3">
        <v>1.0</v>
      </c>
      <c r="C4482" s="3">
        <v>1.0</v>
      </c>
      <c r="D4482" t="str">
        <f>VLOOKUP(B4482,ERA_MOTIF_TYPES.csv!$A$1:$C$119,2,1)</f>
        <v>Cups Single</v>
      </c>
      <c r="E4482" t="str">
        <f>VLOOKUP(A4482,Panels!$A$1:$E$2104,5,0)</f>
        <v>Fowberry Moor Cairn</v>
      </c>
    </row>
    <row r="4483">
      <c r="A4483" s="3">
        <v>1859.0</v>
      </c>
      <c r="B4483" s="3">
        <v>52.0</v>
      </c>
      <c r="C4483" s="3">
        <v>1.0</v>
      </c>
      <c r="D4483" t="str">
        <f>VLOOKUP(B4483,ERA_MOTIF_TYPES.csv!$A$1:$C$119,2,1)</f>
        <v>Single or multiple cups</v>
      </c>
      <c r="E4483" t="str">
        <f>VLOOKUP(A4483,Panels!$A$1:$E$2104,5,0)</f>
        <v>Fowberry Moor Cairn</v>
      </c>
    </row>
    <row r="4484">
      <c r="A4484" s="3">
        <v>1860.0</v>
      </c>
      <c r="B4484" s="3">
        <v>52.0</v>
      </c>
      <c r="C4484" s="3">
        <v>1.0</v>
      </c>
      <c r="D4484" t="str">
        <f>VLOOKUP(B4484,ERA_MOTIF_TYPES.csv!$A$1:$C$119,2,1)</f>
        <v>Single or multiple cups</v>
      </c>
      <c r="E4484" t="str">
        <f>VLOOKUP(A4484,Panels!$A$1:$E$2104,5,0)</f>
        <v>Fowberry Excavation Site - cairn</v>
      </c>
    </row>
    <row r="4485">
      <c r="A4485" s="3">
        <v>1861.0</v>
      </c>
      <c r="B4485" s="3">
        <v>1.0</v>
      </c>
      <c r="C4485" s="3">
        <v>3.0</v>
      </c>
      <c r="D4485" t="str">
        <f>VLOOKUP(B4485,ERA_MOTIF_TYPES.csv!$A$1:$C$119,2,1)</f>
        <v>Cups Single</v>
      </c>
      <c r="E4485" t="str">
        <f>VLOOKUP(A4485,Panels!$A$1:$E$2104,5,0)</f>
        <v>Fowberry Excavation Site - cairn</v>
      </c>
    </row>
    <row r="4486">
      <c r="A4486" s="3">
        <v>1861.0</v>
      </c>
      <c r="B4486" s="3">
        <v>52.0</v>
      </c>
      <c r="C4486" s="3">
        <v>3.0</v>
      </c>
      <c r="D4486" t="str">
        <f>VLOOKUP(B4486,ERA_MOTIF_TYPES.csv!$A$1:$C$119,2,1)</f>
        <v>Single or multiple cups</v>
      </c>
      <c r="E4486" t="str">
        <f>VLOOKUP(A4486,Panels!$A$1:$E$2104,5,0)</f>
        <v>Fowberry Excavation Site - cairn</v>
      </c>
    </row>
    <row r="4487">
      <c r="A4487" s="3">
        <v>1862.0</v>
      </c>
      <c r="B4487" s="3">
        <v>1.0</v>
      </c>
      <c r="C4487" s="3">
        <v>1.0</v>
      </c>
      <c r="D4487" t="str">
        <f>VLOOKUP(B4487,ERA_MOTIF_TYPES.csv!$A$1:$C$119,2,1)</f>
        <v>Cups Single</v>
      </c>
      <c r="E4487" t="str">
        <f>VLOOKUP(A4487,Panels!$A$1:$E$2104,5,0)</f>
        <v>Fowberry Excavation Site - cairn</v>
      </c>
    </row>
    <row r="4488">
      <c r="A4488" s="3">
        <v>1862.0</v>
      </c>
      <c r="B4488" s="3">
        <v>52.0</v>
      </c>
      <c r="C4488" s="3">
        <v>1.0</v>
      </c>
      <c r="D4488" t="str">
        <f>VLOOKUP(B4488,ERA_MOTIF_TYPES.csv!$A$1:$C$119,2,1)</f>
        <v>Single or multiple cups</v>
      </c>
      <c r="E4488" t="str">
        <f>VLOOKUP(A4488,Panels!$A$1:$E$2104,5,0)</f>
        <v>Fowberry Excavation Site - cairn</v>
      </c>
    </row>
    <row r="4489">
      <c r="A4489" s="3">
        <v>1863.0</v>
      </c>
      <c r="B4489" s="3">
        <v>1.0</v>
      </c>
      <c r="C4489" s="3">
        <v>1.0</v>
      </c>
      <c r="D4489" t="str">
        <f>VLOOKUP(B4489,ERA_MOTIF_TYPES.csv!$A$1:$C$119,2,1)</f>
        <v>Cups Single</v>
      </c>
      <c r="E4489" t="str">
        <f>VLOOKUP(A4489,Panels!$A$1:$E$2104,5,0)</f>
        <v>Fowberry Excavation Site - cairn</v>
      </c>
    </row>
    <row r="4490">
      <c r="A4490" s="3">
        <v>1863.0</v>
      </c>
      <c r="B4490" s="3">
        <v>52.0</v>
      </c>
      <c r="C4490" s="3">
        <v>1.0</v>
      </c>
      <c r="D4490" t="str">
        <f>VLOOKUP(B4490,ERA_MOTIF_TYPES.csv!$A$1:$C$119,2,1)</f>
        <v>Single or multiple cups</v>
      </c>
      <c r="E4490" t="str">
        <f>VLOOKUP(A4490,Panels!$A$1:$E$2104,5,0)</f>
        <v>Fowberry Excavation Site - cairn</v>
      </c>
    </row>
    <row r="4491">
      <c r="A4491" s="3">
        <v>1864.0</v>
      </c>
      <c r="B4491" s="3">
        <v>4.0</v>
      </c>
      <c r="C4491" s="3">
        <v>1.0</v>
      </c>
      <c r="D4491" t="str">
        <f>VLOOKUP(B4491,ERA_MOTIF_TYPES.csv!$A$1:$C$119,2,1)</f>
        <v>Counter-sunk</v>
      </c>
      <c r="E4491" t="str">
        <f>VLOOKUP(A4491,Panels!$A$1:$E$2104,5,0)</f>
        <v>Fowberry Excavation Site - cairn</v>
      </c>
    </row>
    <row r="4492">
      <c r="A4492" s="3">
        <v>1864.0</v>
      </c>
      <c r="B4492" s="3">
        <v>56.0</v>
      </c>
      <c r="C4492" s="3">
        <v>1.0</v>
      </c>
      <c r="D4492" t="str">
        <f>VLOOKUP(B4492,ERA_MOTIF_TYPES.csv!$A$1:$C$119,2,1)</f>
        <v>Cups countersunk</v>
      </c>
      <c r="E4492" t="str">
        <f>VLOOKUP(A4492,Panels!$A$1:$E$2104,5,0)</f>
        <v>Fowberry Excavation Site - cairn</v>
      </c>
    </row>
    <row r="4493">
      <c r="A4493" s="3">
        <v>1865.0</v>
      </c>
      <c r="B4493" s="3">
        <v>1.0</v>
      </c>
      <c r="C4493" s="3">
        <v>1.0</v>
      </c>
      <c r="D4493" t="str">
        <f>VLOOKUP(B4493,ERA_MOTIF_TYPES.csv!$A$1:$C$119,2,1)</f>
        <v>Cups Single</v>
      </c>
      <c r="E4493" t="str">
        <f>VLOOKUP(A4493,Panels!$A$1:$E$2104,5,0)</f>
        <v>Fowberry Excavation Site - cairn</v>
      </c>
    </row>
    <row r="4494">
      <c r="A4494" s="3">
        <v>1865.0</v>
      </c>
      <c r="B4494" s="3">
        <v>52.0</v>
      </c>
      <c r="C4494" s="3">
        <v>1.0</v>
      </c>
      <c r="D4494" t="str">
        <f>VLOOKUP(B4494,ERA_MOTIF_TYPES.csv!$A$1:$C$119,2,1)</f>
        <v>Single or multiple cups</v>
      </c>
      <c r="E4494" t="str">
        <f>VLOOKUP(A4494,Panels!$A$1:$E$2104,5,0)</f>
        <v>Fowberry Excavation Site - cairn</v>
      </c>
    </row>
    <row r="4495">
      <c r="A4495" s="3">
        <v>1866.0</v>
      </c>
      <c r="B4495" s="3">
        <v>1.0</v>
      </c>
      <c r="C4495" s="3">
        <v>1.0</v>
      </c>
      <c r="D4495" t="str">
        <f>VLOOKUP(B4495,ERA_MOTIF_TYPES.csv!$A$1:$C$119,2,1)</f>
        <v>Cups Single</v>
      </c>
      <c r="E4495" t="str">
        <f>VLOOKUP(A4495,Panels!$A$1:$E$2104,5,0)</f>
        <v>Fowberry Excavation Site - cairn</v>
      </c>
    </row>
    <row r="4496">
      <c r="A4496" s="3">
        <v>1866.0</v>
      </c>
      <c r="B4496" s="3">
        <v>52.0</v>
      </c>
      <c r="C4496" s="3">
        <v>1.0</v>
      </c>
      <c r="D4496" t="str">
        <f>VLOOKUP(B4496,ERA_MOTIF_TYPES.csv!$A$1:$C$119,2,1)</f>
        <v>Single or multiple cups</v>
      </c>
      <c r="E4496" t="str">
        <f>VLOOKUP(A4496,Panels!$A$1:$E$2104,5,0)</f>
        <v>Fowberry Excavation Site - cairn</v>
      </c>
    </row>
    <row r="4497">
      <c r="A4497" s="3">
        <v>1867.0</v>
      </c>
      <c r="B4497" s="3">
        <v>1.0</v>
      </c>
      <c r="C4497" s="3">
        <v>1.0</v>
      </c>
      <c r="D4497" t="str">
        <f>VLOOKUP(B4497,ERA_MOTIF_TYPES.csv!$A$1:$C$119,2,1)</f>
        <v>Cups Single</v>
      </c>
      <c r="E4497" t="str">
        <f>VLOOKUP(A4497,Panels!$A$1:$E$2104,5,0)</f>
        <v>Fowberry Excavation Site - cairn</v>
      </c>
    </row>
    <row r="4498">
      <c r="A4498" s="3">
        <v>1867.0</v>
      </c>
      <c r="B4498" s="3">
        <v>52.0</v>
      </c>
      <c r="C4498" s="3">
        <v>2.0</v>
      </c>
      <c r="D4498" t="str">
        <f>VLOOKUP(B4498,ERA_MOTIF_TYPES.csv!$A$1:$C$119,2,1)</f>
        <v>Single or multiple cups</v>
      </c>
      <c r="E4498" t="str">
        <f>VLOOKUP(A4498,Panels!$A$1:$E$2104,5,0)</f>
        <v>Fowberry Excavation Site - cairn</v>
      </c>
    </row>
    <row r="4499">
      <c r="A4499" s="3">
        <v>1868.0</v>
      </c>
      <c r="B4499" s="3">
        <v>1.0</v>
      </c>
      <c r="C4499" s="3">
        <v>2.0</v>
      </c>
      <c r="D4499" t="str">
        <f>VLOOKUP(B4499,ERA_MOTIF_TYPES.csv!$A$1:$C$119,2,1)</f>
        <v>Cups Single</v>
      </c>
      <c r="E4499" t="str">
        <f>VLOOKUP(A4499,Panels!$A$1:$E$2104,5,0)</f>
        <v>Fowberry Excavation Site - cairn</v>
      </c>
    </row>
    <row r="4500">
      <c r="A4500" s="3">
        <v>1868.0</v>
      </c>
      <c r="B4500" s="3">
        <v>52.0</v>
      </c>
      <c r="C4500" s="3">
        <v>1.0</v>
      </c>
      <c r="D4500" t="str">
        <f>VLOOKUP(B4500,ERA_MOTIF_TYPES.csv!$A$1:$C$119,2,1)</f>
        <v>Single or multiple cups</v>
      </c>
      <c r="E4500" t="str">
        <f>VLOOKUP(A4500,Panels!$A$1:$E$2104,5,0)</f>
        <v>Fowberry Excavation Site - cairn</v>
      </c>
    </row>
    <row r="4501">
      <c r="A4501" s="3">
        <v>1869.0</v>
      </c>
      <c r="B4501" s="3">
        <v>1.0</v>
      </c>
      <c r="C4501" s="3">
        <v>2.0</v>
      </c>
      <c r="D4501" t="str">
        <f>VLOOKUP(B4501,ERA_MOTIF_TYPES.csv!$A$1:$C$119,2,1)</f>
        <v>Cups Single</v>
      </c>
      <c r="E4501" t="str">
        <f>VLOOKUP(A4501,Panels!$A$1:$E$2104,5,0)</f>
        <v>Fowberry Excavation Site - cairn</v>
      </c>
    </row>
    <row r="4502">
      <c r="A4502" s="3">
        <v>1869.0</v>
      </c>
      <c r="B4502" s="3">
        <v>52.0</v>
      </c>
      <c r="C4502" s="3">
        <v>1.0</v>
      </c>
      <c r="D4502" t="str">
        <f>VLOOKUP(B4502,ERA_MOTIF_TYPES.csv!$A$1:$C$119,2,1)</f>
        <v>Single or multiple cups</v>
      </c>
      <c r="E4502" t="str">
        <f>VLOOKUP(A4502,Panels!$A$1:$E$2104,5,0)</f>
        <v>Fowberry Excavation Site - cairn</v>
      </c>
    </row>
    <row r="4503">
      <c r="A4503" s="3">
        <v>1870.0</v>
      </c>
      <c r="B4503" s="3">
        <v>1.0</v>
      </c>
      <c r="C4503" s="3">
        <v>1.0</v>
      </c>
      <c r="D4503" t="str">
        <f>VLOOKUP(B4503,ERA_MOTIF_TYPES.csv!$A$1:$C$119,2,1)</f>
        <v>Cups Single</v>
      </c>
      <c r="E4503" t="str">
        <f>VLOOKUP(A4503,Panels!$A$1:$E$2104,5,0)</f>
        <v>Fowberry Excavation Site - cairn</v>
      </c>
    </row>
    <row r="4504">
      <c r="A4504" s="3">
        <v>1870.0</v>
      </c>
      <c r="B4504" s="3">
        <v>52.0</v>
      </c>
      <c r="C4504" s="3">
        <v>1.0</v>
      </c>
      <c r="D4504" t="str">
        <f>VLOOKUP(B4504,ERA_MOTIF_TYPES.csv!$A$1:$C$119,2,1)</f>
        <v>Single or multiple cups</v>
      </c>
      <c r="E4504" t="str">
        <f>VLOOKUP(A4504,Panels!$A$1:$E$2104,5,0)</f>
        <v>Fowberry Excavation Site - cairn</v>
      </c>
    </row>
    <row r="4505">
      <c r="A4505" s="3">
        <v>1871.0</v>
      </c>
      <c r="B4505" s="3">
        <v>1.0</v>
      </c>
      <c r="C4505" s="3">
        <v>1.0</v>
      </c>
      <c r="D4505" t="str">
        <f>VLOOKUP(B4505,ERA_MOTIF_TYPES.csv!$A$1:$C$119,2,1)</f>
        <v>Cups Single</v>
      </c>
      <c r="E4505" t="str">
        <f>VLOOKUP(A4505,Panels!$A$1:$E$2104,5,0)</f>
        <v>Fowberry Excavation Site - cairn</v>
      </c>
    </row>
    <row r="4506">
      <c r="A4506" s="3">
        <v>1871.0</v>
      </c>
      <c r="B4506" s="3">
        <v>6.0</v>
      </c>
      <c r="C4506" s="3">
        <v>2.0</v>
      </c>
      <c r="D4506" t="str">
        <f>VLOOKUP(B4506,ERA_MOTIF_TYPES.csv!$A$1:$C$119,2,1)</f>
        <v>curved or straight line</v>
      </c>
      <c r="E4506" t="str">
        <f>VLOOKUP(A4506,Panels!$A$1:$E$2104,5,0)</f>
        <v>Fowberry Excavation Site - cairn</v>
      </c>
    </row>
    <row r="4507">
      <c r="A4507" s="3">
        <v>1871.0</v>
      </c>
      <c r="B4507" s="3">
        <v>52.0</v>
      </c>
      <c r="C4507" s="3">
        <v>3.0</v>
      </c>
      <c r="D4507" t="str">
        <f>VLOOKUP(B4507,ERA_MOTIF_TYPES.csv!$A$1:$C$119,2,1)</f>
        <v>Single or multiple cups</v>
      </c>
      <c r="E4507" t="str">
        <f>VLOOKUP(A4507,Panels!$A$1:$E$2104,5,0)</f>
        <v>Fowberry Excavation Site - cairn</v>
      </c>
    </row>
    <row r="4508">
      <c r="A4508" s="3">
        <v>1872.0</v>
      </c>
      <c r="B4508" s="3">
        <v>35.0</v>
      </c>
      <c r="C4508" s="3">
        <v>1.0</v>
      </c>
      <c r="D4508" t="str">
        <f>VLOOKUP(B4508,ERA_MOTIF_TYPES.csv!$A$1:$C$119,2,1)</f>
        <v>Cup Groove and multi penannular</v>
      </c>
      <c r="E4508" t="str">
        <f>VLOOKUP(A4508,Panels!$A$1:$E$2104,5,0)</f>
        <v>Fowberry Excavation Site - cairn</v>
      </c>
    </row>
    <row r="4509">
      <c r="A4509" s="3">
        <v>1872.0</v>
      </c>
      <c r="B4509" s="3">
        <v>60.0</v>
      </c>
      <c r="C4509" s="3">
        <v>1.0</v>
      </c>
      <c r="D4509" t="str">
        <f>VLOOKUP(B4509,ERA_MOTIF_TYPES.csv!$A$1:$C$119,2,1)</f>
        <v>Cup and multiple penannulars</v>
      </c>
      <c r="E4509" t="str">
        <f>VLOOKUP(A4509,Panels!$A$1:$E$2104,5,0)</f>
        <v>Fowberry Excavation Site - cairn</v>
      </c>
    </row>
    <row r="4510">
      <c r="A4510" s="3">
        <v>1872.0</v>
      </c>
      <c r="B4510" s="3">
        <v>87.0</v>
      </c>
      <c r="C4510" s="3">
        <v>4.0</v>
      </c>
      <c r="D4510" t="str">
        <f>VLOOKUP(B4510,ERA_MOTIF_TYPES.csv!$A$1:$C$119,2,1)</f>
        <v>Linear and angular groove</v>
      </c>
      <c r="E4510" t="str">
        <f>VLOOKUP(A4510,Panels!$A$1:$E$2104,5,0)</f>
        <v>Fowberry Excavation Site - cairn</v>
      </c>
    </row>
    <row r="4511">
      <c r="A4511" s="3">
        <v>1873.0</v>
      </c>
      <c r="B4511" s="3">
        <v>1.0</v>
      </c>
      <c r="C4511" s="3">
        <v>2.0</v>
      </c>
      <c r="D4511" t="str">
        <f>VLOOKUP(B4511,ERA_MOTIF_TYPES.csv!$A$1:$C$119,2,1)</f>
        <v>Cups Single</v>
      </c>
      <c r="E4511" t="str">
        <f>VLOOKUP(A4511,Panels!$A$1:$E$2104,5,0)</f>
        <v>Fowberry Excavation Site - cairn</v>
      </c>
    </row>
    <row r="4512">
      <c r="A4512" s="3">
        <v>1873.0</v>
      </c>
      <c r="B4512" s="3">
        <v>52.0</v>
      </c>
      <c r="C4512" s="3">
        <v>1.0</v>
      </c>
      <c r="D4512" t="str">
        <f>VLOOKUP(B4512,ERA_MOTIF_TYPES.csv!$A$1:$C$119,2,1)</f>
        <v>Single or multiple cups</v>
      </c>
      <c r="E4512" t="str">
        <f>VLOOKUP(A4512,Panels!$A$1:$E$2104,5,0)</f>
        <v>Fowberry Excavation Site - cairn</v>
      </c>
    </row>
    <row r="4513">
      <c r="A4513" s="3">
        <v>1874.0</v>
      </c>
      <c r="B4513" s="3">
        <v>52.0</v>
      </c>
      <c r="C4513" s="3">
        <v>1.0</v>
      </c>
      <c r="D4513" t="str">
        <f>VLOOKUP(B4513,ERA_MOTIF_TYPES.csv!$A$1:$C$119,2,1)</f>
        <v>Single or multiple cups</v>
      </c>
      <c r="E4513" t="str">
        <f>VLOOKUP(A4513,Panels!$A$1:$E$2104,5,0)</f>
        <v>Fowberry Excavation Site - cairn</v>
      </c>
    </row>
    <row r="4514">
      <c r="A4514" s="3">
        <v>1875.0</v>
      </c>
      <c r="B4514" s="3">
        <v>52.0</v>
      </c>
      <c r="C4514" s="3">
        <v>3.0</v>
      </c>
      <c r="D4514" t="str">
        <f>VLOOKUP(B4514,ERA_MOTIF_TYPES.csv!$A$1:$C$119,2,1)</f>
        <v>Single or multiple cups</v>
      </c>
      <c r="E4514" t="str">
        <f>VLOOKUP(A4514,Panels!$A$1:$E$2104,5,0)</f>
        <v>Fowberry Moor portable</v>
      </c>
    </row>
    <row r="4515">
      <c r="A4515" s="3">
        <v>1876.0</v>
      </c>
      <c r="B4515" s="3">
        <v>1.0</v>
      </c>
      <c r="C4515" s="3">
        <v>1.0</v>
      </c>
      <c r="D4515" t="str">
        <f>VLOOKUP(B4515,ERA_MOTIF_TYPES.csv!$A$1:$C$119,2,1)</f>
        <v>Cups Single</v>
      </c>
      <c r="E4515" t="str">
        <f>VLOOKUP(A4515,Panels!$A$1:$E$2104,5,0)</f>
        <v>Gled Law</v>
      </c>
    </row>
    <row r="4516">
      <c r="A4516" s="3">
        <v>1876.0</v>
      </c>
      <c r="B4516" s="3">
        <v>52.0</v>
      </c>
      <c r="C4516" s="3">
        <v>1.0</v>
      </c>
      <c r="D4516" t="str">
        <f>VLOOKUP(B4516,ERA_MOTIF_TYPES.csv!$A$1:$C$119,2,1)</f>
        <v>Single or multiple cups</v>
      </c>
      <c r="E4516" t="str">
        <f>VLOOKUP(A4516,Panels!$A$1:$E$2104,5,0)</f>
        <v>Gled Law</v>
      </c>
    </row>
    <row r="4517">
      <c r="A4517" s="3">
        <v>1877.0</v>
      </c>
      <c r="B4517" s="3">
        <v>14.0</v>
      </c>
      <c r="C4517" s="3">
        <v>1.0</v>
      </c>
      <c r="D4517" t="str">
        <f>VLOOKUP(B4517,ERA_MOTIF_TYPES.csv!$A$1:$C$119,2,1)</f>
        <v>Multi Ring + cup</v>
      </c>
      <c r="E4517" t="str">
        <f>VLOOKUP(A4517,Panels!$A$1:$E$2104,5,0)</f>
        <v>Chillingham/Hepburn Moor</v>
      </c>
    </row>
    <row r="4518">
      <c r="A4518" s="3">
        <v>1877.0</v>
      </c>
      <c r="B4518" s="3">
        <v>58.0</v>
      </c>
      <c r="C4518" s="3">
        <v>1.0</v>
      </c>
      <c r="D4518" t="str">
        <f>VLOOKUP(B4518,ERA_MOTIF_TYPES.csv!$A$1:$C$119,2,1)</f>
        <v>Cup and multiple rings</v>
      </c>
      <c r="E4518" t="str">
        <f>VLOOKUP(A4518,Panels!$A$1:$E$2104,5,0)</f>
        <v>Chillingham/Hepburn Moor</v>
      </c>
    </row>
    <row r="4519">
      <c r="A4519" s="3">
        <v>1878.0</v>
      </c>
      <c r="B4519" s="3">
        <v>2.0</v>
      </c>
      <c r="C4519" s="3">
        <v>1.0</v>
      </c>
      <c r="D4519" t="str">
        <f>VLOOKUP(B4519,ERA_MOTIF_TYPES.csv!$A$1:$C$119,2,1)</f>
        <v>Random Cluster</v>
      </c>
      <c r="E4519" t="str">
        <f>VLOOKUP(A4519,Panels!$A$1:$E$2104,5,0)</f>
        <v>Hunterheugh excavation</v>
      </c>
    </row>
    <row r="4520">
      <c r="A4520" s="3">
        <v>1878.0</v>
      </c>
      <c r="B4520" s="3">
        <v>100.0</v>
      </c>
      <c r="C4520" s="3">
        <v>2.0</v>
      </c>
      <c r="D4520" t="str">
        <f>VLOOKUP(B4520,ERA_MOTIF_TYPES.csv!$A$1:$C$119,2,1)</f>
        <v>Pick marks</v>
      </c>
      <c r="E4520" t="str">
        <f>VLOOKUP(A4520,Panels!$A$1:$E$2104,5,0)</f>
        <v>Hunterheugh excavation</v>
      </c>
    </row>
    <row r="4521">
      <c r="A4521" s="3">
        <v>1879.0</v>
      </c>
      <c r="B4521" s="3">
        <v>1.0</v>
      </c>
      <c r="C4521" s="3">
        <v>1.0</v>
      </c>
      <c r="D4521" t="str">
        <f>VLOOKUP(B4521,ERA_MOTIF_TYPES.csv!$A$1:$C$119,2,1)</f>
        <v>Cups Single</v>
      </c>
      <c r="E4521" t="str">
        <f>VLOOKUP(A4521,Panels!$A$1:$E$2104,5,0)</f>
        <v>Hunterheugh excavation</v>
      </c>
    </row>
    <row r="4522">
      <c r="A4522" s="3">
        <v>1879.0</v>
      </c>
      <c r="B4522" s="3">
        <v>52.0</v>
      </c>
      <c r="C4522" s="3">
        <v>2.0</v>
      </c>
      <c r="D4522" t="str">
        <f>VLOOKUP(B4522,ERA_MOTIF_TYPES.csv!$A$1:$C$119,2,1)</f>
        <v>Single or multiple cups</v>
      </c>
      <c r="E4522" t="str">
        <f>VLOOKUP(A4522,Panels!$A$1:$E$2104,5,0)</f>
        <v>Hunterheugh excavation</v>
      </c>
    </row>
    <row r="4523">
      <c r="A4523" s="3">
        <v>1879.0</v>
      </c>
      <c r="B4523" s="3">
        <v>100.0</v>
      </c>
      <c r="C4523" s="3">
        <v>1.0</v>
      </c>
      <c r="D4523" t="str">
        <f>VLOOKUP(B4523,ERA_MOTIF_TYPES.csv!$A$1:$C$119,2,1)</f>
        <v>Pick marks</v>
      </c>
      <c r="E4523" t="str">
        <f>VLOOKUP(A4523,Panels!$A$1:$E$2104,5,0)</f>
        <v>Hunterheugh excavation</v>
      </c>
    </row>
    <row r="4524">
      <c r="A4524" s="3">
        <v>1880.0</v>
      </c>
      <c r="B4524" s="3">
        <v>1.0</v>
      </c>
      <c r="C4524" s="3">
        <v>1.0</v>
      </c>
      <c r="D4524" t="str">
        <f>VLOOKUP(B4524,ERA_MOTIF_TYPES.csv!$A$1:$C$119,2,1)</f>
        <v>Cups Single</v>
      </c>
      <c r="E4524" t="str">
        <f>VLOOKUP(A4524,Panels!$A$1:$E$2104,5,0)</f>
        <v>Hunterheugh excavation</v>
      </c>
    </row>
    <row r="4525">
      <c r="A4525" s="3">
        <v>1880.0</v>
      </c>
      <c r="B4525" s="3">
        <v>52.0</v>
      </c>
      <c r="C4525" s="3">
        <v>1.0</v>
      </c>
      <c r="D4525" t="str">
        <f>VLOOKUP(B4525,ERA_MOTIF_TYPES.csv!$A$1:$C$119,2,1)</f>
        <v>Single or multiple cups</v>
      </c>
      <c r="E4525" t="str">
        <f>VLOOKUP(A4525,Panels!$A$1:$E$2104,5,0)</f>
        <v>Hunterheugh excavation</v>
      </c>
    </row>
    <row r="4526">
      <c r="A4526" s="3">
        <v>1880.0</v>
      </c>
      <c r="B4526" s="3">
        <v>100.0</v>
      </c>
      <c r="C4526" s="3">
        <v>1.0</v>
      </c>
      <c r="D4526" t="str">
        <f>VLOOKUP(B4526,ERA_MOTIF_TYPES.csv!$A$1:$C$119,2,1)</f>
        <v>Pick marks</v>
      </c>
      <c r="E4526" t="str">
        <f>VLOOKUP(A4526,Panels!$A$1:$E$2104,5,0)</f>
        <v>Hunterheugh excavation</v>
      </c>
    </row>
    <row r="4527">
      <c r="A4527" s="3">
        <v>1881.0</v>
      </c>
      <c r="B4527" s="3">
        <v>2.0</v>
      </c>
      <c r="C4527" s="3">
        <v>1.0</v>
      </c>
      <c r="D4527" t="str">
        <f>VLOOKUP(B4527,ERA_MOTIF_TYPES.csv!$A$1:$C$119,2,1)</f>
        <v>Random Cluster</v>
      </c>
      <c r="E4527" t="str">
        <f>VLOOKUP(A4527,Panels!$A$1:$E$2104,5,0)</f>
        <v>Hunterheugh 1 excavation - portable</v>
      </c>
    </row>
    <row r="4528">
      <c r="A4528" s="3">
        <v>1881.0</v>
      </c>
      <c r="B4528" s="3">
        <v>10.0</v>
      </c>
      <c r="C4528" s="3">
        <v>1.0</v>
      </c>
      <c r="D4528" t="str">
        <f>VLOOKUP(B4528,ERA_MOTIF_TYPES.csv!$A$1:$C$119,2,1)</f>
        <v>Single Arc</v>
      </c>
      <c r="E4528" t="str">
        <f>VLOOKUP(A4528,Panels!$A$1:$E$2104,5,0)</f>
        <v>Hunterheugh 1 excavation - portable</v>
      </c>
    </row>
    <row r="4529">
      <c r="A4529" s="3">
        <v>1881.0</v>
      </c>
      <c r="B4529" s="3">
        <v>87.0</v>
      </c>
      <c r="C4529" s="3">
        <v>1.0</v>
      </c>
      <c r="D4529" t="str">
        <f>VLOOKUP(B4529,ERA_MOTIF_TYPES.csv!$A$1:$C$119,2,1)</f>
        <v>Linear and angular groove</v>
      </c>
      <c r="E4529" t="str">
        <f>VLOOKUP(A4529,Panels!$A$1:$E$2104,5,0)</f>
        <v>Hunterheugh 1 excavation - portable</v>
      </c>
    </row>
    <row r="4530">
      <c r="A4530" s="3">
        <v>1881.0</v>
      </c>
      <c r="B4530" s="3">
        <v>100.0</v>
      </c>
      <c r="C4530" s="3">
        <v>1.0</v>
      </c>
      <c r="D4530" t="str">
        <f>VLOOKUP(B4530,ERA_MOTIF_TYPES.csv!$A$1:$C$119,2,1)</f>
        <v>Pick marks</v>
      </c>
      <c r="E4530" t="str">
        <f>VLOOKUP(A4530,Panels!$A$1:$E$2104,5,0)</f>
        <v>Hunterheugh 1 excavation - portable</v>
      </c>
    </row>
    <row r="4531">
      <c r="A4531" s="3">
        <v>1882.0</v>
      </c>
      <c r="B4531" s="3">
        <v>1.0</v>
      </c>
      <c r="C4531" s="3">
        <v>1.0</v>
      </c>
      <c r="D4531" t="str">
        <f>VLOOKUP(B4531,ERA_MOTIF_TYPES.csv!$A$1:$C$119,2,1)</f>
        <v>Cups Single</v>
      </c>
      <c r="E4531" t="str">
        <f>VLOOKUP(A4531,Panels!$A$1:$E$2104,5,0)</f>
        <v>Hunterheugh 1 excavation - portable</v>
      </c>
    </row>
    <row r="4532">
      <c r="A4532" s="3">
        <v>1882.0</v>
      </c>
      <c r="B4532" s="3">
        <v>52.0</v>
      </c>
      <c r="C4532" s="3">
        <v>1.0</v>
      </c>
      <c r="D4532" t="str">
        <f>VLOOKUP(B4532,ERA_MOTIF_TYPES.csv!$A$1:$C$119,2,1)</f>
        <v>Single or multiple cups</v>
      </c>
      <c r="E4532" t="str">
        <f>VLOOKUP(A4532,Panels!$A$1:$E$2104,5,0)</f>
        <v>Hunterheugh 1 excavation - portable</v>
      </c>
    </row>
    <row r="4533">
      <c r="A4533" s="3">
        <v>1882.0</v>
      </c>
      <c r="B4533" s="3">
        <v>100.0</v>
      </c>
      <c r="C4533" s="3">
        <v>1.0</v>
      </c>
      <c r="D4533" t="str">
        <f>VLOOKUP(B4533,ERA_MOTIF_TYPES.csv!$A$1:$C$119,2,1)</f>
        <v>Pick marks</v>
      </c>
      <c r="E4533" t="str">
        <f>VLOOKUP(A4533,Panels!$A$1:$E$2104,5,0)</f>
        <v>Hunterheugh 1 excavation - portable</v>
      </c>
    </row>
    <row r="4534">
      <c r="A4534" s="3">
        <v>1883.0</v>
      </c>
      <c r="B4534" s="3">
        <v>8.0</v>
      </c>
      <c r="C4534" s="3">
        <v>1.0</v>
      </c>
      <c r="D4534" t="str">
        <f>VLOOKUP(B4534,ERA_MOTIF_TYPES.csv!$A$1:$C$119,2,1)</f>
        <v>Multi Ring</v>
      </c>
      <c r="E4534" t="str">
        <f>VLOOKUP(A4534,Panels!$A$1:$E$2104,5,0)</f>
        <v>Lilburn burial</v>
      </c>
    </row>
    <row r="4535">
      <c r="A4535" s="3">
        <v>1883.0</v>
      </c>
      <c r="B4535" s="3">
        <v>14.0</v>
      </c>
      <c r="C4535" s="3">
        <v>2.0</v>
      </c>
      <c r="D4535" t="str">
        <f>VLOOKUP(B4535,ERA_MOTIF_TYPES.csv!$A$1:$C$119,2,1)</f>
        <v>Multi Ring + cup</v>
      </c>
      <c r="E4535" t="str">
        <f>VLOOKUP(A4535,Panels!$A$1:$E$2104,5,0)</f>
        <v>Lilburn burial</v>
      </c>
    </row>
    <row r="4536">
      <c r="A4536" s="3">
        <v>1883.0</v>
      </c>
      <c r="B4536" s="3">
        <v>52.0</v>
      </c>
      <c r="C4536" s="3">
        <v>9.0</v>
      </c>
      <c r="D4536" t="str">
        <f>VLOOKUP(B4536,ERA_MOTIF_TYPES.csv!$A$1:$C$119,2,1)</f>
        <v>Single or multiple cups</v>
      </c>
      <c r="E4536" t="str">
        <f>VLOOKUP(A4536,Panels!$A$1:$E$2104,5,0)</f>
        <v>Lilburn burial</v>
      </c>
    </row>
    <row r="4537">
      <c r="A4537" s="3">
        <v>1883.0</v>
      </c>
      <c r="B4537" s="3">
        <v>62.0</v>
      </c>
      <c r="C4537" s="3">
        <v>1.0</v>
      </c>
      <c r="D4537" t="str">
        <f>VLOOKUP(B4537,ERA_MOTIF_TYPES.csv!$A$1:$C$119,2,1)</f>
        <v>Cup and multiple arcs</v>
      </c>
      <c r="E4537" t="str">
        <f>VLOOKUP(A4537,Panels!$A$1:$E$2104,5,0)</f>
        <v>Lilburn burial</v>
      </c>
    </row>
    <row r="4538">
      <c r="A4538" s="3">
        <v>1883.0</v>
      </c>
      <c r="B4538" s="3">
        <v>65.0</v>
      </c>
      <c r="C4538" s="3">
        <v>1.0</v>
      </c>
      <c r="D4538" t="str">
        <f>VLOOKUP(B4538,ERA_MOTIF_TYPES.csv!$A$1:$C$119,2,1)</f>
        <v>Cup and groove with penannular</v>
      </c>
      <c r="E4538" t="str">
        <f>VLOOKUP(A4538,Panels!$A$1:$E$2104,5,0)</f>
        <v>Lilburn burial</v>
      </c>
    </row>
    <row r="4539">
      <c r="A4539" s="3">
        <v>1883.0</v>
      </c>
      <c r="B4539" s="3">
        <v>69.0</v>
      </c>
      <c r="C4539" s="3">
        <v>3.0</v>
      </c>
      <c r="D4539" t="str">
        <f>VLOOKUP(B4539,ERA_MOTIF_TYPES.csv!$A$1:$C$119,2,1)</f>
        <v>Ring</v>
      </c>
      <c r="E4539" t="str">
        <f>VLOOKUP(A4539,Panels!$A$1:$E$2104,5,0)</f>
        <v>Lilburn burial</v>
      </c>
    </row>
    <row r="4540">
      <c r="A4540" s="3">
        <v>1883.0</v>
      </c>
      <c r="B4540" s="3">
        <v>70.0</v>
      </c>
      <c r="C4540" s="3">
        <v>1.0</v>
      </c>
      <c r="D4540" t="str">
        <f>VLOOKUP(B4540,ERA_MOTIF_TYPES.csv!$A$1:$C$119,2,1)</f>
        <v>Concentric rings</v>
      </c>
      <c r="E4540" t="str">
        <f>VLOOKUP(A4540,Panels!$A$1:$E$2104,5,0)</f>
        <v>Lilburn burial</v>
      </c>
    </row>
    <row r="4541">
      <c r="A4541" s="3">
        <v>1883.0</v>
      </c>
      <c r="B4541" s="3">
        <v>73.0</v>
      </c>
      <c r="C4541" s="3">
        <v>2.0</v>
      </c>
      <c r="D4541" t="str">
        <f>VLOOKUP(B4541,ERA_MOTIF_TYPES.csv!$A$1:$C$119,2,1)</f>
        <v>Arc</v>
      </c>
      <c r="E4541" t="str">
        <f>VLOOKUP(A4541,Panels!$A$1:$E$2104,5,0)</f>
        <v>Lilburn burial</v>
      </c>
    </row>
    <row r="4542">
      <c r="A4542" s="3">
        <v>1883.0</v>
      </c>
      <c r="B4542" s="3">
        <v>87.0</v>
      </c>
      <c r="C4542" s="3">
        <v>6.0</v>
      </c>
      <c r="D4542" t="str">
        <f>VLOOKUP(B4542,ERA_MOTIF_TYPES.csv!$A$1:$C$119,2,1)</f>
        <v>Linear and angular groove</v>
      </c>
      <c r="E4542" t="str">
        <f>VLOOKUP(A4542,Panels!$A$1:$E$2104,5,0)</f>
        <v>Lilburn burial</v>
      </c>
    </row>
    <row r="4543">
      <c r="A4543" s="3">
        <v>1883.0</v>
      </c>
      <c r="B4543" s="3">
        <v>97.0</v>
      </c>
      <c r="C4543" s="3">
        <v>1.0</v>
      </c>
      <c r="D4543" t="str">
        <f>VLOOKUP(B4543,ERA_MOTIF_TYPES.csv!$A$1:$C$119,2,1)</f>
        <v>Horned spiral</v>
      </c>
      <c r="E4543" t="str">
        <f>VLOOKUP(A4543,Panels!$A$1:$E$2104,5,0)</f>
        <v>Lilburn burial</v>
      </c>
    </row>
    <row r="4544">
      <c r="A4544" s="3">
        <v>1883.0</v>
      </c>
      <c r="B4544" s="3">
        <v>100.0</v>
      </c>
      <c r="C4544" s="3">
        <v>1.0</v>
      </c>
      <c r="D4544" t="str">
        <f>VLOOKUP(B4544,ERA_MOTIF_TYPES.csv!$A$1:$C$119,2,1)</f>
        <v>Pick marks</v>
      </c>
      <c r="E4544" t="str">
        <f>VLOOKUP(A4544,Panels!$A$1:$E$2104,5,0)</f>
        <v>Lilburn burial</v>
      </c>
    </row>
    <row r="4545">
      <c r="A4545" s="3">
        <v>1883.0</v>
      </c>
      <c r="B4545" s="3">
        <v>114.0</v>
      </c>
      <c r="C4545" s="3">
        <v>1.0</v>
      </c>
      <c r="D4545" t="str">
        <f>VLOOKUP(B4545,ERA_MOTIF_TYPES.csv!$A$1:$C$119,2,1)</f>
        <v>S shaped spiral</v>
      </c>
      <c r="E4545" t="str">
        <f>VLOOKUP(A4545,Panels!$A$1:$E$2104,5,0)</f>
        <v>Lilburn burial</v>
      </c>
    </row>
    <row r="4546">
      <c r="A4546" s="3">
        <v>1884.0</v>
      </c>
      <c r="B4546" s="3">
        <v>8.0</v>
      </c>
      <c r="C4546" s="3">
        <v>1.0</v>
      </c>
      <c r="D4546" t="str">
        <f>VLOOKUP(B4546,ERA_MOTIF_TYPES.csv!$A$1:$C$119,2,1)</f>
        <v>Multi Ring</v>
      </c>
      <c r="E4546" t="str">
        <f>VLOOKUP(A4546,Panels!$A$1:$E$2104,5,0)</f>
        <v>Lilburn burial</v>
      </c>
    </row>
    <row r="4547">
      <c r="A4547" s="3">
        <v>1884.0</v>
      </c>
      <c r="B4547" s="3">
        <v>58.0</v>
      </c>
      <c r="C4547" s="3">
        <v>1.0</v>
      </c>
      <c r="D4547" t="str">
        <f>VLOOKUP(B4547,ERA_MOTIF_TYPES.csv!$A$1:$C$119,2,1)</f>
        <v>Cup and multiple rings</v>
      </c>
      <c r="E4547" t="str">
        <f>VLOOKUP(A4547,Panels!$A$1:$E$2104,5,0)</f>
        <v>Lilburn burial</v>
      </c>
    </row>
    <row r="4548">
      <c r="A4548" s="3">
        <v>1884.0</v>
      </c>
      <c r="B4548" s="3">
        <v>74.0</v>
      </c>
      <c r="C4548" s="3">
        <v>1.0</v>
      </c>
      <c r="D4548" t="str">
        <f>VLOOKUP(B4548,ERA_MOTIF_TYPES.csv!$A$1:$C$119,2,1)</f>
        <v>Multiple arcs</v>
      </c>
      <c r="E4548" t="str">
        <f>VLOOKUP(A4548,Panels!$A$1:$E$2104,5,0)</f>
        <v>Lilburn burial</v>
      </c>
    </row>
    <row r="4549">
      <c r="A4549" s="3">
        <v>1885.0</v>
      </c>
      <c r="B4549" s="3">
        <v>52.0</v>
      </c>
      <c r="C4549" s="3">
        <v>3.0</v>
      </c>
      <c r="D4549" t="str">
        <f>VLOOKUP(B4549,ERA_MOTIF_TYPES.csv!$A$1:$C$119,2,1)</f>
        <v>Single or multiple cups</v>
      </c>
      <c r="E4549" t="str">
        <f>VLOOKUP(A4549,Panels!$A$1:$E$2104,5,0)</f>
        <v>Museum of Antiquities - Unprovenanced Rock</v>
      </c>
    </row>
    <row r="4550">
      <c r="A4550" s="3">
        <v>1886.0</v>
      </c>
      <c r="B4550" s="3">
        <v>52.0</v>
      </c>
      <c r="C4550" s="3">
        <v>1.0</v>
      </c>
      <c r="D4550" t="str">
        <f>VLOOKUP(B4550,ERA_MOTIF_TYPES.csv!$A$1:$C$119,2,1)</f>
        <v>Single or multiple cups</v>
      </c>
      <c r="E4550" t="str">
        <f>VLOOKUP(A4550,Panels!$A$1:$E$2104,5,0)</f>
        <v>Museum of Antiquities - Unprovenanced Rock</v>
      </c>
    </row>
    <row r="4551">
      <c r="A4551" s="3">
        <v>1886.0</v>
      </c>
      <c r="B4551" s="3">
        <v>100.0</v>
      </c>
      <c r="C4551" s="3">
        <v>1.0</v>
      </c>
      <c r="D4551" t="str">
        <f>VLOOKUP(B4551,ERA_MOTIF_TYPES.csv!$A$1:$C$119,2,1)</f>
        <v>Pick marks</v>
      </c>
      <c r="E4551" t="str">
        <f>VLOOKUP(A4551,Panels!$A$1:$E$2104,5,0)</f>
        <v>Museum of Antiquities - Unprovenanced Rock</v>
      </c>
    </row>
    <row r="4552">
      <c r="A4552" s="3">
        <v>1887.0</v>
      </c>
      <c r="B4552" s="3">
        <v>60.0</v>
      </c>
      <c r="C4552" s="3">
        <v>1.0</v>
      </c>
      <c r="D4552" t="str">
        <f>VLOOKUP(B4552,ERA_MOTIF_TYPES.csv!$A$1:$C$119,2,1)</f>
        <v>Cup and multiple penannulars</v>
      </c>
      <c r="E4552" t="str">
        <f>VLOOKUP(A4552,Panels!$A$1:$E$2104,5,0)</f>
        <v>Museum of Antiquities - Unprovenanced Rock</v>
      </c>
    </row>
    <row r="4553">
      <c r="A4553" s="3">
        <v>1887.0</v>
      </c>
      <c r="B4553" s="3">
        <v>73.0</v>
      </c>
      <c r="C4553" s="3">
        <v>1.0</v>
      </c>
      <c r="D4553" t="str">
        <f>VLOOKUP(B4553,ERA_MOTIF_TYPES.csv!$A$1:$C$119,2,1)</f>
        <v>Arc</v>
      </c>
      <c r="E4553" t="str">
        <f>VLOOKUP(A4553,Panels!$A$1:$E$2104,5,0)</f>
        <v>Museum of Antiquities - Unprovenanced Rock</v>
      </c>
    </row>
    <row r="4554">
      <c r="A4554" s="3">
        <v>1888.0</v>
      </c>
      <c r="B4554" s="3">
        <v>14.0</v>
      </c>
      <c r="C4554" s="3">
        <v>1.0</v>
      </c>
      <c r="D4554" t="str">
        <f>VLOOKUP(B4554,ERA_MOTIF_TYPES.csv!$A$1:$C$119,2,1)</f>
        <v>Multi Ring + cup</v>
      </c>
      <c r="E4554" t="str">
        <f>VLOOKUP(A4554,Panels!$A$1:$E$2104,5,0)</f>
        <v>Museum of Antiquities - Unprovenanced Rock</v>
      </c>
    </row>
    <row r="4555">
      <c r="A4555" s="3">
        <v>1888.0</v>
      </c>
      <c r="B4555" s="3">
        <v>59.0</v>
      </c>
      <c r="C4555" s="3">
        <v>1.0</v>
      </c>
      <c r="D4555" t="str">
        <f>VLOOKUP(B4555,ERA_MOTIF_TYPES.csv!$A$1:$C$119,2,1)</f>
        <v>Cup and penannular</v>
      </c>
      <c r="E4555" t="str">
        <f>VLOOKUP(A4555,Panels!$A$1:$E$2104,5,0)</f>
        <v>Museum of Antiquities - Unprovenanced Rock</v>
      </c>
    </row>
    <row r="4556">
      <c r="A4556" s="3">
        <v>1889.0</v>
      </c>
      <c r="B4556" s="3">
        <v>1.0</v>
      </c>
      <c r="C4556" s="3">
        <v>1.0</v>
      </c>
      <c r="D4556" t="str">
        <f>VLOOKUP(B4556,ERA_MOTIF_TYPES.csv!$A$1:$C$119,2,1)</f>
        <v>Cups Single</v>
      </c>
      <c r="E4556" t="str">
        <f>VLOOKUP(A4556,Panels!$A$1:$E$2104,5,0)</f>
        <v>Museum of Antiquities - Unprovenanced Rock</v>
      </c>
    </row>
    <row r="4557">
      <c r="A4557" s="3">
        <v>1889.0</v>
      </c>
      <c r="B4557" s="3">
        <v>52.0</v>
      </c>
      <c r="C4557" s="3">
        <v>1.0</v>
      </c>
      <c r="D4557" t="str">
        <f>VLOOKUP(B4557,ERA_MOTIF_TYPES.csv!$A$1:$C$119,2,1)</f>
        <v>Single or multiple cups</v>
      </c>
      <c r="E4557" t="str">
        <f>VLOOKUP(A4557,Panels!$A$1:$E$2104,5,0)</f>
        <v>Museum of Antiquities - Unprovenanced Rock</v>
      </c>
    </row>
    <row r="4558">
      <c r="A4558" s="3">
        <v>1890.0</v>
      </c>
      <c r="B4558" s="3">
        <v>2.0</v>
      </c>
      <c r="C4558" s="3">
        <v>1.0</v>
      </c>
      <c r="D4558" t="str">
        <f>VLOOKUP(B4558,ERA_MOTIF_TYPES.csv!$A$1:$C$119,2,1)</f>
        <v>Random Cluster</v>
      </c>
      <c r="E4558" t="str">
        <f>VLOOKUP(A4558,Panels!$A$1:$E$2104,5,0)</f>
        <v>Museum of Antiquities - Unprovenanced Rock</v>
      </c>
    </row>
    <row r="4559">
      <c r="A4559" s="3">
        <v>1890.0</v>
      </c>
      <c r="B4559" s="3">
        <v>35.0</v>
      </c>
      <c r="C4559" s="3">
        <v>1.0</v>
      </c>
      <c r="D4559" t="str">
        <f>VLOOKUP(B4559,ERA_MOTIF_TYPES.csv!$A$1:$C$119,2,1)</f>
        <v>Cup Groove and multi penannular</v>
      </c>
      <c r="E4559" t="str">
        <f>VLOOKUP(A4559,Panels!$A$1:$E$2104,5,0)</f>
        <v>Museum of Antiquities - Unprovenanced Rock</v>
      </c>
    </row>
    <row r="4560">
      <c r="A4560" s="3">
        <v>1891.0</v>
      </c>
      <c r="B4560" s="3">
        <v>1.0</v>
      </c>
      <c r="C4560" s="3">
        <v>2.0</v>
      </c>
      <c r="D4560" t="str">
        <f>VLOOKUP(B4560,ERA_MOTIF_TYPES.csv!$A$1:$C$119,2,1)</f>
        <v>Cups Single</v>
      </c>
      <c r="E4560" t="str">
        <f>VLOOKUP(A4560,Panels!$A$1:$E$2104,5,0)</f>
        <v>Museum of Antiquities - Unprovenanced Rock</v>
      </c>
    </row>
    <row r="4561">
      <c r="A4561" s="3">
        <v>1891.0</v>
      </c>
      <c r="B4561" s="3">
        <v>52.0</v>
      </c>
      <c r="C4561" s="3">
        <v>1.0</v>
      </c>
      <c r="D4561" t="str">
        <f>VLOOKUP(B4561,ERA_MOTIF_TYPES.csv!$A$1:$C$119,2,1)</f>
        <v>Single or multiple cups</v>
      </c>
      <c r="E4561" t="str">
        <f>VLOOKUP(A4561,Panels!$A$1:$E$2104,5,0)</f>
        <v>Museum of Antiquities - Unprovenanced Rock</v>
      </c>
    </row>
    <row r="4562">
      <c r="A4562" s="3">
        <v>1892.0</v>
      </c>
      <c r="B4562" s="3">
        <v>1.0</v>
      </c>
      <c r="C4562" s="3">
        <v>1.0</v>
      </c>
      <c r="D4562" t="str">
        <f>VLOOKUP(B4562,ERA_MOTIF_TYPES.csv!$A$1:$C$119,2,1)</f>
        <v>Cups Single</v>
      </c>
      <c r="E4562" t="str">
        <f>VLOOKUP(A4562,Panels!$A$1:$E$2104,5,0)</f>
        <v>Museum of Antiquities - Unprovenanced Rock</v>
      </c>
    </row>
    <row r="4563">
      <c r="A4563" s="3">
        <v>1892.0</v>
      </c>
      <c r="B4563" s="3">
        <v>52.0</v>
      </c>
      <c r="C4563" s="3">
        <v>1.0</v>
      </c>
      <c r="D4563" t="str">
        <f>VLOOKUP(B4563,ERA_MOTIF_TYPES.csv!$A$1:$C$119,2,1)</f>
        <v>Single or multiple cups</v>
      </c>
      <c r="E4563" t="str">
        <f>VLOOKUP(A4563,Panels!$A$1:$E$2104,5,0)</f>
        <v>Museum of Antiquities - Unprovenanced Rock</v>
      </c>
    </row>
    <row r="4564">
      <c r="A4564" s="3">
        <v>1893.0</v>
      </c>
      <c r="B4564" s="3">
        <v>15.0</v>
      </c>
      <c r="C4564" s="3">
        <v>1.0</v>
      </c>
      <c r="D4564" t="str">
        <f>VLOOKUP(B4564,ERA_MOTIF_TYPES.csv!$A$1:$C$119,2,1)</f>
        <v>Multi Penanular + cup</v>
      </c>
      <c r="E4564" t="str">
        <f>VLOOKUP(A4564,Panels!$A$1:$E$2104,5,0)</f>
        <v>Museum of Antiquities - Unprovenanced Rock</v>
      </c>
    </row>
    <row r="4565">
      <c r="A4565" s="3">
        <v>1893.0</v>
      </c>
      <c r="B4565" s="3">
        <v>57.0</v>
      </c>
      <c r="C4565" s="3">
        <v>1.0</v>
      </c>
      <c r="D4565" t="str">
        <f>VLOOKUP(B4565,ERA_MOTIF_TYPES.csv!$A$1:$C$119,2,1)</f>
        <v>Cup and ring</v>
      </c>
      <c r="E4565" t="str">
        <f>VLOOKUP(A4565,Panels!$A$1:$E$2104,5,0)</f>
        <v>Museum of Antiquities - Unprovenanced Rock</v>
      </c>
    </row>
    <row r="4566">
      <c r="A4566" s="3">
        <v>1894.0</v>
      </c>
      <c r="B4566" s="3">
        <v>1.0</v>
      </c>
      <c r="C4566" s="3">
        <v>1.0</v>
      </c>
      <c r="D4566" t="str">
        <f>VLOOKUP(B4566,ERA_MOTIF_TYPES.csv!$A$1:$C$119,2,1)</f>
        <v>Cups Single</v>
      </c>
      <c r="E4566" t="str">
        <f>VLOOKUP(A4566,Panels!$A$1:$E$2104,5,0)</f>
        <v>Museum of Antiquities - Unprovenanced Rock</v>
      </c>
    </row>
    <row r="4567">
      <c r="A4567" s="3">
        <v>1894.0</v>
      </c>
      <c r="B4567" s="3">
        <v>52.0</v>
      </c>
      <c r="C4567" s="3">
        <v>1.0</v>
      </c>
      <c r="D4567" t="str">
        <f>VLOOKUP(B4567,ERA_MOTIF_TYPES.csv!$A$1:$C$119,2,1)</f>
        <v>Single or multiple cups</v>
      </c>
      <c r="E4567" t="str">
        <f>VLOOKUP(A4567,Panels!$A$1:$E$2104,5,0)</f>
        <v>Museum of Antiquities - Unprovenanced Rock</v>
      </c>
    </row>
    <row r="4568">
      <c r="A4568" s="3">
        <v>1895.0</v>
      </c>
      <c r="B4568" s="3">
        <v>1.0</v>
      </c>
      <c r="C4568" s="3">
        <v>12.0</v>
      </c>
      <c r="D4568" t="str">
        <f>VLOOKUP(B4568,ERA_MOTIF_TYPES.csv!$A$1:$C$119,2,1)</f>
        <v>Cups Single</v>
      </c>
      <c r="E4568" t="str">
        <f>VLOOKUP(A4568,Panels!$A$1:$E$2104,5,0)</f>
        <v>Museum of Antiquities - Unprovenanced Rock</v>
      </c>
    </row>
    <row r="4569">
      <c r="A4569" s="3">
        <v>1895.0</v>
      </c>
      <c r="B4569" s="3">
        <v>2.0</v>
      </c>
      <c r="C4569" s="3">
        <v>1.0</v>
      </c>
      <c r="D4569" t="str">
        <f>VLOOKUP(B4569,ERA_MOTIF_TYPES.csv!$A$1:$C$119,2,1)</f>
        <v>Random Cluster</v>
      </c>
      <c r="E4569" t="str">
        <f>VLOOKUP(A4569,Panels!$A$1:$E$2104,5,0)</f>
        <v>Museum of Antiquities - Unprovenanced Rock</v>
      </c>
    </row>
    <row r="4570">
      <c r="A4570" s="3">
        <v>1895.0</v>
      </c>
      <c r="B4570" s="3">
        <v>52.0</v>
      </c>
      <c r="C4570" s="3">
        <v>7.0</v>
      </c>
      <c r="D4570" t="str">
        <f>VLOOKUP(B4570,ERA_MOTIF_TYPES.csv!$A$1:$C$119,2,1)</f>
        <v>Single or multiple cups</v>
      </c>
      <c r="E4570" t="str">
        <f>VLOOKUP(A4570,Panels!$A$1:$E$2104,5,0)</f>
        <v>Museum of Antiquities - Unprovenanced Rock</v>
      </c>
    </row>
    <row r="4571">
      <c r="A4571" s="3">
        <v>1896.0</v>
      </c>
      <c r="B4571" s="3">
        <v>1.0</v>
      </c>
      <c r="C4571" s="3">
        <v>1.0</v>
      </c>
      <c r="D4571" t="str">
        <f>VLOOKUP(B4571,ERA_MOTIF_TYPES.csv!$A$1:$C$119,2,1)</f>
        <v>Cups Single</v>
      </c>
      <c r="E4571" t="str">
        <f>VLOOKUP(A4571,Panels!$A$1:$E$2104,5,0)</f>
        <v>Nafferton</v>
      </c>
    </row>
    <row r="4572">
      <c r="A4572" s="3">
        <v>1896.0</v>
      </c>
      <c r="B4572" s="3">
        <v>52.0</v>
      </c>
      <c r="C4572" s="3">
        <v>1.0</v>
      </c>
      <c r="D4572" t="str">
        <f>VLOOKUP(B4572,ERA_MOTIF_TYPES.csv!$A$1:$C$119,2,1)</f>
        <v>Single or multiple cups</v>
      </c>
      <c r="E4572" t="str">
        <f>VLOOKUP(A4572,Panels!$A$1:$E$2104,5,0)</f>
        <v>Nafferton</v>
      </c>
    </row>
    <row r="4573">
      <c r="A4573" s="3">
        <v>1896.0</v>
      </c>
      <c r="B4573" s="3">
        <v>100.0</v>
      </c>
      <c r="C4573" s="3">
        <v>1.0</v>
      </c>
      <c r="D4573" t="str">
        <f>VLOOKUP(B4573,ERA_MOTIF_TYPES.csv!$A$1:$C$119,2,1)</f>
        <v>Pick marks</v>
      </c>
      <c r="E4573" t="str">
        <f>VLOOKUP(A4573,Panels!$A$1:$E$2104,5,0)</f>
        <v>Nafferton</v>
      </c>
    </row>
    <row r="4574">
      <c r="A4574" s="3">
        <v>1897.0</v>
      </c>
      <c r="B4574" s="3">
        <v>52.0</v>
      </c>
      <c r="C4574" s="3">
        <v>1.0</v>
      </c>
      <c r="D4574" t="str">
        <f>VLOOKUP(B4574,ERA_MOTIF_TYPES.csv!$A$1:$C$119,2,1)</f>
        <v>Single or multiple cups</v>
      </c>
      <c r="E4574" t="str">
        <f>VLOOKUP(A4574,Panels!$A$1:$E$2104,5,0)</f>
        <v>Ouston, Pike Hill</v>
      </c>
    </row>
    <row r="4575">
      <c r="A4575" s="3">
        <v>1897.0</v>
      </c>
      <c r="B4575" s="3">
        <v>87.0</v>
      </c>
      <c r="C4575" s="3">
        <v>1.0</v>
      </c>
      <c r="D4575" t="str">
        <f>VLOOKUP(B4575,ERA_MOTIF_TYPES.csv!$A$1:$C$119,2,1)</f>
        <v>Linear and angular groove</v>
      </c>
      <c r="E4575" t="str">
        <f>VLOOKUP(A4575,Panels!$A$1:$E$2104,5,0)</f>
        <v>Ouston, Pike Hill</v>
      </c>
    </row>
    <row r="4576">
      <c r="A4576" s="3">
        <v>1897.0</v>
      </c>
      <c r="B4576" s="3">
        <v>100.0</v>
      </c>
      <c r="C4576" s="3">
        <v>1.0</v>
      </c>
      <c r="D4576" t="str">
        <f>VLOOKUP(B4576,ERA_MOTIF_TYPES.csv!$A$1:$C$119,2,1)</f>
        <v>Pick marks</v>
      </c>
      <c r="E4576" t="str">
        <f>VLOOKUP(A4576,Panels!$A$1:$E$2104,5,0)</f>
        <v>Ouston, Pike Hill</v>
      </c>
    </row>
    <row r="4577">
      <c r="A4577" s="3">
        <v>1897.0</v>
      </c>
      <c r="B4577" s="3">
        <v>115.0</v>
      </c>
      <c r="C4577" s="3">
        <v>1.0</v>
      </c>
      <c r="D4577" t="str">
        <f>VLOOKUP(B4577,ERA_MOTIF_TYPES.csv!$A$1:$C$119,2,1)</f>
        <v>Square groove</v>
      </c>
      <c r="E4577" t="str">
        <f>VLOOKUP(A4577,Panels!$A$1:$E$2104,5,0)</f>
        <v>Ouston, Pike Hill</v>
      </c>
    </row>
    <row r="4578">
      <c r="A4578" s="3">
        <v>1898.0</v>
      </c>
      <c r="B4578" s="3">
        <v>1.0</v>
      </c>
      <c r="C4578" s="3">
        <v>1.0</v>
      </c>
      <c r="D4578" t="str">
        <f>VLOOKUP(B4578,ERA_MOTIF_TYPES.csv!$A$1:$C$119,2,1)</f>
        <v>Cups Single</v>
      </c>
      <c r="E4578" t="str">
        <f>VLOOKUP(A4578,Panels!$A$1:$E$2104,5,0)</f>
        <v>South Middleton Moor</v>
      </c>
    </row>
    <row r="4579">
      <c r="A4579" s="3">
        <v>1898.0</v>
      </c>
      <c r="B4579" s="3">
        <v>52.0</v>
      </c>
      <c r="C4579" s="3">
        <v>1.0</v>
      </c>
      <c r="D4579" t="str">
        <f>VLOOKUP(B4579,ERA_MOTIF_TYPES.csv!$A$1:$C$119,2,1)</f>
        <v>Single or multiple cups</v>
      </c>
      <c r="E4579" t="str">
        <f>VLOOKUP(A4579,Panels!$A$1:$E$2104,5,0)</f>
        <v>South Middleton Moor</v>
      </c>
    </row>
    <row r="4580">
      <c r="A4580" s="3">
        <v>1899.0</v>
      </c>
      <c r="B4580" s="3">
        <v>1.0</v>
      </c>
      <c r="C4580" s="3">
        <v>7.0</v>
      </c>
      <c r="D4580" t="str">
        <f>VLOOKUP(B4580,ERA_MOTIF_TYPES.csv!$A$1:$C$119,2,1)</f>
        <v>Cups Single</v>
      </c>
      <c r="E4580" t="str">
        <f>VLOOKUP(A4580,Panels!$A$1:$E$2104,5,0)</f>
        <v>Black Heddon area</v>
      </c>
    </row>
    <row r="4581">
      <c r="A4581" s="3">
        <v>1899.0</v>
      </c>
      <c r="B4581" s="3">
        <v>2.0</v>
      </c>
      <c r="C4581" s="3">
        <v>3.0</v>
      </c>
      <c r="D4581" t="str">
        <f>VLOOKUP(B4581,ERA_MOTIF_TYPES.csv!$A$1:$C$119,2,1)</f>
        <v>Random Cluster</v>
      </c>
      <c r="E4581" t="str">
        <f>VLOOKUP(A4581,Panels!$A$1:$E$2104,5,0)</f>
        <v>Black Heddon area</v>
      </c>
    </row>
    <row r="4582">
      <c r="A4582" s="3">
        <v>1899.0</v>
      </c>
      <c r="B4582" s="3">
        <v>6.0</v>
      </c>
      <c r="C4582" s="3">
        <v>1.0</v>
      </c>
      <c r="D4582" t="str">
        <f>VLOOKUP(B4582,ERA_MOTIF_TYPES.csv!$A$1:$C$119,2,1)</f>
        <v>curved or straight line</v>
      </c>
      <c r="E4582" t="str">
        <f>VLOOKUP(A4582,Panels!$A$1:$E$2104,5,0)</f>
        <v>Black Heddon area</v>
      </c>
    </row>
    <row r="4583">
      <c r="A4583" s="3">
        <v>1899.0</v>
      </c>
      <c r="B4583" s="3">
        <v>52.0</v>
      </c>
      <c r="C4583" s="3">
        <v>6.0</v>
      </c>
      <c r="D4583" t="str">
        <f>VLOOKUP(B4583,ERA_MOTIF_TYPES.csv!$A$1:$C$119,2,1)</f>
        <v>Single or multiple cups</v>
      </c>
      <c r="E4583" t="str">
        <f>VLOOKUP(A4583,Panels!$A$1:$E$2104,5,0)</f>
        <v>Black Heddon area</v>
      </c>
    </row>
    <row r="4584">
      <c r="A4584" s="3">
        <v>1899.0</v>
      </c>
      <c r="B4584" s="3">
        <v>57.0</v>
      </c>
      <c r="C4584" s="3">
        <v>1.0</v>
      </c>
      <c r="D4584" t="str">
        <f>VLOOKUP(B4584,ERA_MOTIF_TYPES.csv!$A$1:$C$119,2,1)</f>
        <v>Cup and ring</v>
      </c>
      <c r="E4584" t="str">
        <f>VLOOKUP(A4584,Panels!$A$1:$E$2104,5,0)</f>
        <v>Black Heddon area</v>
      </c>
    </row>
    <row r="4585">
      <c r="A4585" s="3">
        <v>1899.0</v>
      </c>
      <c r="B4585" s="3">
        <v>100.0</v>
      </c>
      <c r="C4585" s="3">
        <v>1.0</v>
      </c>
      <c r="D4585" t="str">
        <f>VLOOKUP(B4585,ERA_MOTIF_TYPES.csv!$A$1:$C$119,2,1)</f>
        <v>Pick marks</v>
      </c>
      <c r="E4585" t="str">
        <f>VLOOKUP(A4585,Panels!$A$1:$E$2104,5,0)</f>
        <v>Black Heddon area</v>
      </c>
    </row>
    <row r="4586">
      <c r="A4586" s="3">
        <v>1902.0</v>
      </c>
      <c r="B4586" s="3">
        <v>52.0</v>
      </c>
      <c r="C4586" s="3">
        <v>3.0</v>
      </c>
      <c r="D4586" t="str">
        <f>VLOOKUP(B4586,ERA_MOTIF_TYPES.csv!$A$1:$C$119,2,1)</f>
        <v>Single or multiple cups</v>
      </c>
      <c r="E4586" t="str">
        <f>VLOOKUP(A4586,Panels!$A$1:$E$2104,5,0)</f>
        <v>Todlaw Pike</v>
      </c>
    </row>
    <row r="4587">
      <c r="A4587" s="3">
        <v>1903.0</v>
      </c>
      <c r="B4587" s="3">
        <v>1.0</v>
      </c>
      <c r="C4587" s="3">
        <v>1.0</v>
      </c>
      <c r="D4587" t="str">
        <f>VLOOKUP(B4587,ERA_MOTIF_TYPES.csv!$A$1:$C$119,2,1)</f>
        <v>Cups Single</v>
      </c>
      <c r="E4587" t="str">
        <f>VLOOKUP(A4587,Panels!$A$1:$E$2104,5,0)</f>
        <v>Weetwood Bridge portable</v>
      </c>
    </row>
    <row r="4588">
      <c r="A4588" s="3">
        <v>1903.0</v>
      </c>
      <c r="B4588" s="3">
        <v>52.0</v>
      </c>
      <c r="C4588" s="3">
        <v>1.0</v>
      </c>
      <c r="D4588" t="str">
        <f>VLOOKUP(B4588,ERA_MOTIF_TYPES.csv!$A$1:$C$119,2,1)</f>
        <v>Single or multiple cups</v>
      </c>
      <c r="E4588" t="str">
        <f>VLOOKUP(A4588,Panels!$A$1:$E$2104,5,0)</f>
        <v>Weetwood Bridge portable</v>
      </c>
    </row>
    <row r="4589">
      <c r="A4589" s="3">
        <v>1904.0</v>
      </c>
      <c r="B4589" s="3">
        <v>63.0</v>
      </c>
      <c r="C4589" s="3">
        <v>1.0</v>
      </c>
      <c r="D4589" t="str">
        <f>VLOOKUP(B4589,ERA_MOTIF_TYPES.csv!$A$1:$C$119,2,1)</f>
        <v>Cup with groove cutting through ring</v>
      </c>
      <c r="E4589" t="str">
        <f>VLOOKUP(A4589,Panels!$A$1:$E$2104,5,0)</f>
        <v>Weetwood portable</v>
      </c>
    </row>
    <row r="4590">
      <c r="A4590" s="3">
        <v>1905.0</v>
      </c>
      <c r="B4590" s="3">
        <v>1.0</v>
      </c>
      <c r="C4590" s="3">
        <v>1.0</v>
      </c>
      <c r="D4590" t="str">
        <f>VLOOKUP(B4590,ERA_MOTIF_TYPES.csv!$A$1:$C$119,2,1)</f>
        <v>Cups Single</v>
      </c>
      <c r="E4590" t="str">
        <f>VLOOKUP(A4590,Panels!$A$1:$E$2104,5,0)</f>
        <v>Weetwood portable</v>
      </c>
    </row>
    <row r="4591">
      <c r="A4591" s="3">
        <v>1905.0</v>
      </c>
      <c r="B4591" s="3">
        <v>52.0</v>
      </c>
      <c r="C4591" s="3">
        <v>1.0</v>
      </c>
      <c r="D4591" t="str">
        <f>VLOOKUP(B4591,ERA_MOTIF_TYPES.csv!$A$1:$C$119,2,1)</f>
        <v>Single or multiple cups</v>
      </c>
      <c r="E4591" t="str">
        <f>VLOOKUP(A4591,Panels!$A$1:$E$2104,5,0)</f>
        <v>Weetwood portable</v>
      </c>
    </row>
    <row r="4592">
      <c r="A4592" s="3">
        <v>1906.0</v>
      </c>
      <c r="B4592" s="3">
        <v>1.0</v>
      </c>
      <c r="C4592" s="3">
        <v>1.0</v>
      </c>
      <c r="D4592" t="str">
        <f>VLOOKUP(B4592,ERA_MOTIF_TYPES.csv!$A$1:$C$119,2,1)</f>
        <v>Cups Single</v>
      </c>
      <c r="E4592" t="str">
        <f>VLOOKUP(A4592,Panels!$A$1:$E$2104,5,0)</f>
        <v>Weetwood portable</v>
      </c>
    </row>
    <row r="4593">
      <c r="A4593" s="3">
        <v>1906.0</v>
      </c>
      <c r="B4593" s="3">
        <v>52.0</v>
      </c>
      <c r="C4593" s="3">
        <v>1.0</v>
      </c>
      <c r="D4593" t="str">
        <f>VLOOKUP(B4593,ERA_MOTIF_TYPES.csv!$A$1:$C$119,2,1)</f>
        <v>Single or multiple cups</v>
      </c>
      <c r="E4593" t="str">
        <f>VLOOKUP(A4593,Panels!$A$1:$E$2104,5,0)</f>
        <v>Weetwood portable</v>
      </c>
    </row>
    <row r="4594">
      <c r="A4594" s="3">
        <v>1907.0</v>
      </c>
      <c r="B4594" s="3">
        <v>1.0</v>
      </c>
      <c r="C4594" s="3">
        <v>1.0</v>
      </c>
      <c r="D4594" t="str">
        <f>VLOOKUP(B4594,ERA_MOTIF_TYPES.csv!$A$1:$C$119,2,1)</f>
        <v>Cups Single</v>
      </c>
      <c r="E4594" t="str">
        <f>VLOOKUP(A4594,Panels!$A$1:$E$2104,5,0)</f>
        <v>West Lordenshaw (Birky Hill)</v>
      </c>
    </row>
    <row r="4595">
      <c r="A4595" s="3">
        <v>1907.0</v>
      </c>
      <c r="B4595" s="3">
        <v>52.0</v>
      </c>
      <c r="C4595" s="3">
        <v>1.0</v>
      </c>
      <c r="D4595" t="str">
        <f>VLOOKUP(B4595,ERA_MOTIF_TYPES.csv!$A$1:$C$119,2,1)</f>
        <v>Single or multiple cups</v>
      </c>
      <c r="E4595" t="str">
        <f>VLOOKUP(A4595,Panels!$A$1:$E$2104,5,0)</f>
        <v>West Lordenshaw (Birky Hill)</v>
      </c>
    </row>
    <row r="4596">
      <c r="A4596" s="3">
        <v>1908.0</v>
      </c>
      <c r="B4596" s="3">
        <v>15.0</v>
      </c>
      <c r="C4596" s="3">
        <v>1.0</v>
      </c>
      <c r="D4596" t="str">
        <f>VLOOKUP(B4596,ERA_MOTIF_TYPES.csv!$A$1:$C$119,2,1)</f>
        <v>Multi Penanular + cup</v>
      </c>
      <c r="E4596" t="str">
        <f>VLOOKUP(A4596,Panels!$A$1:$E$2104,5,0)</f>
        <v>Wooler Cottage</v>
      </c>
    </row>
    <row r="4597">
      <c r="A4597" s="3">
        <v>1908.0</v>
      </c>
      <c r="B4597" s="3">
        <v>58.0</v>
      </c>
      <c r="C4597" s="3">
        <v>1.0</v>
      </c>
      <c r="D4597" t="str">
        <f>VLOOKUP(B4597,ERA_MOTIF_TYPES.csv!$A$1:$C$119,2,1)</f>
        <v>Cup and multiple rings</v>
      </c>
      <c r="E4597" t="str">
        <f>VLOOKUP(A4597,Panels!$A$1:$E$2104,5,0)</f>
        <v>Wooler Cottage</v>
      </c>
    </row>
    <row r="4598">
      <c r="A4598" s="3">
        <v>1909.0</v>
      </c>
      <c r="B4598" s="3">
        <v>1.0</v>
      </c>
      <c r="C4598" s="3">
        <v>30.0</v>
      </c>
      <c r="D4598" t="str">
        <f>VLOOKUP(B4598,ERA_MOTIF_TYPES.csv!$A$1:$C$119,2,1)</f>
        <v>Cups Single</v>
      </c>
      <c r="E4598" t="str">
        <f>VLOOKUP(A4598,Panels!$A$1:$E$2104,5,0)</f>
        <v>Harbottle</v>
      </c>
    </row>
    <row r="4599">
      <c r="A4599" s="3">
        <v>1909.0</v>
      </c>
      <c r="B4599" s="3">
        <v>2.0</v>
      </c>
      <c r="C4599" s="3">
        <v>1.0</v>
      </c>
      <c r="D4599" t="str">
        <f>VLOOKUP(B4599,ERA_MOTIF_TYPES.csv!$A$1:$C$119,2,1)</f>
        <v>Random Cluster</v>
      </c>
      <c r="E4599" t="str">
        <f>VLOOKUP(A4599,Panels!$A$1:$E$2104,5,0)</f>
        <v>Harbottle</v>
      </c>
    </row>
    <row r="4600">
      <c r="A4600" s="3">
        <v>1909.0</v>
      </c>
      <c r="B4600" s="3">
        <v>25.0</v>
      </c>
      <c r="C4600" s="3">
        <v>1.0</v>
      </c>
      <c r="D4600" t="str">
        <f>VLOOKUP(B4600,ERA_MOTIF_TYPES.csv!$A$1:$C$119,2,1)</f>
        <v>Linear</v>
      </c>
      <c r="E4600" t="str">
        <f>VLOOKUP(A4600,Panels!$A$1:$E$2104,5,0)</f>
        <v>Harbottle</v>
      </c>
    </row>
    <row r="4601">
      <c r="A4601" s="3">
        <v>1910.0</v>
      </c>
      <c r="B4601" s="3">
        <v>17.0</v>
      </c>
      <c r="C4601" s="3">
        <v>1.0</v>
      </c>
      <c r="D4601" t="str">
        <f>VLOOKUP(B4601,ERA_MOTIF_TYPES.csv!$A$1:$C$119,2,1)</f>
        <v>Single Penannular + cup</v>
      </c>
      <c r="E4601" t="str">
        <f>VLOOKUP(A4601,Panels!$A$1:$E$2104,5,0)</f>
        <v>Weetwood Cairn</v>
      </c>
    </row>
    <row r="4602">
      <c r="A4602" s="3">
        <v>1910.0</v>
      </c>
      <c r="B4602" s="3">
        <v>32.0</v>
      </c>
      <c r="C4602" s="3">
        <v>1.0</v>
      </c>
      <c r="D4602" t="str">
        <f>VLOOKUP(B4602,ERA_MOTIF_TYPES.csv!$A$1:$C$119,2,1)</f>
        <v>Cup Groove and single ring</v>
      </c>
      <c r="E4602" t="str">
        <f>VLOOKUP(A4602,Panels!$A$1:$E$2104,5,0)</f>
        <v>Weetwood Cairn</v>
      </c>
    </row>
    <row r="4603">
      <c r="A4603" s="3">
        <v>1910.0</v>
      </c>
      <c r="B4603" s="3">
        <v>108.0</v>
      </c>
      <c r="C4603" s="3">
        <v>1.0</v>
      </c>
      <c r="D4603" t="str">
        <f>VLOOKUP(B4603,ERA_MOTIF_TYPES.csv!$A$1:$C$119,2,1)</f>
        <v>Cup and ring with interior groove</v>
      </c>
      <c r="E4603" t="str">
        <f>VLOOKUP(A4603,Panels!$A$1:$E$2104,5,0)</f>
        <v>Weetwood Cairn</v>
      </c>
    </row>
    <row r="4604">
      <c r="A4604" s="3">
        <v>1911.0</v>
      </c>
      <c r="B4604" s="3">
        <v>59.0</v>
      </c>
      <c r="C4604" s="3">
        <v>1.0</v>
      </c>
      <c r="D4604" t="str">
        <f>VLOOKUP(B4604,ERA_MOTIF_TYPES.csv!$A$1:$C$119,2,1)</f>
        <v>Cup and penannular</v>
      </c>
      <c r="E4604" t="str">
        <f>VLOOKUP(A4604,Panels!$A$1:$E$2104,5,0)</f>
        <v>Lickar Moor</v>
      </c>
    </row>
    <row r="4605">
      <c r="A4605" s="3">
        <v>1911.0</v>
      </c>
      <c r="B4605" s="3">
        <v>110.0</v>
      </c>
      <c r="C4605" s="3">
        <v>1.0</v>
      </c>
      <c r="D4605" t="str">
        <f>VLOOKUP(B4605,ERA_MOTIF_TYPES.csv!$A$1:$C$119,2,1)</f>
        <v>Curved groove</v>
      </c>
      <c r="E4605" t="str">
        <f>VLOOKUP(A4605,Panels!$A$1:$E$2104,5,0)</f>
        <v>Lickar Moor</v>
      </c>
    </row>
    <row r="4606">
      <c r="A4606" s="3">
        <v>1912.0</v>
      </c>
      <c r="B4606" s="3">
        <v>52.0</v>
      </c>
      <c r="C4606" s="3">
        <v>3.0</v>
      </c>
      <c r="D4606" t="str">
        <f>VLOOKUP(B4606,ERA_MOTIF_TYPES.csv!$A$1:$C$119,2,1)</f>
        <v>Single or multiple cups</v>
      </c>
      <c r="E4606" t="str">
        <f>VLOOKUP(A4606,Panels!$A$1:$E$2104,5,0)</f>
        <v>Millstone Burn portable</v>
      </c>
    </row>
    <row r="4607">
      <c r="A4607" s="3">
        <v>1913.0</v>
      </c>
      <c r="B4607" s="3">
        <v>52.0</v>
      </c>
      <c r="C4607" s="3">
        <v>1.0</v>
      </c>
      <c r="D4607" t="str">
        <f>VLOOKUP(B4607,ERA_MOTIF_TYPES.csv!$A$1:$C$119,2,1)</f>
        <v>Single or multiple cups</v>
      </c>
      <c r="E4607" t="str">
        <f>VLOOKUP(A4607,Panels!$A$1:$E$2104,5,0)</f>
        <v>Ord</v>
      </c>
    </row>
    <row r="4608">
      <c r="A4608" s="3">
        <v>1915.0</v>
      </c>
      <c r="B4608" s="3">
        <v>65.0</v>
      </c>
      <c r="C4608" s="3">
        <v>1.0</v>
      </c>
      <c r="D4608" t="str">
        <f>VLOOKUP(B4608,ERA_MOTIF_TYPES.csv!$A$1:$C$119,2,1)</f>
        <v>Cup and groove with penannular</v>
      </c>
      <c r="E4608" t="str">
        <f>VLOOKUP(A4608,Panels!$A$1:$E$2104,5,0)</f>
        <v>Weetwood portable</v>
      </c>
    </row>
    <row r="4609">
      <c r="A4609" s="3">
        <v>1916.0</v>
      </c>
      <c r="B4609" s="3">
        <v>52.0</v>
      </c>
      <c r="C4609" s="3">
        <v>1.0</v>
      </c>
      <c r="D4609" t="str">
        <f>VLOOKUP(B4609,ERA_MOTIF_TYPES.csv!$A$1:$C$119,2,1)</f>
        <v>Single or multiple cups</v>
      </c>
      <c r="E4609" t="str">
        <f>VLOOKUP(A4609,Panels!$A$1:$E$2104,5,0)</f>
        <v>Weetwood portable</v>
      </c>
    </row>
    <row r="4610">
      <c r="A4610" s="3">
        <v>1919.0</v>
      </c>
      <c r="B4610" s="3">
        <v>52.0</v>
      </c>
      <c r="C4610" s="3">
        <v>1.0</v>
      </c>
      <c r="D4610" t="str">
        <f>VLOOKUP(B4610,ERA_MOTIF_TYPES.csv!$A$1:$C$119,2,1)</f>
        <v>Single or multiple cups</v>
      </c>
      <c r="E4610" t="str">
        <f>VLOOKUP(A4610,Panels!$A$1:$E$2104,5,0)</f>
        <v>Alnwick Fords, Longframlington</v>
      </c>
    </row>
    <row r="4611">
      <c r="A4611" s="3">
        <v>2005.0</v>
      </c>
      <c r="B4611" s="3">
        <v>1.0</v>
      </c>
      <c r="C4611" s="3">
        <v>1.0</v>
      </c>
      <c r="D4611" t="str">
        <f>VLOOKUP(B4611,ERA_MOTIF_TYPES.csv!$A$1:$C$119,2,1)</f>
        <v>Cups Single</v>
      </c>
      <c r="E4611" t="str">
        <f>VLOOKUP(A4611,Panels!$A$1:$E$2104,5,0)</f>
        <v>Langleydale Common</v>
      </c>
    </row>
    <row r="4612">
      <c r="A4612" s="3">
        <v>2006.0</v>
      </c>
      <c r="B4612" s="3">
        <v>1.0</v>
      </c>
      <c r="C4612" s="3">
        <v>4.0</v>
      </c>
      <c r="D4612" t="str">
        <f>VLOOKUP(B4612,ERA_MOTIF_TYPES.csv!$A$1:$C$119,2,1)</f>
        <v>Cups Single</v>
      </c>
      <c r="E4612" t="str">
        <f>VLOOKUP(A4612,Panels!$A$1:$E$2104,5,0)</f>
        <v>Langleydale Common</v>
      </c>
    </row>
    <row r="4613">
      <c r="A4613" s="3">
        <v>2007.0</v>
      </c>
      <c r="B4613" s="3">
        <v>1.0</v>
      </c>
      <c r="C4613" s="3">
        <v>3.0</v>
      </c>
      <c r="D4613" t="str">
        <f>VLOOKUP(B4613,ERA_MOTIF_TYPES.csv!$A$1:$C$119,2,1)</f>
        <v>Cups Single</v>
      </c>
      <c r="E4613" t="str">
        <f>VLOOKUP(A4613,Panels!$A$1:$E$2104,5,0)</f>
        <v>Hindon Edge</v>
      </c>
    </row>
    <row r="4614">
      <c r="A4614" s="3">
        <v>2008.0</v>
      </c>
      <c r="B4614" s="3">
        <v>1.0</v>
      </c>
      <c r="C4614" s="3">
        <v>2.0</v>
      </c>
      <c r="D4614" t="str">
        <f>VLOOKUP(B4614,ERA_MOTIF_TYPES.csv!$A$1:$C$119,2,1)</f>
        <v>Cups Single</v>
      </c>
      <c r="E4614" t="str">
        <f>VLOOKUP(A4614,Panels!$A$1:$E$2104,5,0)</f>
        <v>Hindon Edge</v>
      </c>
    </row>
    <row r="4615">
      <c r="A4615" s="3">
        <v>2009.0</v>
      </c>
      <c r="B4615" s="3">
        <v>1.0</v>
      </c>
      <c r="C4615" s="3">
        <v>5.0</v>
      </c>
      <c r="D4615" t="str">
        <f>VLOOKUP(B4615,ERA_MOTIF_TYPES.csv!$A$1:$C$119,2,1)</f>
        <v>Cups Single</v>
      </c>
      <c r="E4615" t="str">
        <f>VLOOKUP(A4615,Panels!$A$1:$E$2104,5,0)</f>
        <v>Langleydale Common</v>
      </c>
    </row>
    <row r="4616">
      <c r="A4616" s="3">
        <v>2010.0</v>
      </c>
      <c r="B4616" s="3">
        <v>1.0</v>
      </c>
      <c r="C4616" s="3">
        <v>2.0</v>
      </c>
      <c r="D4616" t="str">
        <f>VLOOKUP(B4616,ERA_MOTIF_TYPES.csv!$A$1:$C$119,2,1)</f>
        <v>Cups Single</v>
      </c>
      <c r="E4616" t="str">
        <f>VLOOKUP(A4616,Panels!$A$1:$E$2104,5,0)</f>
        <v>Langleydale Common</v>
      </c>
    </row>
    <row r="4617">
      <c r="A4617" s="3">
        <v>2010.0</v>
      </c>
      <c r="B4617" s="3">
        <v>13.0</v>
      </c>
      <c r="C4617" s="3">
        <v>1.0</v>
      </c>
      <c r="D4617" t="str">
        <f>VLOOKUP(B4617,ERA_MOTIF_TYPES.csv!$A$1:$C$119,2,1)</f>
        <v>Single Ring + cup</v>
      </c>
      <c r="E4617" t="str">
        <f>VLOOKUP(A4617,Panels!$A$1:$E$2104,5,0)</f>
        <v>Langleydale Common</v>
      </c>
    </row>
    <row r="4618">
      <c r="A4618" s="3">
        <v>2011.0</v>
      </c>
      <c r="B4618" s="3">
        <v>1.0</v>
      </c>
      <c r="C4618" s="3">
        <v>22.0</v>
      </c>
      <c r="D4618" t="str">
        <f>VLOOKUP(B4618,ERA_MOTIF_TYPES.csv!$A$1:$C$119,2,1)</f>
        <v>Cups Single</v>
      </c>
      <c r="E4618" t="str">
        <f>VLOOKUP(A4618,Panels!$A$1:$E$2104,5,0)</f>
        <v>Stobgreen Plantation</v>
      </c>
    </row>
    <row r="4619">
      <c r="A4619" s="3">
        <v>2012.0</v>
      </c>
      <c r="B4619" s="3">
        <v>1.0</v>
      </c>
      <c r="C4619" s="3">
        <v>4.0</v>
      </c>
      <c r="D4619" t="str">
        <f>VLOOKUP(B4619,ERA_MOTIF_TYPES.csv!$A$1:$C$119,2,1)</f>
        <v>Cups Single</v>
      </c>
      <c r="E4619" t="str">
        <f>VLOOKUP(A4619,Panels!$A$1:$E$2104,5,0)</f>
        <v>Stobgreen Plantation</v>
      </c>
    </row>
    <row r="4620">
      <c r="A4620" s="3">
        <v>2013.0</v>
      </c>
      <c r="B4620" s="3">
        <v>1.0</v>
      </c>
      <c r="C4620" s="3">
        <v>3.0</v>
      </c>
      <c r="D4620" t="str">
        <f>VLOOKUP(B4620,ERA_MOTIF_TYPES.csv!$A$1:$C$119,2,1)</f>
        <v>Cups Single</v>
      </c>
      <c r="E4620" t="str">
        <f>VLOOKUP(A4620,Panels!$A$1:$E$2104,5,0)</f>
        <v>Stobgreen Plantation</v>
      </c>
    </row>
    <row r="4621">
      <c r="A4621" s="3">
        <v>2016.0</v>
      </c>
      <c r="B4621" s="3">
        <v>1.0</v>
      </c>
      <c r="C4621" s="3">
        <v>1.0</v>
      </c>
      <c r="D4621" t="str">
        <f>VLOOKUP(B4621,ERA_MOTIF_TYPES.csv!$A$1:$C$119,2,1)</f>
        <v>Cups Single</v>
      </c>
      <c r="E4621" t="str">
        <f>VLOOKUP(A4621,Panels!$A$1:$E$2104,5,0)</f>
        <v>Langleydale Common</v>
      </c>
    </row>
    <row r="4622">
      <c r="A4622" s="3">
        <v>2019.0</v>
      </c>
      <c r="B4622" s="3">
        <v>1.0</v>
      </c>
      <c r="C4622" s="3">
        <v>3.0</v>
      </c>
      <c r="D4622" t="str">
        <f>VLOOKUP(B4622,ERA_MOTIF_TYPES.csv!$A$1:$C$119,2,1)</f>
        <v>Cups Single</v>
      </c>
      <c r="E4622" t="str">
        <f>VLOOKUP(A4622,Panels!$A$1:$E$2104,5,0)</f>
        <v>Brackenheads</v>
      </c>
    </row>
    <row r="4623">
      <c r="A4623" s="3">
        <v>2020.0</v>
      </c>
      <c r="B4623" s="3">
        <v>1.0</v>
      </c>
      <c r="C4623" s="3">
        <v>3.0</v>
      </c>
      <c r="D4623" t="str">
        <f>VLOOKUP(B4623,ERA_MOTIF_TYPES.csv!$A$1:$C$119,2,1)</f>
        <v>Cups Single</v>
      </c>
      <c r="E4623" t="str">
        <f>VLOOKUP(A4623,Panels!$A$1:$E$2104,5,0)</f>
        <v>Stobgreen Plantation</v>
      </c>
    </row>
    <row r="4624">
      <c r="A4624" s="3">
        <v>2020.0</v>
      </c>
      <c r="B4624" s="3">
        <v>26.0</v>
      </c>
      <c r="C4624" s="3">
        <v>1.0</v>
      </c>
      <c r="D4624" t="str">
        <f>VLOOKUP(B4624,ERA_MOTIF_TYPES.csv!$A$1:$C$119,2,1)</f>
        <v>Parallel</v>
      </c>
      <c r="E4624" t="str">
        <f>VLOOKUP(A4624,Panels!$A$1:$E$2104,5,0)</f>
        <v>Stobgreen Plantation</v>
      </c>
    </row>
    <row r="4625">
      <c r="A4625" s="3">
        <v>2021.0</v>
      </c>
      <c r="B4625" s="3">
        <v>1.0</v>
      </c>
      <c r="C4625" s="3">
        <v>12.0</v>
      </c>
      <c r="D4625" t="str">
        <f>VLOOKUP(B4625,ERA_MOTIF_TYPES.csv!$A$1:$C$119,2,1)</f>
        <v>Cups Single</v>
      </c>
      <c r="E4625" t="str">
        <f>VLOOKUP(A4625,Panels!$A$1:$E$2104,5,0)</f>
        <v>Stobgreen Plantation 'The Grayson Stone'</v>
      </c>
    </row>
    <row r="4626">
      <c r="A4626" s="3">
        <v>2021.0</v>
      </c>
      <c r="B4626" s="3">
        <v>13.0</v>
      </c>
      <c r="C4626" s="3">
        <v>2.0</v>
      </c>
      <c r="D4626" t="str">
        <f>VLOOKUP(B4626,ERA_MOTIF_TYPES.csv!$A$1:$C$119,2,1)</f>
        <v>Single Ring + cup</v>
      </c>
      <c r="E4626" t="str">
        <f>VLOOKUP(A4626,Panels!$A$1:$E$2104,5,0)</f>
        <v>Stobgreen Plantation 'The Grayson Stone'</v>
      </c>
    </row>
    <row r="4627">
      <c r="A4627" s="3">
        <v>2021.0</v>
      </c>
      <c r="B4627" s="3">
        <v>27.0</v>
      </c>
      <c r="C4627" s="3">
        <v>1.0</v>
      </c>
      <c r="D4627" t="str">
        <f>VLOOKUP(B4627,ERA_MOTIF_TYPES.csv!$A$1:$C$119,2,1)</f>
        <v>Serpentine</v>
      </c>
      <c r="E4627" t="str">
        <f>VLOOKUP(A4627,Panels!$A$1:$E$2104,5,0)</f>
        <v>Stobgreen Plantation 'The Grayson Stone'</v>
      </c>
    </row>
    <row r="4628">
      <c r="A4628" s="3">
        <v>2023.0</v>
      </c>
      <c r="B4628" s="3">
        <v>1.0</v>
      </c>
      <c r="C4628" s="3">
        <v>4.0</v>
      </c>
      <c r="D4628" t="str">
        <f>VLOOKUP(B4628,ERA_MOTIF_TYPES.csv!$A$1:$C$119,2,1)</f>
        <v>Cups Single</v>
      </c>
      <c r="E4628" t="str">
        <f>VLOOKUP(A4628,Panels!$A$1:$E$2104,5,0)</f>
        <v>Brackenheads</v>
      </c>
    </row>
    <row r="4629">
      <c r="A4629" s="3">
        <v>2025.0</v>
      </c>
      <c r="B4629" s="3">
        <v>1.0</v>
      </c>
      <c r="C4629" s="3">
        <v>5.0</v>
      </c>
      <c r="D4629" t="str">
        <f>VLOOKUP(B4629,ERA_MOTIF_TYPES.csv!$A$1:$C$119,2,1)</f>
        <v>Cups Single</v>
      </c>
      <c r="E4629" t="str">
        <f>VLOOKUP(A4629,Panels!$A$1:$E$2104,5,0)</f>
        <v>Brackenheads</v>
      </c>
    </row>
    <row r="4630">
      <c r="A4630" s="3">
        <v>2027.0</v>
      </c>
      <c r="B4630" s="3">
        <v>1.0</v>
      </c>
      <c r="C4630" s="3">
        <v>3.0</v>
      </c>
      <c r="D4630" t="str">
        <f>VLOOKUP(B4630,ERA_MOTIF_TYPES.csv!$A$1:$C$119,2,1)</f>
        <v>Cups Single</v>
      </c>
      <c r="E4630" t="str">
        <f>VLOOKUP(A4630,Panels!$A$1:$E$2104,5,0)</f>
        <v>Brackenheads</v>
      </c>
    </row>
    <row r="4631">
      <c r="A4631" s="3">
        <v>2027.0</v>
      </c>
      <c r="B4631" s="3">
        <v>6.0</v>
      </c>
      <c r="C4631" s="3">
        <v>1.0</v>
      </c>
      <c r="D4631" t="str">
        <f>VLOOKUP(B4631,ERA_MOTIF_TYPES.csv!$A$1:$C$119,2,1)</f>
        <v>curved or straight line</v>
      </c>
      <c r="E4631" t="str">
        <f>VLOOKUP(A4631,Panels!$A$1:$E$2104,5,0)</f>
        <v>Brackenheads</v>
      </c>
    </row>
    <row r="4632">
      <c r="A4632" s="3">
        <v>2028.0</v>
      </c>
      <c r="B4632" s="3">
        <v>1.0</v>
      </c>
      <c r="C4632" s="3">
        <v>2.0</v>
      </c>
      <c r="D4632" t="str">
        <f>VLOOKUP(B4632,ERA_MOTIF_TYPES.csv!$A$1:$C$119,2,1)</f>
        <v>Cups Single</v>
      </c>
      <c r="E4632" t="str">
        <f>VLOOKUP(A4632,Panels!$A$1:$E$2104,5,0)</f>
        <v>Brackenheads</v>
      </c>
    </row>
    <row r="4633">
      <c r="A4633" s="3">
        <v>2029.0</v>
      </c>
      <c r="B4633" s="3">
        <v>1.0</v>
      </c>
      <c r="C4633" s="3">
        <v>2.0</v>
      </c>
      <c r="D4633" t="str">
        <f>VLOOKUP(B4633,ERA_MOTIF_TYPES.csv!$A$1:$C$119,2,1)</f>
        <v>Cups Single</v>
      </c>
      <c r="E4633" t="str">
        <f>VLOOKUP(A4633,Panels!$A$1:$E$2104,5,0)</f>
        <v>Brackenheads</v>
      </c>
    </row>
    <row r="4634">
      <c r="A4634" s="3">
        <v>2029.0</v>
      </c>
      <c r="B4634" s="3">
        <v>25.0</v>
      </c>
      <c r="C4634" s="3">
        <v>1.0</v>
      </c>
      <c r="D4634" t="str">
        <f>VLOOKUP(B4634,ERA_MOTIF_TYPES.csv!$A$1:$C$119,2,1)</f>
        <v>Linear</v>
      </c>
      <c r="E4634" t="str">
        <f>VLOOKUP(A4634,Panels!$A$1:$E$2104,5,0)</f>
        <v>Brackenheads</v>
      </c>
    </row>
    <row r="4635">
      <c r="A4635" s="3">
        <v>2030.0</v>
      </c>
      <c r="B4635" s="3">
        <v>1.0</v>
      </c>
      <c r="C4635" s="3">
        <v>8.0</v>
      </c>
      <c r="D4635" t="str">
        <f>VLOOKUP(B4635,ERA_MOTIF_TYPES.csv!$A$1:$C$119,2,1)</f>
        <v>Cups Single</v>
      </c>
      <c r="E4635" t="str">
        <f>VLOOKUP(A4635,Panels!$A$1:$E$2104,5,0)</f>
        <v>Brackenheads</v>
      </c>
    </row>
    <row r="4636">
      <c r="A4636" s="3">
        <v>2031.0</v>
      </c>
      <c r="B4636" s="3">
        <v>1.0</v>
      </c>
      <c r="C4636" s="3">
        <v>5.0</v>
      </c>
      <c r="D4636" t="str">
        <f>VLOOKUP(B4636,ERA_MOTIF_TYPES.csv!$A$1:$C$119,2,1)</f>
        <v>Cups Single</v>
      </c>
      <c r="E4636" t="str">
        <f>VLOOKUP(A4636,Panels!$A$1:$E$2104,5,0)</f>
        <v>Brackenheads</v>
      </c>
    </row>
    <row r="4637">
      <c r="A4637" s="3">
        <v>2031.0</v>
      </c>
      <c r="B4637" s="3">
        <v>25.0</v>
      </c>
      <c r="C4637" s="3">
        <v>1.0</v>
      </c>
      <c r="D4637" t="str">
        <f>VLOOKUP(B4637,ERA_MOTIF_TYPES.csv!$A$1:$C$119,2,1)</f>
        <v>Linear</v>
      </c>
      <c r="E4637" t="str">
        <f>VLOOKUP(A4637,Panels!$A$1:$E$2104,5,0)</f>
        <v>Brackenheads</v>
      </c>
    </row>
    <row r="4638">
      <c r="A4638" s="3">
        <v>2032.0</v>
      </c>
      <c r="B4638" s="3">
        <v>1.0</v>
      </c>
      <c r="C4638" s="3">
        <v>2.0</v>
      </c>
      <c r="D4638" t="str">
        <f>VLOOKUP(B4638,ERA_MOTIF_TYPES.csv!$A$1:$C$119,2,1)</f>
        <v>Cups Single</v>
      </c>
      <c r="E4638" t="str">
        <f>VLOOKUP(A4638,Panels!$A$1:$E$2104,5,0)</f>
        <v>Brackenheads</v>
      </c>
    </row>
    <row r="4639">
      <c r="A4639" s="3">
        <v>2033.0</v>
      </c>
      <c r="B4639" s="3">
        <v>1.0</v>
      </c>
      <c r="C4639" s="3">
        <v>1.0</v>
      </c>
      <c r="D4639" t="str">
        <f>VLOOKUP(B4639,ERA_MOTIF_TYPES.csv!$A$1:$C$119,2,1)</f>
        <v>Cups Single</v>
      </c>
      <c r="E4639" t="str">
        <f>VLOOKUP(A4639,Panels!$A$1:$E$2104,5,0)</f>
        <v>Winston Station</v>
      </c>
    </row>
    <row r="4640">
      <c r="A4640" s="3">
        <v>2034.0</v>
      </c>
      <c r="B4640" s="3">
        <v>1.0</v>
      </c>
      <c r="C4640" s="3">
        <v>21.0</v>
      </c>
      <c r="D4640" t="str">
        <f>VLOOKUP(B4640,ERA_MOTIF_TYPES.csv!$A$1:$C$119,2,1)</f>
        <v>Cups Single</v>
      </c>
      <c r="E4640" t="str">
        <f>VLOOKUP(A4640,Panels!$A$1:$E$2104,5,0)</f>
        <v>Gainford stone</v>
      </c>
    </row>
    <row r="4641">
      <c r="A4641" s="3">
        <v>2034.0</v>
      </c>
      <c r="B4641" s="3">
        <v>2.0</v>
      </c>
      <c r="C4641" s="3">
        <v>2.0</v>
      </c>
      <c r="D4641" t="str">
        <f>VLOOKUP(B4641,ERA_MOTIF_TYPES.csv!$A$1:$C$119,2,1)</f>
        <v>Random Cluster</v>
      </c>
      <c r="E4641" t="str">
        <f>VLOOKUP(A4641,Panels!$A$1:$E$2104,5,0)</f>
        <v>Gainford stone</v>
      </c>
    </row>
    <row r="4642">
      <c r="A4642" s="3">
        <v>2034.0</v>
      </c>
      <c r="B4642" s="3">
        <v>4.0</v>
      </c>
      <c r="C4642" s="3">
        <v>1.0</v>
      </c>
      <c r="D4642" t="str">
        <f>VLOOKUP(B4642,ERA_MOTIF_TYPES.csv!$A$1:$C$119,2,1)</f>
        <v>Counter-sunk</v>
      </c>
      <c r="E4642" t="str">
        <f>VLOOKUP(A4642,Panels!$A$1:$E$2104,5,0)</f>
        <v>Gainford stone</v>
      </c>
    </row>
    <row r="4643">
      <c r="A4643" s="3">
        <v>2034.0</v>
      </c>
      <c r="B4643" s="3">
        <v>13.0</v>
      </c>
      <c r="C4643" s="3">
        <v>3.0</v>
      </c>
      <c r="D4643" t="str">
        <f>VLOOKUP(B4643,ERA_MOTIF_TYPES.csv!$A$1:$C$119,2,1)</f>
        <v>Single Ring + cup</v>
      </c>
      <c r="E4643" t="str">
        <f>VLOOKUP(A4643,Panels!$A$1:$E$2104,5,0)</f>
        <v>Gainford stone</v>
      </c>
    </row>
    <row r="4644">
      <c r="A4644" s="3">
        <v>2034.0</v>
      </c>
      <c r="B4644" s="3">
        <v>14.0</v>
      </c>
      <c r="C4644" s="3">
        <v>7.0</v>
      </c>
      <c r="D4644" t="str">
        <f>VLOOKUP(B4644,ERA_MOTIF_TYPES.csv!$A$1:$C$119,2,1)</f>
        <v>Multi Ring + cup</v>
      </c>
      <c r="E4644" t="str">
        <f>VLOOKUP(A4644,Panels!$A$1:$E$2104,5,0)</f>
        <v>Gainford stone</v>
      </c>
    </row>
    <row r="4645">
      <c r="A4645" s="3">
        <v>2034.0</v>
      </c>
      <c r="B4645" s="3">
        <v>16.0</v>
      </c>
      <c r="C4645" s="3">
        <v>2.0</v>
      </c>
      <c r="D4645" t="str">
        <f>VLOOKUP(B4645,ERA_MOTIF_TYPES.csv!$A$1:$C$119,2,1)</f>
        <v>Single Arc + cup</v>
      </c>
      <c r="E4645" t="str">
        <f>VLOOKUP(A4645,Panels!$A$1:$E$2104,5,0)</f>
        <v>Gainford stone</v>
      </c>
    </row>
    <row r="4646">
      <c r="A4646" s="3">
        <v>2034.0</v>
      </c>
      <c r="B4646" s="3">
        <v>25.0</v>
      </c>
      <c r="C4646" s="3">
        <v>3.0</v>
      </c>
      <c r="D4646" t="str">
        <f>VLOOKUP(B4646,ERA_MOTIF_TYPES.csv!$A$1:$C$119,2,1)</f>
        <v>Linear</v>
      </c>
      <c r="E4646" t="str">
        <f>VLOOKUP(A4646,Panels!$A$1:$E$2104,5,0)</f>
        <v>Gainford stone</v>
      </c>
    </row>
    <row r="4647">
      <c r="A4647" s="3">
        <v>2034.0</v>
      </c>
      <c r="B4647" s="3">
        <v>31.0</v>
      </c>
      <c r="C4647" s="3">
        <v>1.0</v>
      </c>
      <c r="D4647" t="str">
        <f>VLOOKUP(B4647,ERA_MOTIF_TYPES.csv!$A$1:$C$119,2,1)</f>
        <v>Cup and Groove</v>
      </c>
      <c r="E4647" t="str">
        <f>VLOOKUP(A4647,Panels!$A$1:$E$2104,5,0)</f>
        <v>Gainford stone</v>
      </c>
    </row>
    <row r="4648">
      <c r="A4648" s="3">
        <v>2034.0</v>
      </c>
      <c r="B4648" s="3">
        <v>32.0</v>
      </c>
      <c r="C4648" s="3">
        <v>1.0</v>
      </c>
      <c r="D4648" t="str">
        <f>VLOOKUP(B4648,ERA_MOTIF_TYPES.csv!$A$1:$C$119,2,1)</f>
        <v>Cup Groove and single ring</v>
      </c>
      <c r="E4648" t="str">
        <f>VLOOKUP(A4648,Panels!$A$1:$E$2104,5,0)</f>
        <v>Gainford stone</v>
      </c>
    </row>
    <row r="4649">
      <c r="A4649" s="3">
        <v>2034.0</v>
      </c>
      <c r="B4649" s="3">
        <v>33.0</v>
      </c>
      <c r="C4649" s="3">
        <v>4.0</v>
      </c>
      <c r="D4649" t="str">
        <f>VLOOKUP(B4649,ERA_MOTIF_TYPES.csv!$A$1:$C$119,2,1)</f>
        <v>Cup Groove and multi ring</v>
      </c>
      <c r="E4649" t="str">
        <f>VLOOKUP(A4649,Panels!$A$1:$E$2104,5,0)</f>
        <v>Gainford stone</v>
      </c>
    </row>
    <row r="4650">
      <c r="A4650" s="3">
        <v>2035.0</v>
      </c>
      <c r="B4650" s="3">
        <v>1.0</v>
      </c>
      <c r="C4650" s="3">
        <v>15.0</v>
      </c>
      <c r="D4650" t="str">
        <f>VLOOKUP(B4650,ERA_MOTIF_TYPES.csv!$A$1:$C$119,2,1)</f>
        <v>Cups Single</v>
      </c>
      <c r="E4650" t="str">
        <f>VLOOKUP(A4650,Panels!$A$1:$E$2104,5,0)</f>
        <v>Greta Bridge Roman site</v>
      </c>
    </row>
    <row r="4651">
      <c r="A4651" s="3">
        <v>2035.0</v>
      </c>
      <c r="B4651" s="3">
        <v>2.0</v>
      </c>
      <c r="C4651" s="3">
        <v>2.0</v>
      </c>
      <c r="D4651" t="str">
        <f>VLOOKUP(B4651,ERA_MOTIF_TYPES.csv!$A$1:$C$119,2,1)</f>
        <v>Random Cluster</v>
      </c>
      <c r="E4651" t="str">
        <f>VLOOKUP(A4651,Panels!$A$1:$E$2104,5,0)</f>
        <v>Greta Bridge Roman site</v>
      </c>
    </row>
    <row r="4652">
      <c r="A4652" s="3">
        <v>2035.0</v>
      </c>
      <c r="B4652" s="3">
        <v>6.0</v>
      </c>
      <c r="C4652" s="3">
        <v>2.0</v>
      </c>
      <c r="D4652" t="str">
        <f>VLOOKUP(B4652,ERA_MOTIF_TYPES.csv!$A$1:$C$119,2,1)</f>
        <v>curved or straight line</v>
      </c>
      <c r="E4652" t="str">
        <f>VLOOKUP(A4652,Panels!$A$1:$E$2104,5,0)</f>
        <v>Greta Bridge Roman site</v>
      </c>
    </row>
    <row r="4653">
      <c r="A4653" s="3">
        <v>2035.0</v>
      </c>
      <c r="B4653" s="3">
        <v>25.0</v>
      </c>
      <c r="C4653" s="3">
        <v>2.0</v>
      </c>
      <c r="D4653" t="str">
        <f>VLOOKUP(B4653,ERA_MOTIF_TYPES.csv!$A$1:$C$119,2,1)</f>
        <v>Linear</v>
      </c>
      <c r="E4653" t="str">
        <f>VLOOKUP(A4653,Panels!$A$1:$E$2104,5,0)</f>
        <v>Greta Bridge Roman site</v>
      </c>
    </row>
    <row r="4654">
      <c r="A4654" s="3">
        <v>2035.0</v>
      </c>
      <c r="B4654" s="3">
        <v>28.0</v>
      </c>
      <c r="C4654" s="3">
        <v>3.0</v>
      </c>
      <c r="D4654" t="str">
        <f>VLOOKUP(B4654,ERA_MOTIF_TYPES.csv!$A$1:$C$119,2,1)</f>
        <v>Chevron</v>
      </c>
      <c r="E4654" t="str">
        <f>VLOOKUP(A4654,Panels!$A$1:$E$2104,5,0)</f>
        <v>Greta Bridge Roman site</v>
      </c>
    </row>
    <row r="4655">
      <c r="A4655" s="3">
        <v>2035.0</v>
      </c>
      <c r="B4655" s="3">
        <v>31.0</v>
      </c>
      <c r="C4655" s="3">
        <v>3.0</v>
      </c>
      <c r="D4655" t="str">
        <f>VLOOKUP(B4655,ERA_MOTIF_TYPES.csv!$A$1:$C$119,2,1)</f>
        <v>Cup and Groove</v>
      </c>
      <c r="E4655" t="str">
        <f>VLOOKUP(A4655,Panels!$A$1:$E$2104,5,0)</f>
        <v>Greta Bridge Roman site</v>
      </c>
    </row>
    <row r="4656">
      <c r="A4656" s="3">
        <v>2035.0</v>
      </c>
      <c r="B4656" s="3">
        <v>51.0</v>
      </c>
      <c r="C4656" s="3">
        <v>1.0</v>
      </c>
      <c r="D4656" t="str">
        <f>VLOOKUP(B4656,ERA_MOTIF_TYPES.csv!$A$1:$C$119,2,1)</f>
        <v>Bowls</v>
      </c>
      <c r="E4656" t="str">
        <f>VLOOKUP(A4656,Panels!$A$1:$E$2104,5,0)</f>
        <v>Greta Bridge Roman site</v>
      </c>
    </row>
    <row r="4657">
      <c r="A4657" s="3">
        <v>2036.0</v>
      </c>
      <c r="B4657" s="3">
        <v>1.0</v>
      </c>
      <c r="C4657" s="3">
        <v>5.0</v>
      </c>
      <c r="D4657" t="str">
        <f>VLOOKUP(B4657,ERA_MOTIF_TYPES.csv!$A$1:$C$119,2,1)</f>
        <v>Cups Single</v>
      </c>
      <c r="E4657" t="str">
        <f>VLOOKUP(A4657,Panels!$A$1:$E$2104,5,0)</f>
        <v>Dalton portable</v>
      </c>
    </row>
    <row r="4658">
      <c r="A4658" s="3">
        <v>2036.0</v>
      </c>
      <c r="B4658" s="3">
        <v>13.0</v>
      </c>
      <c r="C4658" s="3">
        <v>1.0</v>
      </c>
      <c r="D4658" t="str">
        <f>VLOOKUP(B4658,ERA_MOTIF_TYPES.csv!$A$1:$C$119,2,1)</f>
        <v>Single Ring + cup</v>
      </c>
      <c r="E4658" t="str">
        <f>VLOOKUP(A4658,Panels!$A$1:$E$2104,5,0)</f>
        <v>Dalton portable</v>
      </c>
    </row>
    <row r="4659">
      <c r="A4659" s="3">
        <v>2036.0</v>
      </c>
      <c r="B4659" s="3">
        <v>14.0</v>
      </c>
      <c r="C4659" s="3">
        <v>2.0</v>
      </c>
      <c r="D4659" t="str">
        <f>VLOOKUP(B4659,ERA_MOTIF_TYPES.csv!$A$1:$C$119,2,1)</f>
        <v>Multi Ring + cup</v>
      </c>
      <c r="E4659" t="str">
        <f>VLOOKUP(A4659,Panels!$A$1:$E$2104,5,0)</f>
        <v>Dalton portable</v>
      </c>
    </row>
    <row r="4660">
      <c r="A4660" s="3">
        <v>2036.0</v>
      </c>
      <c r="B4660" s="3">
        <v>33.0</v>
      </c>
      <c r="C4660" s="3">
        <v>1.0</v>
      </c>
      <c r="D4660" t="str">
        <f>VLOOKUP(B4660,ERA_MOTIF_TYPES.csv!$A$1:$C$119,2,1)</f>
        <v>Cup Groove and multi ring</v>
      </c>
      <c r="E4660" t="str">
        <f>VLOOKUP(A4660,Panels!$A$1:$E$2104,5,0)</f>
        <v>Dalton portable</v>
      </c>
    </row>
    <row r="4661">
      <c r="A4661" s="3">
        <v>2037.0</v>
      </c>
      <c r="B4661" s="3">
        <v>31.0</v>
      </c>
      <c r="C4661" s="3">
        <v>1.0</v>
      </c>
      <c r="D4661" t="str">
        <f>VLOOKUP(B4661,ERA_MOTIF_TYPES.csv!$A$1:$C$119,2,1)</f>
        <v>Cup and Groove</v>
      </c>
      <c r="E4661" t="str">
        <f>VLOOKUP(A4661,Panels!$A$1:$E$2104,5,0)</f>
        <v>The Dalton Stone</v>
      </c>
    </row>
    <row r="4662">
      <c r="A4662" s="3">
        <v>2037.0</v>
      </c>
      <c r="B4662" s="3">
        <v>33.0</v>
      </c>
      <c r="C4662" s="3">
        <v>1.0</v>
      </c>
      <c r="D4662" t="str">
        <f>VLOOKUP(B4662,ERA_MOTIF_TYPES.csv!$A$1:$C$119,2,1)</f>
        <v>Cup Groove and multi ring</v>
      </c>
      <c r="E4662" t="str">
        <f>VLOOKUP(A4662,Panels!$A$1:$E$2104,5,0)</f>
        <v>The Dalton Stone</v>
      </c>
    </row>
    <row r="4663">
      <c r="A4663" s="3">
        <v>2038.0</v>
      </c>
      <c r="B4663" s="3">
        <v>1.0</v>
      </c>
      <c r="C4663" s="3">
        <v>6.0</v>
      </c>
      <c r="D4663" t="str">
        <f>VLOOKUP(B4663,ERA_MOTIF_TYPES.csv!$A$1:$C$119,2,1)</f>
        <v>Cups Single</v>
      </c>
      <c r="E4663" t="str">
        <f>VLOOKUP(A4663,Panels!$A$1:$E$2104,5,0)</f>
        <v>Dalton portable</v>
      </c>
    </row>
    <row r="4664">
      <c r="A4664" s="3">
        <v>2039.0</v>
      </c>
      <c r="B4664" s="3">
        <v>2.0</v>
      </c>
      <c r="C4664" s="3">
        <v>1.0</v>
      </c>
      <c r="D4664" t="str">
        <f>VLOOKUP(B4664,ERA_MOTIF_TYPES.csv!$A$1:$C$119,2,1)</f>
        <v>Random Cluster</v>
      </c>
      <c r="E4664" t="str">
        <f>VLOOKUP(A4664,Panels!$A$1:$E$2104,5,0)</f>
        <v>Slab from Gayles Moor</v>
      </c>
    </row>
    <row r="4665">
      <c r="A4665" s="3">
        <v>2039.0</v>
      </c>
      <c r="B4665" s="3">
        <v>4.0</v>
      </c>
      <c r="C4665" s="3">
        <v>1.0</v>
      </c>
      <c r="D4665" t="str">
        <f>VLOOKUP(B4665,ERA_MOTIF_TYPES.csv!$A$1:$C$119,2,1)</f>
        <v>Counter-sunk</v>
      </c>
      <c r="E4665" t="str">
        <f>VLOOKUP(A4665,Panels!$A$1:$E$2104,5,0)</f>
        <v>Slab from Gayles Moor</v>
      </c>
    </row>
    <row r="4666">
      <c r="A4666" s="3">
        <v>2040.0</v>
      </c>
      <c r="B4666" s="3">
        <v>1.0</v>
      </c>
      <c r="C4666" s="3">
        <v>11.0</v>
      </c>
      <c r="D4666" t="str">
        <f>VLOOKUP(B4666,ERA_MOTIF_TYPES.csv!$A$1:$C$119,2,1)</f>
        <v>Cups Single</v>
      </c>
      <c r="E4666" t="str">
        <f>VLOOKUP(A4666,Panels!$A$1:$E$2104,5,0)</f>
        <v>The Ryton Stone</v>
      </c>
    </row>
    <row r="4667">
      <c r="A4667" s="3">
        <v>2040.0</v>
      </c>
      <c r="B4667" s="3">
        <v>31.0</v>
      </c>
      <c r="C4667" s="3">
        <v>1.0</v>
      </c>
      <c r="D4667" t="str">
        <f>VLOOKUP(B4667,ERA_MOTIF_TYPES.csv!$A$1:$C$119,2,1)</f>
        <v>Cup and Groove</v>
      </c>
      <c r="E4667" t="str">
        <f>VLOOKUP(A4667,Panels!$A$1:$E$2104,5,0)</f>
        <v>The Ryton Stone</v>
      </c>
    </row>
    <row r="4668">
      <c r="A4668" s="3">
        <v>2046.0</v>
      </c>
      <c r="B4668" s="3">
        <v>52.0</v>
      </c>
      <c r="C4668" s="3">
        <v>5.0</v>
      </c>
      <c r="D4668" t="str">
        <f>VLOOKUP(B4668,ERA_MOTIF_TYPES.csv!$A$1:$C$119,2,1)</f>
        <v>Single or multiple cups</v>
      </c>
      <c r="E4668" t="str">
        <f>VLOOKUP(A4668,Panels!$A$1:$E$2104,5,0)</f>
        <v>Hartleyburn Common</v>
      </c>
    </row>
    <row r="4669">
      <c r="A4669" s="3">
        <v>2046.0</v>
      </c>
      <c r="B4669" s="3">
        <v>55.0</v>
      </c>
      <c r="C4669" s="3">
        <v>1.0</v>
      </c>
      <c r="D4669" t="str">
        <f>VLOOKUP(B4669,ERA_MOTIF_TYPES.csv!$A$1:$C$119,2,1)</f>
        <v>Cups in a straight or curved line</v>
      </c>
      <c r="E4669" t="str">
        <f>VLOOKUP(A4669,Panels!$A$1:$E$2104,5,0)</f>
        <v>Hartleyburn Common</v>
      </c>
    </row>
    <row r="4670">
      <c r="A4670" s="3">
        <v>2048.0</v>
      </c>
      <c r="B4670" s="3">
        <v>52.0</v>
      </c>
      <c r="C4670" s="3">
        <v>1.0</v>
      </c>
      <c r="D4670" t="str">
        <f>VLOOKUP(B4670,ERA_MOTIF_TYPES.csv!$A$1:$C$119,2,1)</f>
        <v>Single or multiple cups</v>
      </c>
      <c r="E4670" t="str">
        <f>VLOOKUP(A4670,Panels!$A$1:$E$2104,5,0)</f>
        <v>Fowberry Mains/Fowberry Park</v>
      </c>
    </row>
    <row r="4671">
      <c r="A4671" s="3">
        <v>2048.0</v>
      </c>
      <c r="B4671" s="3">
        <v>103.0</v>
      </c>
      <c r="C4671" s="3">
        <v>2.0</v>
      </c>
      <c r="D4671" t="str">
        <f>VLOOKUP(B4671,ERA_MOTIF_TYPES.csv!$A$1:$C$119,2,1)</f>
        <v>Cup and groove</v>
      </c>
      <c r="E4671" t="str">
        <f>VLOOKUP(A4671,Panels!$A$1:$E$2104,5,0)</f>
        <v>Fowberry Mains/Fowberry Park</v>
      </c>
    </row>
    <row r="4672">
      <c r="A4672" s="3">
        <v>2056.0</v>
      </c>
      <c r="B4672" s="3">
        <v>52.0</v>
      </c>
      <c r="C4672" s="3">
        <v>4.0</v>
      </c>
      <c r="D4672" t="str">
        <f>VLOOKUP(B4672,ERA_MOTIF_TYPES.csv!$A$1:$C$119,2,1)</f>
        <v>Single or multiple cups</v>
      </c>
      <c r="E4672" t="str">
        <f>VLOOKUP(A4672,Panels!$A$1:$E$2104,5,0)</f>
        <v>Whitton Burn</v>
      </c>
    </row>
    <row r="4673">
      <c r="A4673" s="3">
        <v>2060.0</v>
      </c>
      <c r="B4673" s="3">
        <v>1.0</v>
      </c>
      <c r="C4673" s="3">
        <v>6.0</v>
      </c>
      <c r="D4673" t="str">
        <f>VLOOKUP(B4673,ERA_MOTIF_TYPES.csv!$A$1:$C$119,2,1)</f>
        <v>Cups Single</v>
      </c>
      <c r="E4673" t="str">
        <f>VLOOKUP(A4673,Panels!$A$1:$E$2104,5,0)</f>
        <v>Bolam</v>
      </c>
    </row>
    <row r="4674">
      <c r="A4674" s="3">
        <v>2160.0</v>
      </c>
      <c r="B4674" s="3">
        <v>1.0</v>
      </c>
      <c r="C4674" s="3">
        <v>3.0</v>
      </c>
      <c r="D4674" t="str">
        <f>VLOOKUP(B4674,ERA_MOTIF_TYPES.csv!$A$1:$C$119,2,1)</f>
        <v>Cups Single</v>
      </c>
      <c r="E4674" t="str">
        <f>VLOOKUP(A4674,Panels!$A$1:$E$2104,5,0)</f>
        <v>Barningham Moor</v>
      </c>
    </row>
    <row r="4675">
      <c r="A4675" s="3">
        <v>2183.0</v>
      </c>
      <c r="B4675" s="3">
        <v>1.0</v>
      </c>
      <c r="C4675" s="3">
        <v>1.0</v>
      </c>
      <c r="D4675" t="str">
        <f>VLOOKUP(B4675,ERA_MOTIF_TYPES.csv!$A$1:$C$119,2,1)</f>
        <v>Cups Single</v>
      </c>
      <c r="E4675" t="str">
        <f>VLOOKUP(A4675,Panels!$A$1:$E$2104,5,0)</f>
        <v>Weetwood Bridge portable</v>
      </c>
    </row>
    <row r="4676">
      <c r="A4676" s="3">
        <v>2200.0</v>
      </c>
      <c r="B4676" s="3">
        <v>1.0</v>
      </c>
      <c r="C4676" s="3">
        <v>8.0</v>
      </c>
      <c r="D4676" t="str">
        <f>VLOOKUP(B4676,ERA_MOTIF_TYPES.csv!$A$1:$C$119,2,1)</f>
        <v>Cups Single</v>
      </c>
      <c r="E4676" t="str">
        <f>VLOOKUP(A4676,Panels!$A$1:$E$2104,5,0)</f>
        <v>Barningham Moor</v>
      </c>
    </row>
    <row r="4677">
      <c r="A4677" s="3">
        <v>2201.0</v>
      </c>
      <c r="B4677" s="3">
        <v>1.0</v>
      </c>
      <c r="C4677" s="3">
        <v>7.0</v>
      </c>
      <c r="D4677" t="str">
        <f>VLOOKUP(B4677,ERA_MOTIF_TYPES.csv!$A$1:$C$119,2,1)</f>
        <v>Cups Single</v>
      </c>
      <c r="E4677" t="str">
        <f>VLOOKUP(A4677,Panels!$A$1:$E$2104,5,0)</f>
        <v>Barningham Moor</v>
      </c>
    </row>
    <row r="4678">
      <c r="A4678" s="3">
        <v>2202.0</v>
      </c>
      <c r="B4678" s="3">
        <v>1.0</v>
      </c>
      <c r="C4678" s="3">
        <v>7.0</v>
      </c>
      <c r="D4678" t="str">
        <f>VLOOKUP(B4678,ERA_MOTIF_TYPES.csv!$A$1:$C$119,2,1)</f>
        <v>Cups Single</v>
      </c>
      <c r="E4678" t="str">
        <f>VLOOKUP(A4678,Panels!$A$1:$E$2104,5,0)</f>
        <v>Barningham Moor</v>
      </c>
    </row>
    <row r="4679">
      <c r="A4679" s="3">
        <v>2203.0</v>
      </c>
      <c r="B4679" s="3">
        <v>1.0</v>
      </c>
      <c r="C4679" s="3">
        <v>7.0</v>
      </c>
      <c r="D4679" t="str">
        <f>VLOOKUP(B4679,ERA_MOTIF_TYPES.csv!$A$1:$C$119,2,1)</f>
        <v>Cups Single</v>
      </c>
      <c r="E4679" t="str">
        <f>VLOOKUP(A4679,Panels!$A$1:$E$2104,5,0)</f>
        <v>Barningham Moor</v>
      </c>
    </row>
    <row r="4680">
      <c r="A4680" s="3">
        <v>2204.0</v>
      </c>
      <c r="B4680" s="3">
        <v>1.0</v>
      </c>
      <c r="C4680" s="3">
        <v>8.0</v>
      </c>
      <c r="D4680" t="str">
        <f>VLOOKUP(B4680,ERA_MOTIF_TYPES.csv!$A$1:$C$119,2,1)</f>
        <v>Cups Single</v>
      </c>
      <c r="E4680" t="str">
        <f>VLOOKUP(A4680,Panels!$A$1:$E$2104,5,0)</f>
        <v>Barningham Moor</v>
      </c>
    </row>
    <row r="4681">
      <c r="A4681" s="3">
        <v>2220.0</v>
      </c>
      <c r="B4681" s="3">
        <v>1.0</v>
      </c>
      <c r="C4681" s="3">
        <v>5.0</v>
      </c>
      <c r="D4681" t="str">
        <f>VLOOKUP(B4681,ERA_MOTIF_TYPES.csv!$A$1:$C$119,2,1)</f>
        <v>Cups Single</v>
      </c>
      <c r="E4681" t="str">
        <f>VLOOKUP(A4681,Panels!$A$1:$E$2104,5,0)</f>
        <v>Buttony</v>
      </c>
    </row>
    <row r="4682">
      <c r="A4682" s="3">
        <v>2220.0</v>
      </c>
      <c r="B4682" s="3">
        <v>4.0</v>
      </c>
      <c r="C4682" s="3">
        <v>1.0</v>
      </c>
      <c r="D4682" t="str">
        <f>VLOOKUP(B4682,ERA_MOTIF_TYPES.csv!$A$1:$C$119,2,1)</f>
        <v>Counter-sunk</v>
      </c>
      <c r="E4682" t="str">
        <f>VLOOKUP(A4682,Panels!$A$1:$E$2104,5,0)</f>
        <v>Buttony</v>
      </c>
    </row>
    <row r="4683">
      <c r="A4683" s="3">
        <v>2220.0</v>
      </c>
      <c r="B4683" s="3">
        <v>13.0</v>
      </c>
      <c r="C4683" s="3">
        <v>1.0</v>
      </c>
      <c r="D4683" t="str">
        <f>VLOOKUP(B4683,ERA_MOTIF_TYPES.csv!$A$1:$C$119,2,1)</f>
        <v>Single Ring + cup</v>
      </c>
      <c r="E4683" t="str">
        <f>VLOOKUP(A4683,Panels!$A$1:$E$2104,5,0)</f>
        <v>Buttony</v>
      </c>
    </row>
    <row r="4684">
      <c r="A4684" s="3">
        <v>2220.0</v>
      </c>
      <c r="B4684" s="3">
        <v>33.0</v>
      </c>
      <c r="C4684" s="3">
        <v>1.0</v>
      </c>
      <c r="D4684" t="str">
        <f>VLOOKUP(B4684,ERA_MOTIF_TYPES.csv!$A$1:$C$119,2,1)</f>
        <v>Cup Groove and multi ring</v>
      </c>
      <c r="E4684" t="str">
        <f>VLOOKUP(A4684,Panels!$A$1:$E$2104,5,0)</f>
        <v>Buttony</v>
      </c>
    </row>
    <row r="4685">
      <c r="A4685" s="3">
        <v>2220.0</v>
      </c>
      <c r="B4685" s="3">
        <v>17.0</v>
      </c>
      <c r="C4685" s="3">
        <v>2.0</v>
      </c>
      <c r="D4685" t="str">
        <f>VLOOKUP(B4685,ERA_MOTIF_TYPES.csv!$A$1:$C$119,2,1)</f>
        <v>Single Penannular + cup</v>
      </c>
      <c r="E4685" t="str">
        <f>VLOOKUP(A4685,Panels!$A$1:$E$2104,5,0)</f>
        <v>Buttony</v>
      </c>
    </row>
    <row r="4686">
      <c r="A4686" s="3">
        <v>2220.0</v>
      </c>
      <c r="B4686" s="3">
        <v>31.0</v>
      </c>
      <c r="C4686" s="3">
        <v>1.0</v>
      </c>
      <c r="D4686" t="str">
        <f>VLOOKUP(B4686,ERA_MOTIF_TYPES.csv!$A$1:$C$119,2,1)</f>
        <v>Cup and Groove</v>
      </c>
      <c r="E4686" t="str">
        <f>VLOOKUP(A4686,Panels!$A$1:$E$2104,5,0)</f>
        <v>Buttony</v>
      </c>
    </row>
    <row r="4687">
      <c r="A4687" s="3">
        <v>2220.0</v>
      </c>
      <c r="B4687" s="3">
        <v>35.0</v>
      </c>
      <c r="C4687" s="3">
        <v>1.0</v>
      </c>
      <c r="D4687" t="str">
        <f>VLOOKUP(B4687,ERA_MOTIF_TYPES.csv!$A$1:$C$119,2,1)</f>
        <v>Cup Groove and multi penannular</v>
      </c>
      <c r="E4687" t="str">
        <f>VLOOKUP(A4687,Panels!$A$1:$E$2104,5,0)</f>
        <v>Buttony</v>
      </c>
    </row>
    <row r="4688">
      <c r="A4688" s="3">
        <v>2220.0</v>
      </c>
      <c r="B4688" s="3">
        <v>36.0</v>
      </c>
      <c r="C4688" s="3">
        <v>1.0</v>
      </c>
      <c r="D4688" t="str">
        <f>VLOOKUP(B4688,ERA_MOTIF_TYPES.csv!$A$1:$C$119,2,1)</f>
        <v>Cup Groove and arc</v>
      </c>
      <c r="E4688" t="str">
        <f>VLOOKUP(A4688,Panels!$A$1:$E$2104,5,0)</f>
        <v>Buttony</v>
      </c>
    </row>
    <row r="4689">
      <c r="A4689" s="3">
        <v>2221.0</v>
      </c>
      <c r="B4689" s="3">
        <v>33.0</v>
      </c>
      <c r="C4689" s="3">
        <v>1.0</v>
      </c>
      <c r="D4689" t="str">
        <f>VLOOKUP(B4689,ERA_MOTIF_TYPES.csv!$A$1:$C$119,2,1)</f>
        <v>Cup Groove and multi ring</v>
      </c>
      <c r="E4689" t="str">
        <f>VLOOKUP(A4689,Panels!$A$1:$E$2104,5,0)</f>
        <v>West Horton</v>
      </c>
    </row>
    <row r="4690">
      <c r="A4690" s="3">
        <v>2221.0</v>
      </c>
      <c r="B4690" s="3">
        <v>1.0</v>
      </c>
      <c r="C4690" s="3">
        <v>6.0</v>
      </c>
      <c r="D4690" t="str">
        <f>VLOOKUP(B4690,ERA_MOTIF_TYPES.csv!$A$1:$C$119,2,1)</f>
        <v>Cups Single</v>
      </c>
      <c r="E4690" t="str">
        <f>VLOOKUP(A4690,Panels!$A$1:$E$2104,5,0)</f>
        <v>West Horton</v>
      </c>
    </row>
    <row r="4691">
      <c r="A4691" s="3">
        <v>2221.0</v>
      </c>
      <c r="B4691" s="3">
        <v>18.0</v>
      </c>
      <c r="C4691" s="3">
        <v>2.0</v>
      </c>
      <c r="D4691" t="str">
        <f>VLOOKUP(B4691,ERA_MOTIF_TYPES.csv!$A$1:$C$119,2,1)</f>
        <v>Multi Arc + cup</v>
      </c>
      <c r="E4691" t="str">
        <f>VLOOKUP(A4691,Panels!$A$1:$E$2104,5,0)</f>
        <v>West Horton</v>
      </c>
    </row>
    <row r="4692">
      <c r="A4692" s="3">
        <v>2221.0</v>
      </c>
      <c r="B4692" s="3">
        <v>35.0</v>
      </c>
      <c r="C4692" s="3">
        <v>3.0</v>
      </c>
      <c r="D4692" t="str">
        <f>VLOOKUP(B4692,ERA_MOTIF_TYPES.csv!$A$1:$C$119,2,1)</f>
        <v>Cup Groove and multi penannular</v>
      </c>
      <c r="E4692" t="str">
        <f>VLOOKUP(A4692,Panels!$A$1:$E$2104,5,0)</f>
        <v>West Horton</v>
      </c>
    </row>
    <row r="4693">
      <c r="A4693" s="3">
        <v>2221.0</v>
      </c>
      <c r="B4693" s="3">
        <v>32.0</v>
      </c>
      <c r="C4693" s="3">
        <v>1.0</v>
      </c>
      <c r="D4693" t="str">
        <f>VLOOKUP(B4693,ERA_MOTIF_TYPES.csv!$A$1:$C$119,2,1)</f>
        <v>Cup Groove and single ring</v>
      </c>
      <c r="E4693" t="str">
        <f>VLOOKUP(A4693,Panels!$A$1:$E$2104,5,0)</f>
        <v>West Horton</v>
      </c>
    </row>
    <row r="4694">
      <c r="A4694" s="3">
        <v>2221.0</v>
      </c>
      <c r="B4694" s="3">
        <v>13.0</v>
      </c>
      <c r="C4694" s="3">
        <v>1.0</v>
      </c>
      <c r="D4694" t="str">
        <f>VLOOKUP(B4694,ERA_MOTIF_TYPES.csv!$A$1:$C$119,2,1)</f>
        <v>Single Ring + cup</v>
      </c>
      <c r="E4694" t="str">
        <f>VLOOKUP(A4694,Panels!$A$1:$E$2104,5,0)</f>
        <v>West Horton</v>
      </c>
    </row>
    <row r="4695">
      <c r="A4695" s="3">
        <v>2221.0</v>
      </c>
      <c r="B4695" s="3">
        <v>16.0</v>
      </c>
      <c r="C4695" s="3">
        <v>6.0</v>
      </c>
      <c r="D4695" t="str">
        <f>VLOOKUP(B4695,ERA_MOTIF_TYPES.csv!$A$1:$C$119,2,1)</f>
        <v>Single Arc + cup</v>
      </c>
      <c r="E4695" t="str">
        <f>VLOOKUP(A4695,Panels!$A$1:$E$2104,5,0)</f>
        <v>West Horton</v>
      </c>
    </row>
    <row r="4696">
      <c r="A4696" s="3">
        <v>2245.0</v>
      </c>
      <c r="B4696" s="3">
        <v>1.0</v>
      </c>
      <c r="C4696" s="3">
        <v>3.0</v>
      </c>
      <c r="D4696" t="str">
        <f>VLOOKUP(B4696,ERA_MOTIF_TYPES.csv!$A$1:$C$119,2,1)</f>
        <v>Cups Single</v>
      </c>
      <c r="E4696" t="str">
        <f>VLOOKUP(A4696,Panels!$A$1:$E$2104,5,0)</f>
        <v>Black Pots</v>
      </c>
    </row>
    <row r="4697">
      <c r="A4697" s="3">
        <v>2246.0</v>
      </c>
      <c r="B4697" s="3">
        <v>1.0</v>
      </c>
      <c r="C4697" s="3">
        <v>2.0</v>
      </c>
      <c r="D4697" t="str">
        <f>VLOOKUP(B4697,ERA_MOTIF_TYPES.csv!$A$1:$C$119,2,1)</f>
        <v>Cups Single</v>
      </c>
      <c r="E4697" t="str">
        <f>VLOOKUP(A4697,Panels!$A$1:$E$2104,5,0)</f>
        <v>Black Pots</v>
      </c>
    </row>
    <row r="4698">
      <c r="A4698" s="3">
        <v>2246.0</v>
      </c>
      <c r="B4698" s="3">
        <v>13.0</v>
      </c>
      <c r="C4698" s="3">
        <v>1.0</v>
      </c>
      <c r="D4698" t="str">
        <f>VLOOKUP(B4698,ERA_MOTIF_TYPES.csv!$A$1:$C$119,2,1)</f>
        <v>Single Ring + cup</v>
      </c>
      <c r="E4698" t="str">
        <f>VLOOKUP(A4698,Panels!$A$1:$E$2104,5,0)</f>
        <v>Black Pots</v>
      </c>
    </row>
    <row r="4699">
      <c r="A4699" s="3">
        <v>2246.0</v>
      </c>
      <c r="B4699" s="3">
        <v>46.0</v>
      </c>
      <c r="C4699" s="3">
        <v>1.0</v>
      </c>
      <c r="D4699" t="str">
        <f>VLOOKUP(B4699,ERA_MOTIF_TYPES.csv!$A$1:$C$119,2,1)</f>
        <v>Groove and cups</v>
      </c>
      <c r="E4699" t="str">
        <f>VLOOKUP(A4699,Panels!$A$1:$E$2104,5,0)</f>
        <v>Black Pots</v>
      </c>
    </row>
    <row r="4700">
      <c r="A4700" s="3">
        <v>2247.0</v>
      </c>
      <c r="B4700" s="3">
        <v>13.0</v>
      </c>
      <c r="C4700" s="3">
        <v>1.0</v>
      </c>
      <c r="D4700" t="str">
        <f>VLOOKUP(B4700,ERA_MOTIF_TYPES.csv!$A$1:$C$119,2,1)</f>
        <v>Single Ring + cup</v>
      </c>
      <c r="E4700" t="str">
        <f>VLOOKUP(A4700,Panels!$A$1:$E$2104,5,0)</f>
        <v>Doubler Stones Allotment</v>
      </c>
    </row>
    <row r="4701">
      <c r="A4701" s="3">
        <v>2247.0</v>
      </c>
      <c r="B4701" s="3">
        <v>18.0</v>
      </c>
      <c r="C4701" s="3">
        <v>1.0</v>
      </c>
      <c r="D4701" t="str">
        <f>VLOOKUP(B4701,ERA_MOTIF_TYPES.csv!$A$1:$C$119,2,1)</f>
        <v>Multi Arc + cup</v>
      </c>
      <c r="E4701" t="str">
        <f>VLOOKUP(A4701,Panels!$A$1:$E$2104,5,0)</f>
        <v>Doubler Stones Allotment</v>
      </c>
    </row>
    <row r="4702">
      <c r="A4702" s="3">
        <v>2247.0</v>
      </c>
      <c r="B4702" s="3">
        <v>32.0</v>
      </c>
      <c r="C4702" s="3">
        <v>1.0</v>
      </c>
      <c r="D4702" t="str">
        <f>VLOOKUP(B4702,ERA_MOTIF_TYPES.csv!$A$1:$C$119,2,1)</f>
        <v>Cup Groove and single ring</v>
      </c>
      <c r="E4702" t="str">
        <f>VLOOKUP(A4702,Panels!$A$1:$E$2104,5,0)</f>
        <v>Doubler Stones Allotment</v>
      </c>
    </row>
    <row r="4703">
      <c r="A4703" s="3">
        <v>2248.0</v>
      </c>
      <c r="B4703" s="3">
        <v>1.0</v>
      </c>
      <c r="C4703" s="3">
        <v>1.0</v>
      </c>
      <c r="D4703" t="str">
        <f>VLOOKUP(B4703,ERA_MOTIF_TYPES.csv!$A$1:$C$119,2,1)</f>
        <v>Cups Single</v>
      </c>
      <c r="E4703" t="str">
        <f>VLOOKUP(A4703,Panels!$A$1:$E$2104,5,0)</f>
        <v>Doubler Stones Allotment</v>
      </c>
    </row>
    <row r="4704">
      <c r="A4704" s="3">
        <v>2248.0</v>
      </c>
      <c r="B4704" s="3">
        <v>13.0</v>
      </c>
      <c r="C4704" s="3">
        <v>4.0</v>
      </c>
      <c r="D4704" t="str">
        <f>VLOOKUP(B4704,ERA_MOTIF_TYPES.csv!$A$1:$C$119,2,1)</f>
        <v>Single Ring + cup</v>
      </c>
      <c r="E4704" t="str">
        <f>VLOOKUP(A4704,Panels!$A$1:$E$2104,5,0)</f>
        <v>Doubler Stones Allotment</v>
      </c>
    </row>
    <row r="4705">
      <c r="A4705" s="3">
        <v>2248.0</v>
      </c>
      <c r="B4705" s="3">
        <v>14.0</v>
      </c>
      <c r="C4705" s="3">
        <v>1.0</v>
      </c>
      <c r="D4705" t="str">
        <f>VLOOKUP(B4705,ERA_MOTIF_TYPES.csv!$A$1:$C$119,2,1)</f>
        <v>Multi Ring + cup</v>
      </c>
      <c r="E4705" t="str">
        <f>VLOOKUP(A4705,Panels!$A$1:$E$2104,5,0)</f>
        <v>Doubler Stones Allotment</v>
      </c>
    </row>
    <row r="4706">
      <c r="A4706" s="3">
        <v>2248.0</v>
      </c>
      <c r="B4706" s="3">
        <v>27.0</v>
      </c>
      <c r="C4706" s="3">
        <v>1.0</v>
      </c>
      <c r="D4706" t="str">
        <f>VLOOKUP(B4706,ERA_MOTIF_TYPES.csv!$A$1:$C$119,2,1)</f>
        <v>Serpentine</v>
      </c>
      <c r="E4706" t="str">
        <f>VLOOKUP(A4706,Panels!$A$1:$E$2104,5,0)</f>
        <v>Doubler Stones Allotment</v>
      </c>
    </row>
    <row r="4707">
      <c r="A4707" s="3">
        <v>2249.0</v>
      </c>
      <c r="B4707" s="3">
        <v>1.0</v>
      </c>
      <c r="C4707" s="3">
        <v>5.0</v>
      </c>
      <c r="D4707" t="str">
        <f>VLOOKUP(B4707,ERA_MOTIF_TYPES.csv!$A$1:$C$119,2,1)</f>
        <v>Cups Single</v>
      </c>
      <c r="E4707" t="str">
        <f>VLOOKUP(A4707,Panels!$A$1:$E$2104,5,0)</f>
        <v>Swastika Stone</v>
      </c>
    </row>
    <row r="4708">
      <c r="A4708" s="3">
        <v>2250.0</v>
      </c>
      <c r="B4708" s="3">
        <v>13.0</v>
      </c>
      <c r="C4708" s="3">
        <v>1.0</v>
      </c>
      <c r="D4708" t="str">
        <f>VLOOKUP(B4708,ERA_MOTIF_TYPES.csv!$A$1:$C$119,2,1)</f>
        <v>Single Ring + cup</v>
      </c>
      <c r="E4708" t="str">
        <f>VLOOKUP(A4708,Panels!$A$1:$E$2104,5,0)</f>
        <v>Woodhouse Crag</v>
      </c>
    </row>
    <row r="4709">
      <c r="A4709" s="3">
        <v>2251.0</v>
      </c>
      <c r="B4709" s="3">
        <v>1.0</v>
      </c>
      <c r="C4709" s="3">
        <v>1.0</v>
      </c>
      <c r="D4709" t="str">
        <f>VLOOKUP(B4709,ERA_MOTIF_TYPES.csv!$A$1:$C$119,2,1)</f>
        <v>Cups Single</v>
      </c>
      <c r="E4709" t="str">
        <f>VLOOKUP(A4709,Panels!$A$1:$E$2104,5,0)</f>
        <v>Woodhouse Crag</v>
      </c>
    </row>
    <row r="4710">
      <c r="A4710" s="3">
        <v>2252.0</v>
      </c>
      <c r="B4710" s="3">
        <v>1.0</v>
      </c>
      <c r="C4710" s="3">
        <v>9.0</v>
      </c>
      <c r="D4710" t="str">
        <f>VLOOKUP(B4710,ERA_MOTIF_TYPES.csv!$A$1:$C$119,2,1)</f>
        <v>Cups Single</v>
      </c>
      <c r="E4710" t="str">
        <f>VLOOKUP(A4710,Panels!$A$1:$E$2104,5,0)</f>
        <v>Woodhouse Crag</v>
      </c>
    </row>
    <row r="4711">
      <c r="A4711" s="3">
        <v>2253.0</v>
      </c>
      <c r="B4711" s="3">
        <v>13.0</v>
      </c>
      <c r="C4711" s="1"/>
      <c r="D4711" t="str">
        <f>VLOOKUP(B4711,ERA_MOTIF_TYPES.csv!$A$1:$C$119,2,1)</f>
        <v>Single Ring + cup</v>
      </c>
      <c r="E4711" t="str">
        <f>VLOOKUP(A4711,Panels!$A$1:$E$2104,5,0)</f>
        <v>Woodhouse Crag</v>
      </c>
    </row>
    <row r="4712">
      <c r="A4712" s="3">
        <v>2253.0</v>
      </c>
      <c r="B4712" s="3">
        <v>16.0</v>
      </c>
      <c r="C4712" s="3">
        <v>2.0</v>
      </c>
      <c r="D4712" t="str">
        <f>VLOOKUP(B4712,ERA_MOTIF_TYPES.csv!$A$1:$C$119,2,1)</f>
        <v>Single Arc + cup</v>
      </c>
      <c r="E4712" t="str">
        <f>VLOOKUP(A4712,Panels!$A$1:$E$2104,5,0)</f>
        <v>Woodhouse Crag</v>
      </c>
    </row>
    <row r="4713">
      <c r="A4713" s="3">
        <v>2254.0</v>
      </c>
      <c r="B4713" s="3">
        <v>1.0</v>
      </c>
      <c r="C4713" s="3">
        <v>5.0</v>
      </c>
      <c r="D4713" t="str">
        <f>VLOOKUP(B4713,ERA_MOTIF_TYPES.csv!$A$1:$C$119,2,1)</f>
        <v>Cups Single</v>
      </c>
      <c r="E4713" t="str">
        <f>VLOOKUP(A4713,Panels!$A$1:$E$2104,5,0)</f>
        <v>High Crag</v>
      </c>
    </row>
    <row r="4714">
      <c r="A4714" s="3">
        <v>2254.0</v>
      </c>
      <c r="B4714" s="3">
        <v>16.0</v>
      </c>
      <c r="C4714" s="3">
        <v>1.0</v>
      </c>
      <c r="D4714" t="str">
        <f>VLOOKUP(B4714,ERA_MOTIF_TYPES.csv!$A$1:$C$119,2,1)</f>
        <v>Single Arc + cup</v>
      </c>
      <c r="E4714" t="str">
        <f>VLOOKUP(A4714,Panels!$A$1:$E$2104,5,0)</f>
        <v>High Crag</v>
      </c>
    </row>
    <row r="4715">
      <c r="A4715" s="3">
        <v>2255.0</v>
      </c>
      <c r="B4715" s="3">
        <v>1.0</v>
      </c>
      <c r="C4715" s="3">
        <v>21.0</v>
      </c>
      <c r="D4715" t="str">
        <f>VLOOKUP(B4715,ERA_MOTIF_TYPES.csv!$A$1:$C$119,2,1)</f>
        <v>Cups Single</v>
      </c>
      <c r="E4715" t="str">
        <f>VLOOKUP(A4715,Panels!$A$1:$E$2104,5,0)</f>
        <v>Piper's Crag</v>
      </c>
    </row>
    <row r="4716">
      <c r="A4716" s="3">
        <v>2255.0</v>
      </c>
      <c r="B4716" s="3">
        <v>13.0</v>
      </c>
      <c r="C4716" s="3">
        <v>1.0</v>
      </c>
      <c r="D4716" t="str">
        <f>VLOOKUP(B4716,ERA_MOTIF_TYPES.csv!$A$1:$C$119,2,1)</f>
        <v>Single Ring + cup</v>
      </c>
      <c r="E4716" t="str">
        <f>VLOOKUP(A4716,Panels!$A$1:$E$2104,5,0)</f>
        <v>Piper's Crag</v>
      </c>
    </row>
    <row r="4717">
      <c r="A4717" s="3">
        <v>2255.0</v>
      </c>
      <c r="B4717" s="3">
        <v>14.0</v>
      </c>
      <c r="C4717" s="3">
        <v>1.0</v>
      </c>
      <c r="D4717" t="str">
        <f>VLOOKUP(B4717,ERA_MOTIF_TYPES.csv!$A$1:$C$119,2,1)</f>
        <v>Multi Ring + cup</v>
      </c>
      <c r="E4717" t="str">
        <f>VLOOKUP(A4717,Panels!$A$1:$E$2104,5,0)</f>
        <v>Piper's Crag</v>
      </c>
    </row>
    <row r="4718">
      <c r="A4718" s="3">
        <v>2255.0</v>
      </c>
      <c r="B4718" s="3">
        <v>16.0</v>
      </c>
      <c r="C4718" s="3">
        <v>6.0</v>
      </c>
      <c r="D4718" t="str">
        <f>VLOOKUP(B4718,ERA_MOTIF_TYPES.csv!$A$1:$C$119,2,1)</f>
        <v>Single Arc + cup</v>
      </c>
      <c r="E4718" t="str">
        <f>VLOOKUP(A4718,Panels!$A$1:$E$2104,5,0)</f>
        <v>Piper's Crag</v>
      </c>
    </row>
    <row r="4719">
      <c r="A4719" s="3">
        <v>2255.0</v>
      </c>
      <c r="B4719" s="3">
        <v>25.0</v>
      </c>
      <c r="C4719" s="3">
        <v>3.0</v>
      </c>
      <c r="D4719" t="str">
        <f>VLOOKUP(B4719,ERA_MOTIF_TYPES.csv!$A$1:$C$119,2,1)</f>
        <v>Linear</v>
      </c>
      <c r="E4719" t="str">
        <f>VLOOKUP(A4719,Panels!$A$1:$E$2104,5,0)</f>
        <v>Piper's Crag</v>
      </c>
    </row>
    <row r="4720">
      <c r="A4720" s="3">
        <v>2255.0</v>
      </c>
      <c r="B4720" s="3">
        <v>33.0</v>
      </c>
      <c r="C4720" s="3">
        <v>1.0</v>
      </c>
      <c r="D4720" t="str">
        <f>VLOOKUP(B4720,ERA_MOTIF_TYPES.csv!$A$1:$C$119,2,1)</f>
        <v>Cup Groove and multi ring</v>
      </c>
      <c r="E4720" t="str">
        <f>VLOOKUP(A4720,Panels!$A$1:$E$2104,5,0)</f>
        <v>Piper's Crag</v>
      </c>
    </row>
    <row r="4721">
      <c r="A4721" s="3">
        <v>2256.0</v>
      </c>
      <c r="B4721" s="3">
        <v>1.0</v>
      </c>
      <c r="C4721" s="3">
        <v>1.0</v>
      </c>
      <c r="D4721" t="str">
        <f>VLOOKUP(B4721,ERA_MOTIF_TYPES.csv!$A$1:$C$119,2,1)</f>
        <v>Cups Single</v>
      </c>
      <c r="E4721" t="str">
        <f>VLOOKUP(A4721,Panels!$A$1:$E$2104,5,0)</f>
        <v>Piper's Crag</v>
      </c>
    </row>
    <row r="4722">
      <c r="A4722" s="3">
        <v>2257.0</v>
      </c>
      <c r="B4722" s="3">
        <v>1.0</v>
      </c>
      <c r="C4722" s="3">
        <v>2.0</v>
      </c>
      <c r="D4722" t="str">
        <f>VLOOKUP(B4722,ERA_MOTIF_TYPES.csv!$A$1:$C$119,2,1)</f>
        <v>Cups Single</v>
      </c>
      <c r="E4722" t="str">
        <f>VLOOKUP(A4722,Panels!$A$1:$E$2104,5,0)</f>
        <v>Piper's Crag</v>
      </c>
    </row>
    <row r="4723">
      <c r="A4723" s="3">
        <v>2258.0</v>
      </c>
      <c r="B4723" s="3">
        <v>13.0</v>
      </c>
      <c r="C4723" s="3">
        <v>1.0</v>
      </c>
      <c r="D4723" t="str">
        <f>VLOOKUP(B4723,ERA_MOTIF_TYPES.csv!$A$1:$C$119,2,1)</f>
        <v>Single Ring + cup</v>
      </c>
      <c r="E4723" t="str">
        <f>VLOOKUP(A4723,Panels!$A$1:$E$2104,5,0)</f>
        <v>Piper's Crag</v>
      </c>
    </row>
    <row r="4724">
      <c r="A4724" s="3">
        <v>2259.0</v>
      </c>
      <c r="B4724" s="3">
        <v>1.0</v>
      </c>
      <c r="C4724" s="3">
        <v>1.0</v>
      </c>
      <c r="D4724" t="str">
        <f>VLOOKUP(B4724,ERA_MOTIF_TYPES.csv!$A$1:$C$119,2,1)</f>
        <v>Cups Single</v>
      </c>
      <c r="E4724" t="str">
        <f>VLOOKUP(A4724,Panels!$A$1:$E$2104,5,0)</f>
        <v>Piper's Crag</v>
      </c>
    </row>
    <row r="4725">
      <c r="A4725" s="3">
        <v>2261.0</v>
      </c>
      <c r="B4725" s="3">
        <v>1.0</v>
      </c>
      <c r="C4725" s="3">
        <v>9.0</v>
      </c>
      <c r="D4725" t="str">
        <f>VLOOKUP(B4725,ERA_MOTIF_TYPES.csv!$A$1:$C$119,2,1)</f>
        <v>Cups Single</v>
      </c>
      <c r="E4725" t="str">
        <f>VLOOKUP(A4725,Panels!$A$1:$E$2104,5,0)</f>
        <v>Bradup</v>
      </c>
    </row>
    <row r="4726">
      <c r="A4726" s="3">
        <v>2261.0</v>
      </c>
      <c r="B4726" s="3">
        <v>31.0</v>
      </c>
      <c r="C4726" s="3">
        <v>1.0</v>
      </c>
      <c r="D4726" t="str">
        <f>VLOOKUP(B4726,ERA_MOTIF_TYPES.csv!$A$1:$C$119,2,1)</f>
        <v>Cup and Groove</v>
      </c>
      <c r="E4726" t="str">
        <f>VLOOKUP(A4726,Panels!$A$1:$E$2104,5,0)</f>
        <v>Bradup</v>
      </c>
    </row>
    <row r="4727">
      <c r="A4727" s="3">
        <v>2261.0</v>
      </c>
      <c r="B4727" s="3">
        <v>117.0</v>
      </c>
      <c r="C4727" s="3">
        <v>1.0</v>
      </c>
      <c r="D4727" t="str">
        <f>VLOOKUP(B4727,ERA_MOTIF_TYPES.csv!$A$1:$C$119,2,1)</f>
        <v>Dumb-bell</v>
      </c>
      <c r="E4727" t="str">
        <f>VLOOKUP(A4727,Panels!$A$1:$E$2104,5,0)</f>
        <v>Bradup</v>
      </c>
    </row>
    <row r="4728">
      <c r="A4728" s="3">
        <v>2262.0</v>
      </c>
      <c r="B4728" s="3">
        <v>13.0</v>
      </c>
      <c r="C4728" s="3">
        <v>1.0</v>
      </c>
      <c r="D4728" t="str">
        <f>VLOOKUP(B4728,ERA_MOTIF_TYPES.csv!$A$1:$C$119,2,1)</f>
        <v>Single Ring + cup</v>
      </c>
      <c r="E4728" t="str">
        <f>VLOOKUP(A4728,Panels!$A$1:$E$2104,5,0)</f>
        <v>Bucking Hill</v>
      </c>
    </row>
    <row r="4729">
      <c r="A4729" s="3">
        <v>2263.0</v>
      </c>
      <c r="B4729" s="3">
        <v>1.0</v>
      </c>
      <c r="C4729" s="3">
        <v>1.0</v>
      </c>
      <c r="D4729" t="str">
        <f>VLOOKUP(B4729,ERA_MOTIF_TYPES.csv!$A$1:$C$119,2,1)</f>
        <v>Cups Single</v>
      </c>
      <c r="E4729" t="str">
        <f>VLOOKUP(A4729,Panels!$A$1:$E$2104,5,0)</f>
        <v>Bucking Hill</v>
      </c>
    </row>
    <row r="4730">
      <c r="A4730" s="3">
        <v>2264.0</v>
      </c>
      <c r="B4730" s="3">
        <v>36.0</v>
      </c>
      <c r="C4730" s="3">
        <v>1.0</v>
      </c>
      <c r="D4730" t="str">
        <f>VLOOKUP(B4730,ERA_MOTIF_TYPES.csv!$A$1:$C$119,2,1)</f>
        <v>Cup Groove and arc</v>
      </c>
      <c r="E4730" t="str">
        <f>VLOOKUP(A4730,Panels!$A$1:$E$2104,5,0)</f>
        <v>Bucking Hill</v>
      </c>
    </row>
    <row r="4731">
      <c r="A4731" s="3">
        <v>2265.0</v>
      </c>
      <c r="B4731" s="3">
        <v>1.0</v>
      </c>
      <c r="C4731" s="3">
        <v>2.0</v>
      </c>
      <c r="D4731" t="str">
        <f>VLOOKUP(B4731,ERA_MOTIF_TYPES.csv!$A$1:$C$119,2,1)</f>
        <v>Cups Single</v>
      </c>
      <c r="E4731" t="str">
        <f>VLOOKUP(A4731,Panels!$A$1:$E$2104,5,0)</f>
        <v>Bucking Hill</v>
      </c>
    </row>
    <row r="4732">
      <c r="A4732" s="3">
        <v>2266.0</v>
      </c>
      <c r="B4732" s="3">
        <v>1.0</v>
      </c>
      <c r="C4732" s="3">
        <v>1.0</v>
      </c>
      <c r="D4732" t="str">
        <f>VLOOKUP(B4732,ERA_MOTIF_TYPES.csv!$A$1:$C$119,2,1)</f>
        <v>Cups Single</v>
      </c>
      <c r="E4732" t="str">
        <f>VLOOKUP(A4732,Panels!$A$1:$E$2104,5,0)</f>
        <v>Bucking Hill</v>
      </c>
    </row>
    <row r="4733">
      <c r="A4733" s="3">
        <v>2267.0</v>
      </c>
      <c r="B4733" s="3">
        <v>1.0</v>
      </c>
      <c r="C4733" s="3">
        <v>6.0</v>
      </c>
      <c r="D4733" t="str">
        <f>VLOOKUP(B4733,ERA_MOTIF_TYPES.csv!$A$1:$C$119,2,1)</f>
        <v>Cups Single</v>
      </c>
      <c r="E4733" t="str">
        <f>VLOOKUP(A4733,Panels!$A$1:$E$2104,5,0)</f>
        <v>High Carr</v>
      </c>
    </row>
    <row r="4734">
      <c r="A4734" s="3">
        <v>2267.0</v>
      </c>
      <c r="B4734" s="3">
        <v>2.0</v>
      </c>
      <c r="C4734" s="3">
        <v>1.0</v>
      </c>
      <c r="D4734" t="str">
        <f>VLOOKUP(B4734,ERA_MOTIF_TYPES.csv!$A$1:$C$119,2,1)</f>
        <v>Random Cluster</v>
      </c>
      <c r="E4734" t="str">
        <f>VLOOKUP(A4734,Panels!$A$1:$E$2104,5,0)</f>
        <v>High Carr</v>
      </c>
    </row>
    <row r="4735">
      <c r="A4735" s="3">
        <v>2267.0</v>
      </c>
      <c r="B4735" s="3">
        <v>31.0</v>
      </c>
      <c r="C4735" s="3">
        <v>1.0</v>
      </c>
      <c r="D4735" t="str">
        <f>VLOOKUP(B4735,ERA_MOTIF_TYPES.csv!$A$1:$C$119,2,1)</f>
        <v>Cup and Groove</v>
      </c>
      <c r="E4735" t="str">
        <f>VLOOKUP(A4735,Panels!$A$1:$E$2104,5,0)</f>
        <v>High Carr</v>
      </c>
    </row>
    <row r="4736">
      <c r="A4736" s="3">
        <v>2268.0</v>
      </c>
      <c r="B4736" s="3">
        <v>1.0</v>
      </c>
      <c r="C4736" s="3">
        <v>2.0</v>
      </c>
      <c r="D4736" t="str">
        <f>VLOOKUP(B4736,ERA_MOTIF_TYPES.csv!$A$1:$C$119,2,1)</f>
        <v>Cups Single</v>
      </c>
      <c r="E4736" t="str">
        <f>VLOOKUP(A4736,Panels!$A$1:$E$2104,5,0)</f>
        <v>High Carr</v>
      </c>
    </row>
    <row r="4737">
      <c r="A4737" s="3">
        <v>2269.0</v>
      </c>
      <c r="B4737" s="3">
        <v>1.0</v>
      </c>
      <c r="C4737" s="3">
        <v>11.0</v>
      </c>
      <c r="D4737" t="str">
        <f>VLOOKUP(B4737,ERA_MOTIF_TYPES.csv!$A$1:$C$119,2,1)</f>
        <v>Cups Single</v>
      </c>
      <c r="E4737" t="str">
        <f>VLOOKUP(A4737,Panels!$A$1:$E$2104,5,0)</f>
        <v>High Carr</v>
      </c>
    </row>
    <row r="4738">
      <c r="A4738" s="3">
        <v>2269.0</v>
      </c>
      <c r="B4738" s="3">
        <v>25.0</v>
      </c>
      <c r="C4738" s="3">
        <v>1.0</v>
      </c>
      <c r="D4738" t="str">
        <f>VLOOKUP(B4738,ERA_MOTIF_TYPES.csv!$A$1:$C$119,2,1)</f>
        <v>Linear</v>
      </c>
      <c r="E4738" t="str">
        <f>VLOOKUP(A4738,Panels!$A$1:$E$2104,5,0)</f>
        <v>High Carr</v>
      </c>
    </row>
    <row r="4739">
      <c r="A4739" s="3">
        <v>2270.0</v>
      </c>
      <c r="B4739" s="3">
        <v>1.0</v>
      </c>
      <c r="C4739" s="3">
        <v>1.0</v>
      </c>
      <c r="D4739" t="str">
        <f>VLOOKUP(B4739,ERA_MOTIF_TYPES.csv!$A$1:$C$119,2,1)</f>
        <v>Cups Single</v>
      </c>
      <c r="E4739" t="str">
        <f>VLOOKUP(A4739,Panels!$A$1:$E$2104,5,0)</f>
        <v>High Carr</v>
      </c>
    </row>
    <row r="4740">
      <c r="A4740" s="3">
        <v>2271.0</v>
      </c>
      <c r="B4740" s="3">
        <v>1.0</v>
      </c>
      <c r="C4740" s="3">
        <v>2.0</v>
      </c>
      <c r="D4740" t="str">
        <f>VLOOKUP(B4740,ERA_MOTIF_TYPES.csv!$A$1:$C$119,2,1)</f>
        <v>Cups Single</v>
      </c>
      <c r="E4740" t="str">
        <f>VLOOKUP(A4740,Panels!$A$1:$E$2104,5,0)</f>
        <v>High Carr</v>
      </c>
    </row>
    <row r="4741">
      <c r="A4741" s="3">
        <v>2272.0</v>
      </c>
      <c r="B4741" s="3">
        <v>1.0</v>
      </c>
      <c r="C4741" s="3">
        <v>1.0</v>
      </c>
      <c r="D4741" t="str">
        <f>VLOOKUP(B4741,ERA_MOTIF_TYPES.csv!$A$1:$C$119,2,1)</f>
        <v>Cups Single</v>
      </c>
      <c r="E4741" t="str">
        <f>VLOOKUP(A4741,Panels!$A$1:$E$2104,5,0)</f>
        <v>High Carr</v>
      </c>
    </row>
    <row r="4742">
      <c r="A4742" s="3">
        <v>2273.0</v>
      </c>
      <c r="B4742" s="3">
        <v>1.0</v>
      </c>
      <c r="C4742" s="3">
        <v>2.0</v>
      </c>
      <c r="D4742" t="str">
        <f>VLOOKUP(B4742,ERA_MOTIF_TYPES.csv!$A$1:$C$119,2,1)</f>
        <v>Cups Single</v>
      </c>
      <c r="E4742" t="str">
        <f>VLOOKUP(A4742,Panels!$A$1:$E$2104,5,0)</f>
        <v>High Carr</v>
      </c>
    </row>
    <row r="4743">
      <c r="A4743" s="3">
        <v>2274.0</v>
      </c>
      <c r="B4743" s="3">
        <v>1.0</v>
      </c>
      <c r="C4743" s="3">
        <v>1.0</v>
      </c>
      <c r="D4743" t="str">
        <f>VLOOKUP(B4743,ERA_MOTIF_TYPES.csv!$A$1:$C$119,2,1)</f>
        <v>Cups Single</v>
      </c>
      <c r="E4743" t="str">
        <f>VLOOKUP(A4743,Panels!$A$1:$E$2104,5,0)</f>
        <v>High Carr</v>
      </c>
    </row>
    <row r="4744">
      <c r="A4744" s="3">
        <v>2275.0</v>
      </c>
      <c r="B4744" s="3">
        <v>1.0</v>
      </c>
      <c r="C4744" s="3">
        <v>3.0</v>
      </c>
      <c r="D4744" t="str">
        <f>VLOOKUP(B4744,ERA_MOTIF_TYPES.csv!$A$1:$C$119,2,1)</f>
        <v>Cups Single</v>
      </c>
      <c r="E4744" t="str">
        <f>VLOOKUP(A4744,Panels!$A$1:$E$2104,5,0)</f>
        <v>High Moor</v>
      </c>
    </row>
    <row r="4745">
      <c r="A4745" s="3">
        <v>2276.0</v>
      </c>
      <c r="B4745" s="3">
        <v>1.0</v>
      </c>
      <c r="C4745" s="3">
        <v>14.0</v>
      </c>
      <c r="D4745" t="str">
        <f>VLOOKUP(B4745,ERA_MOTIF_TYPES.csv!$A$1:$C$119,2,1)</f>
        <v>Cups Single</v>
      </c>
      <c r="E4745" t="str">
        <f>VLOOKUP(A4745,Panels!$A$1:$E$2104,5,0)</f>
        <v>High Moor</v>
      </c>
    </row>
    <row r="4746">
      <c r="A4746" s="3">
        <v>2277.0</v>
      </c>
      <c r="B4746" s="3">
        <v>1.0</v>
      </c>
      <c r="C4746" s="3">
        <v>1.0</v>
      </c>
      <c r="D4746" t="str">
        <f>VLOOKUP(B4746,ERA_MOTIF_TYPES.csv!$A$1:$C$119,2,1)</f>
        <v>Cups Single</v>
      </c>
      <c r="E4746" t="str">
        <f>VLOOKUP(A4746,Panels!$A$1:$E$2104,5,0)</f>
        <v>High Moor</v>
      </c>
    </row>
    <row r="4747">
      <c r="A4747" s="3">
        <v>2279.0</v>
      </c>
      <c r="B4747" s="3">
        <v>31.0</v>
      </c>
      <c r="C4747" s="3">
        <v>1.0</v>
      </c>
      <c r="D4747" t="str">
        <f>VLOOKUP(B4747,ERA_MOTIF_TYPES.csv!$A$1:$C$119,2,1)</f>
        <v>Cup and Groove</v>
      </c>
      <c r="E4747" t="str">
        <f>VLOOKUP(A4747,Panels!$A$1:$E$2104,5,0)</f>
        <v>Pinfold Hill</v>
      </c>
    </row>
    <row r="4748">
      <c r="A4748" s="3">
        <v>2280.0</v>
      </c>
      <c r="B4748" s="3">
        <v>1.0</v>
      </c>
      <c r="C4748" s="3">
        <v>17.0</v>
      </c>
      <c r="D4748" t="str">
        <f>VLOOKUP(B4748,ERA_MOTIF_TYPES.csv!$A$1:$C$119,2,1)</f>
        <v>Cups Single</v>
      </c>
      <c r="E4748" t="str">
        <f>VLOOKUP(A4748,Panels!$A$1:$E$2104,5,0)</f>
        <v>Rough Holden</v>
      </c>
    </row>
    <row r="4749">
      <c r="A4749" s="3">
        <v>2280.0</v>
      </c>
      <c r="B4749" s="3">
        <v>16.0</v>
      </c>
      <c r="C4749" s="3">
        <v>4.0</v>
      </c>
      <c r="D4749" t="str">
        <f>VLOOKUP(B4749,ERA_MOTIF_TYPES.csv!$A$1:$C$119,2,1)</f>
        <v>Single Arc + cup</v>
      </c>
      <c r="E4749" t="str">
        <f>VLOOKUP(A4749,Panels!$A$1:$E$2104,5,0)</f>
        <v>Rough Holden</v>
      </c>
    </row>
    <row r="4750">
      <c r="A4750" s="3">
        <v>2280.0</v>
      </c>
      <c r="B4750" s="3">
        <v>25.0</v>
      </c>
      <c r="C4750" s="3">
        <v>3.0</v>
      </c>
      <c r="D4750" t="str">
        <f>VLOOKUP(B4750,ERA_MOTIF_TYPES.csv!$A$1:$C$119,2,1)</f>
        <v>Linear</v>
      </c>
      <c r="E4750" t="str">
        <f>VLOOKUP(A4750,Panels!$A$1:$E$2104,5,0)</f>
        <v>Rough Holden</v>
      </c>
    </row>
    <row r="4751">
      <c r="A4751" s="3">
        <v>2280.0</v>
      </c>
      <c r="B4751" s="3">
        <v>27.0</v>
      </c>
      <c r="C4751" s="3">
        <v>3.0</v>
      </c>
      <c r="D4751" t="str">
        <f>VLOOKUP(B4751,ERA_MOTIF_TYPES.csv!$A$1:$C$119,2,1)</f>
        <v>Serpentine</v>
      </c>
      <c r="E4751" t="str">
        <f>VLOOKUP(A4751,Panels!$A$1:$E$2104,5,0)</f>
        <v>Rough Holden</v>
      </c>
    </row>
    <row r="4752">
      <c r="A4752" s="3">
        <v>2280.0</v>
      </c>
      <c r="B4752" s="3">
        <v>31.0</v>
      </c>
      <c r="C4752" s="3">
        <v>2.0</v>
      </c>
      <c r="D4752" t="str">
        <f>VLOOKUP(B4752,ERA_MOTIF_TYPES.csv!$A$1:$C$119,2,1)</f>
        <v>Cup and Groove</v>
      </c>
      <c r="E4752" t="str">
        <f>VLOOKUP(A4752,Panels!$A$1:$E$2104,5,0)</f>
        <v>Rough Holden</v>
      </c>
    </row>
    <row r="4753">
      <c r="A4753" s="3">
        <v>2280.0</v>
      </c>
      <c r="B4753" s="3">
        <v>117.0</v>
      </c>
      <c r="C4753" s="3">
        <v>1.0</v>
      </c>
      <c r="D4753" t="str">
        <f>VLOOKUP(B4753,ERA_MOTIF_TYPES.csv!$A$1:$C$119,2,1)</f>
        <v>Dumb-bell</v>
      </c>
      <c r="E4753" t="str">
        <f>VLOOKUP(A4753,Panels!$A$1:$E$2104,5,0)</f>
        <v>Rough Holden</v>
      </c>
    </row>
    <row r="4754">
      <c r="A4754" s="3">
        <v>2281.0</v>
      </c>
      <c r="B4754" s="3">
        <v>1.0</v>
      </c>
      <c r="C4754" s="3">
        <v>2.0</v>
      </c>
      <c r="D4754" t="str">
        <f>VLOOKUP(B4754,ERA_MOTIF_TYPES.csv!$A$1:$C$119,2,1)</f>
        <v>Cups Single</v>
      </c>
      <c r="E4754" t="str">
        <f>VLOOKUP(A4754,Panels!$A$1:$E$2104,5,0)</f>
        <v>Rough Holden</v>
      </c>
    </row>
    <row r="4755">
      <c r="A4755" s="3">
        <v>2281.0</v>
      </c>
      <c r="B4755" s="3">
        <v>16.0</v>
      </c>
      <c r="C4755" s="3">
        <v>1.0</v>
      </c>
      <c r="D4755" t="str">
        <f>VLOOKUP(B4755,ERA_MOTIF_TYPES.csv!$A$1:$C$119,2,1)</f>
        <v>Single Arc + cup</v>
      </c>
      <c r="E4755" t="str">
        <f>VLOOKUP(A4755,Panels!$A$1:$E$2104,5,0)</f>
        <v>Rough Holden</v>
      </c>
    </row>
    <row r="4756">
      <c r="A4756" s="3">
        <v>2282.0</v>
      </c>
      <c r="B4756" s="3">
        <v>31.0</v>
      </c>
      <c r="C4756" s="3">
        <v>2.0</v>
      </c>
      <c r="D4756" t="str">
        <f>VLOOKUP(B4756,ERA_MOTIF_TYPES.csv!$A$1:$C$119,2,1)</f>
        <v>Cup and Groove</v>
      </c>
      <c r="E4756" t="str">
        <f>VLOOKUP(A4756,Panels!$A$1:$E$2104,5,0)</f>
        <v>Rough Holden</v>
      </c>
    </row>
    <row r="4757">
      <c r="A4757" s="3">
        <v>2283.0</v>
      </c>
      <c r="B4757" s="3">
        <v>1.0</v>
      </c>
      <c r="C4757" s="3">
        <v>7.0</v>
      </c>
      <c r="D4757" t="str">
        <f>VLOOKUP(B4757,ERA_MOTIF_TYPES.csv!$A$1:$C$119,2,1)</f>
        <v>Cups Single</v>
      </c>
      <c r="E4757" t="str">
        <f>VLOOKUP(A4757,Panels!$A$1:$E$2104,5,0)</f>
        <v>Rough Holden</v>
      </c>
    </row>
    <row r="4758">
      <c r="A4758" s="3">
        <v>2283.0</v>
      </c>
      <c r="B4758" s="3">
        <v>31.0</v>
      </c>
      <c r="C4758" s="3">
        <v>1.0</v>
      </c>
      <c r="D4758" t="str">
        <f>VLOOKUP(B4758,ERA_MOTIF_TYPES.csv!$A$1:$C$119,2,1)</f>
        <v>Cup and Groove</v>
      </c>
      <c r="E4758" t="str">
        <f>VLOOKUP(A4758,Panels!$A$1:$E$2104,5,0)</f>
        <v>Rough Holden</v>
      </c>
    </row>
    <row r="4759">
      <c r="A4759" s="3">
        <v>2284.0</v>
      </c>
      <c r="B4759" s="3">
        <v>1.0</v>
      </c>
      <c r="C4759" s="3">
        <v>6.0</v>
      </c>
      <c r="D4759" t="str">
        <f>VLOOKUP(B4759,ERA_MOTIF_TYPES.csv!$A$1:$C$119,2,1)</f>
        <v>Cups Single</v>
      </c>
      <c r="E4759" t="str">
        <f>VLOOKUP(A4759,Panels!$A$1:$E$2104,5,0)</f>
        <v>Rough Holden</v>
      </c>
    </row>
    <row r="4760">
      <c r="A4760" s="3">
        <v>2285.0</v>
      </c>
      <c r="B4760" s="3">
        <v>1.0</v>
      </c>
      <c r="C4760" s="3">
        <v>3.0</v>
      </c>
      <c r="D4760" t="str">
        <f>VLOOKUP(B4760,ERA_MOTIF_TYPES.csv!$A$1:$C$119,2,1)</f>
        <v>Cups Single</v>
      </c>
      <c r="E4760" t="str">
        <f>VLOOKUP(A4760,Panels!$A$1:$E$2104,5,0)</f>
        <v>Rough Holden</v>
      </c>
    </row>
    <row r="4761">
      <c r="A4761" s="3">
        <v>2286.0</v>
      </c>
      <c r="B4761" s="3">
        <v>1.0</v>
      </c>
      <c r="C4761" s="3">
        <v>3.0</v>
      </c>
      <c r="D4761" t="str">
        <f>VLOOKUP(B4761,ERA_MOTIF_TYPES.csv!$A$1:$C$119,2,1)</f>
        <v>Cups Single</v>
      </c>
      <c r="E4761" t="str">
        <f>VLOOKUP(A4761,Panels!$A$1:$E$2104,5,0)</f>
        <v>Rough Holden</v>
      </c>
    </row>
    <row r="4762">
      <c r="A4762" s="3">
        <v>2286.0</v>
      </c>
      <c r="B4762" s="3">
        <v>13.0</v>
      </c>
      <c r="C4762" s="3">
        <v>1.0</v>
      </c>
      <c r="D4762" t="str">
        <f>VLOOKUP(B4762,ERA_MOTIF_TYPES.csv!$A$1:$C$119,2,1)</f>
        <v>Single Ring + cup</v>
      </c>
      <c r="E4762" t="str">
        <f>VLOOKUP(A4762,Panels!$A$1:$E$2104,5,0)</f>
        <v>Rough Holden</v>
      </c>
    </row>
    <row r="4763">
      <c r="A4763" s="3">
        <v>2286.0</v>
      </c>
      <c r="B4763" s="3">
        <v>17.0</v>
      </c>
      <c r="C4763" s="1"/>
      <c r="D4763" t="str">
        <f>VLOOKUP(B4763,ERA_MOTIF_TYPES.csv!$A$1:$C$119,2,1)</f>
        <v>Single Penannular + cup</v>
      </c>
      <c r="E4763" t="str">
        <f>VLOOKUP(A4763,Panels!$A$1:$E$2104,5,0)</f>
        <v>Rough Holden</v>
      </c>
    </row>
    <row r="4764">
      <c r="A4764" s="3">
        <v>2286.0</v>
      </c>
      <c r="B4764" s="3">
        <v>25.0</v>
      </c>
      <c r="C4764" s="3">
        <v>2.0</v>
      </c>
      <c r="D4764" t="str">
        <f>VLOOKUP(B4764,ERA_MOTIF_TYPES.csv!$A$1:$C$119,2,1)</f>
        <v>Linear</v>
      </c>
      <c r="E4764" t="str">
        <f>VLOOKUP(A4764,Panels!$A$1:$E$2104,5,0)</f>
        <v>Rough Holden</v>
      </c>
    </row>
    <row r="4765">
      <c r="A4765" s="3">
        <v>2286.0</v>
      </c>
      <c r="B4765" s="3">
        <v>31.0</v>
      </c>
      <c r="C4765" s="3">
        <v>1.0</v>
      </c>
      <c r="D4765" t="str">
        <f>VLOOKUP(B4765,ERA_MOTIF_TYPES.csv!$A$1:$C$119,2,1)</f>
        <v>Cup and Groove</v>
      </c>
      <c r="E4765" t="str">
        <f>VLOOKUP(A4765,Panels!$A$1:$E$2104,5,0)</f>
        <v>Rough Holden</v>
      </c>
    </row>
    <row r="4766">
      <c r="A4766" s="3">
        <v>2286.0</v>
      </c>
      <c r="B4766" s="3">
        <v>117.0</v>
      </c>
      <c r="C4766" s="3">
        <v>1.0</v>
      </c>
      <c r="D4766" t="str">
        <f>VLOOKUP(B4766,ERA_MOTIF_TYPES.csv!$A$1:$C$119,2,1)</f>
        <v>Dumb-bell</v>
      </c>
      <c r="E4766" t="str">
        <f>VLOOKUP(A4766,Panels!$A$1:$E$2104,5,0)</f>
        <v>Rough Holden</v>
      </c>
    </row>
    <row r="4767">
      <c r="A4767" s="3">
        <v>2287.0</v>
      </c>
      <c r="B4767" s="3">
        <v>1.0</v>
      </c>
      <c r="C4767" s="3">
        <v>14.0</v>
      </c>
      <c r="D4767" t="str">
        <f>VLOOKUP(B4767,ERA_MOTIF_TYPES.csv!$A$1:$C$119,2,1)</f>
        <v>Cups Single</v>
      </c>
      <c r="E4767" t="str">
        <f>VLOOKUP(A4767,Panels!$A$1:$E$2104,5,0)</f>
        <v>Rough Holden</v>
      </c>
    </row>
    <row r="4768">
      <c r="A4768" s="3">
        <v>2287.0</v>
      </c>
      <c r="B4768" s="3">
        <v>25.0</v>
      </c>
      <c r="C4768" s="3">
        <v>3.0</v>
      </c>
      <c r="D4768" t="str">
        <f>VLOOKUP(B4768,ERA_MOTIF_TYPES.csv!$A$1:$C$119,2,1)</f>
        <v>Linear</v>
      </c>
      <c r="E4768" t="str">
        <f>VLOOKUP(A4768,Panels!$A$1:$E$2104,5,0)</f>
        <v>Rough Holden</v>
      </c>
    </row>
    <row r="4769">
      <c r="A4769" s="3">
        <v>2287.0</v>
      </c>
      <c r="B4769" s="3">
        <v>31.0</v>
      </c>
      <c r="C4769" s="3">
        <v>2.0</v>
      </c>
      <c r="D4769" t="str">
        <f>VLOOKUP(B4769,ERA_MOTIF_TYPES.csv!$A$1:$C$119,2,1)</f>
        <v>Cup and Groove</v>
      </c>
      <c r="E4769" t="str">
        <f>VLOOKUP(A4769,Panels!$A$1:$E$2104,5,0)</f>
        <v>Rough Holden</v>
      </c>
    </row>
    <row r="4770">
      <c r="A4770" s="3">
        <v>2288.0</v>
      </c>
      <c r="B4770" s="3">
        <v>1.0</v>
      </c>
      <c r="C4770" s="3">
        <v>3.0</v>
      </c>
      <c r="D4770" t="str">
        <f>VLOOKUP(B4770,ERA_MOTIF_TYPES.csv!$A$1:$C$119,2,1)</f>
        <v>Cups Single</v>
      </c>
      <c r="E4770" t="str">
        <f>VLOOKUP(A4770,Panels!$A$1:$E$2104,5,0)</f>
        <v>Rough Holden</v>
      </c>
    </row>
    <row r="4771">
      <c r="A4771" s="3">
        <v>2289.0</v>
      </c>
      <c r="B4771" s="3">
        <v>1.0</v>
      </c>
      <c r="C4771" s="3">
        <v>13.0</v>
      </c>
      <c r="D4771" t="str">
        <f>VLOOKUP(B4771,ERA_MOTIF_TYPES.csv!$A$1:$C$119,2,1)</f>
        <v>Cups Single</v>
      </c>
      <c r="E4771" t="str">
        <f>VLOOKUP(A4771,Panels!$A$1:$E$2104,5,0)</f>
        <v>Robin Hood Wood</v>
      </c>
    </row>
    <row r="4772">
      <c r="A4772" s="3">
        <v>2289.0</v>
      </c>
      <c r="B4772" s="3">
        <v>25.0</v>
      </c>
      <c r="C4772" s="3">
        <v>1.0</v>
      </c>
      <c r="D4772" t="str">
        <f>VLOOKUP(B4772,ERA_MOTIF_TYPES.csv!$A$1:$C$119,2,1)</f>
        <v>Linear</v>
      </c>
      <c r="E4772" t="str">
        <f>VLOOKUP(A4772,Panels!$A$1:$E$2104,5,0)</f>
        <v>Robin Hood Wood</v>
      </c>
    </row>
    <row r="4773">
      <c r="A4773" s="3">
        <v>2289.0</v>
      </c>
      <c r="B4773" s="3">
        <v>117.0</v>
      </c>
      <c r="C4773" s="3">
        <v>1.0</v>
      </c>
      <c r="D4773" t="str">
        <f>VLOOKUP(B4773,ERA_MOTIF_TYPES.csv!$A$1:$C$119,2,1)</f>
        <v>Dumb-bell</v>
      </c>
      <c r="E4773" t="str">
        <f>VLOOKUP(A4773,Panels!$A$1:$E$2104,5,0)</f>
        <v>Robin Hood Wood</v>
      </c>
    </row>
    <row r="4774">
      <c r="A4774" s="3">
        <v>2290.0</v>
      </c>
      <c r="B4774" s="3">
        <v>1.0</v>
      </c>
      <c r="C4774" s="3">
        <v>3.0</v>
      </c>
      <c r="D4774" t="str">
        <f>VLOOKUP(B4774,ERA_MOTIF_TYPES.csv!$A$1:$C$119,2,1)</f>
        <v>Cups Single</v>
      </c>
      <c r="E4774" t="str">
        <f>VLOOKUP(A4774,Panels!$A$1:$E$2104,5,0)</f>
        <v>Robin Hood Wood</v>
      </c>
    </row>
    <row r="4775">
      <c r="A4775" s="3">
        <v>2291.0</v>
      </c>
      <c r="B4775" s="3">
        <v>1.0</v>
      </c>
      <c r="C4775" s="3">
        <v>1.0</v>
      </c>
      <c r="D4775" t="str">
        <f>VLOOKUP(B4775,ERA_MOTIF_TYPES.csv!$A$1:$C$119,2,1)</f>
        <v>Cups Single</v>
      </c>
      <c r="E4775" t="str">
        <f>VLOOKUP(A4775,Panels!$A$1:$E$2104,5,0)</f>
        <v>Robin Hood Wood</v>
      </c>
    </row>
    <row r="4776">
      <c r="A4776" s="3">
        <v>2292.0</v>
      </c>
      <c r="B4776" s="3">
        <v>1.0</v>
      </c>
      <c r="C4776" s="3">
        <v>1.0</v>
      </c>
      <c r="D4776" t="str">
        <f>VLOOKUP(B4776,ERA_MOTIF_TYPES.csv!$A$1:$C$119,2,1)</f>
        <v>Cups Single</v>
      </c>
      <c r="E4776" t="str">
        <f>VLOOKUP(A4776,Panels!$A$1:$E$2104,5,0)</f>
        <v>Robin Hood Wood</v>
      </c>
    </row>
    <row r="4777">
      <c r="A4777" s="3">
        <v>2293.0</v>
      </c>
      <c r="B4777" s="3">
        <v>1.0</v>
      </c>
      <c r="C4777" s="3">
        <v>40.0</v>
      </c>
      <c r="D4777" t="str">
        <f>VLOOKUP(B4777,ERA_MOTIF_TYPES.csv!$A$1:$C$119,2,1)</f>
        <v>Cups Single</v>
      </c>
      <c r="E4777" t="str">
        <f>VLOOKUP(A4777,Panels!$A$1:$E$2104,5,0)</f>
        <v>Rivock Edge</v>
      </c>
    </row>
    <row r="4778">
      <c r="A4778" s="3">
        <v>2294.0</v>
      </c>
      <c r="B4778" s="3">
        <v>1.0</v>
      </c>
      <c r="C4778" s="3">
        <v>5.0</v>
      </c>
      <c r="D4778" t="str">
        <f>VLOOKUP(B4778,ERA_MOTIF_TYPES.csv!$A$1:$C$119,2,1)</f>
        <v>Cups Single</v>
      </c>
      <c r="E4778" t="str">
        <f>VLOOKUP(A4778,Panels!$A$1:$E$2104,5,0)</f>
        <v>Rivock</v>
      </c>
    </row>
    <row r="4779">
      <c r="A4779" s="3">
        <v>2295.0</v>
      </c>
      <c r="B4779" s="3">
        <v>1.0</v>
      </c>
      <c r="C4779" s="3">
        <v>3.0</v>
      </c>
      <c r="D4779" t="str">
        <f>VLOOKUP(B4779,ERA_MOTIF_TYPES.csv!$A$1:$C$119,2,1)</f>
        <v>Cups Single</v>
      </c>
      <c r="E4779" t="str">
        <f>VLOOKUP(A4779,Panels!$A$1:$E$2104,5,0)</f>
        <v>Rivock</v>
      </c>
    </row>
    <row r="4780">
      <c r="A4780" s="3">
        <v>2296.0</v>
      </c>
      <c r="B4780" s="3">
        <v>1.0</v>
      </c>
      <c r="C4780" s="3">
        <v>8.0</v>
      </c>
      <c r="D4780" t="str">
        <f>VLOOKUP(B4780,ERA_MOTIF_TYPES.csv!$A$1:$C$119,2,1)</f>
        <v>Cups Single</v>
      </c>
      <c r="E4780" t="str">
        <f>VLOOKUP(A4780,Panels!$A$1:$E$2104,5,0)</f>
        <v>Rivock</v>
      </c>
    </row>
    <row r="4781">
      <c r="A4781" s="3">
        <v>2297.0</v>
      </c>
      <c r="B4781" s="3">
        <v>1.0</v>
      </c>
      <c r="C4781" s="3">
        <v>7.0</v>
      </c>
      <c r="D4781" t="str">
        <f>VLOOKUP(B4781,ERA_MOTIF_TYPES.csv!$A$1:$C$119,2,1)</f>
        <v>Cups Single</v>
      </c>
      <c r="E4781" t="str">
        <f>VLOOKUP(A4781,Panels!$A$1:$E$2104,5,0)</f>
        <v>Rivock</v>
      </c>
    </row>
    <row r="4782">
      <c r="A4782" s="3">
        <v>2298.0</v>
      </c>
      <c r="B4782" s="3">
        <v>1.0</v>
      </c>
      <c r="C4782" s="3">
        <v>7.0</v>
      </c>
      <c r="D4782" t="str">
        <f>VLOOKUP(B4782,ERA_MOTIF_TYPES.csv!$A$1:$C$119,2,1)</f>
        <v>Cups Single</v>
      </c>
      <c r="E4782" t="str">
        <f>VLOOKUP(A4782,Panels!$A$1:$E$2104,5,0)</f>
        <v>Rivock</v>
      </c>
    </row>
    <row r="4783">
      <c r="A4783" s="3">
        <v>2298.0</v>
      </c>
      <c r="B4783" s="3">
        <v>3.0</v>
      </c>
      <c r="C4783" s="3">
        <v>1.0</v>
      </c>
      <c r="D4783" t="str">
        <f>VLOOKUP(B4783,ERA_MOTIF_TYPES.csv!$A$1:$C$119,2,1)</f>
        <v>Parallel Domino</v>
      </c>
      <c r="E4783" t="str">
        <f>VLOOKUP(A4783,Panels!$A$1:$E$2104,5,0)</f>
        <v>Rivock</v>
      </c>
    </row>
    <row r="4784">
      <c r="A4784" s="3">
        <v>2298.0</v>
      </c>
      <c r="B4784" s="3">
        <v>10.0</v>
      </c>
      <c r="C4784" s="3">
        <v>2.0</v>
      </c>
      <c r="D4784" t="str">
        <f>VLOOKUP(B4784,ERA_MOTIF_TYPES.csv!$A$1:$C$119,2,1)</f>
        <v>Single Arc</v>
      </c>
      <c r="E4784" t="str">
        <f>VLOOKUP(A4784,Panels!$A$1:$E$2104,5,0)</f>
        <v>Rivock</v>
      </c>
    </row>
    <row r="4785">
      <c r="A4785" s="3">
        <v>2298.0</v>
      </c>
      <c r="B4785" s="3">
        <v>16.0</v>
      </c>
      <c r="C4785" s="3">
        <v>2.0</v>
      </c>
      <c r="D4785" t="str">
        <f>VLOOKUP(B4785,ERA_MOTIF_TYPES.csv!$A$1:$C$119,2,1)</f>
        <v>Single Arc + cup</v>
      </c>
      <c r="E4785" t="str">
        <f>VLOOKUP(A4785,Panels!$A$1:$E$2104,5,0)</f>
        <v>Rivock</v>
      </c>
    </row>
    <row r="4786">
      <c r="A4786" s="3">
        <v>2298.0</v>
      </c>
      <c r="B4786" s="3">
        <v>25.0</v>
      </c>
      <c r="C4786" s="3">
        <v>3.0</v>
      </c>
      <c r="D4786" t="str">
        <f>VLOOKUP(B4786,ERA_MOTIF_TYPES.csv!$A$1:$C$119,2,1)</f>
        <v>Linear</v>
      </c>
      <c r="E4786" t="str">
        <f>VLOOKUP(A4786,Panels!$A$1:$E$2104,5,0)</f>
        <v>Rivock</v>
      </c>
    </row>
    <row r="4787">
      <c r="A4787" s="3">
        <v>2298.0</v>
      </c>
      <c r="B4787" s="3">
        <v>31.0</v>
      </c>
      <c r="C4787" s="3">
        <v>1.0</v>
      </c>
      <c r="D4787" t="str">
        <f>VLOOKUP(B4787,ERA_MOTIF_TYPES.csv!$A$1:$C$119,2,1)</f>
        <v>Cup and Groove</v>
      </c>
      <c r="E4787" t="str">
        <f>VLOOKUP(A4787,Panels!$A$1:$E$2104,5,0)</f>
        <v>Rivock</v>
      </c>
    </row>
    <row r="4788">
      <c r="A4788" s="3">
        <v>2299.0</v>
      </c>
      <c r="B4788" s="3">
        <v>13.0</v>
      </c>
      <c r="C4788" s="3">
        <v>1.0</v>
      </c>
      <c r="D4788" t="str">
        <f>VLOOKUP(B4788,ERA_MOTIF_TYPES.csv!$A$1:$C$119,2,1)</f>
        <v>Single Ring + cup</v>
      </c>
      <c r="E4788" t="str">
        <f>VLOOKUP(A4788,Panels!$A$1:$E$2104,5,0)</f>
        <v>Rivock</v>
      </c>
    </row>
    <row r="4789">
      <c r="A4789" s="3">
        <v>2299.0</v>
      </c>
      <c r="B4789" s="3">
        <v>25.0</v>
      </c>
      <c r="C4789" s="3">
        <v>3.0</v>
      </c>
      <c r="D4789" t="str">
        <f>VLOOKUP(B4789,ERA_MOTIF_TYPES.csv!$A$1:$C$119,2,1)</f>
        <v>Linear</v>
      </c>
      <c r="E4789" t="str">
        <f>VLOOKUP(A4789,Panels!$A$1:$E$2104,5,0)</f>
        <v>Rivock</v>
      </c>
    </row>
    <row r="4790">
      <c r="A4790" s="3">
        <v>2299.0</v>
      </c>
      <c r="B4790" s="3">
        <v>27.0</v>
      </c>
      <c r="C4790" s="3">
        <v>1.0</v>
      </c>
      <c r="D4790" t="str">
        <f>VLOOKUP(B4790,ERA_MOTIF_TYPES.csv!$A$1:$C$119,2,1)</f>
        <v>Serpentine</v>
      </c>
      <c r="E4790" t="str">
        <f>VLOOKUP(A4790,Panels!$A$1:$E$2104,5,0)</f>
        <v>Rivock</v>
      </c>
    </row>
    <row r="4791">
      <c r="A4791" s="3">
        <v>2300.0</v>
      </c>
      <c r="B4791" s="3">
        <v>1.0</v>
      </c>
      <c r="C4791" s="3">
        <v>1.0</v>
      </c>
      <c r="D4791" t="str">
        <f>VLOOKUP(B4791,ERA_MOTIF_TYPES.csv!$A$1:$C$119,2,1)</f>
        <v>Cups Single</v>
      </c>
      <c r="E4791" t="str">
        <f>VLOOKUP(A4791,Panels!$A$1:$E$2104,5,0)</f>
        <v>Rivock</v>
      </c>
    </row>
    <row r="4792">
      <c r="A4792" s="3">
        <v>2301.0</v>
      </c>
      <c r="B4792" s="3">
        <v>1.0</v>
      </c>
      <c r="C4792" s="3">
        <v>5.0</v>
      </c>
      <c r="D4792" t="str">
        <f>VLOOKUP(B4792,ERA_MOTIF_TYPES.csv!$A$1:$C$119,2,1)</f>
        <v>Cups Single</v>
      </c>
      <c r="E4792" t="str">
        <f>VLOOKUP(A4792,Panels!$A$1:$E$2104,5,0)</f>
        <v>Rivock</v>
      </c>
    </row>
    <row r="4793">
      <c r="A4793" s="3">
        <v>2301.0</v>
      </c>
      <c r="B4793" s="3">
        <v>10.0</v>
      </c>
      <c r="C4793" s="3">
        <v>1.0</v>
      </c>
      <c r="D4793" t="str">
        <f>VLOOKUP(B4793,ERA_MOTIF_TYPES.csv!$A$1:$C$119,2,1)</f>
        <v>Single Arc</v>
      </c>
      <c r="E4793" t="str">
        <f>VLOOKUP(A4793,Panels!$A$1:$E$2104,5,0)</f>
        <v>Rivock</v>
      </c>
    </row>
    <row r="4794">
      <c r="A4794" s="3">
        <v>2302.0</v>
      </c>
      <c r="B4794" s="3">
        <v>1.0</v>
      </c>
      <c r="C4794" s="3">
        <v>1.0</v>
      </c>
      <c r="D4794" t="str">
        <f>VLOOKUP(B4794,ERA_MOTIF_TYPES.csv!$A$1:$C$119,2,1)</f>
        <v>Cups Single</v>
      </c>
      <c r="E4794" t="str">
        <f>VLOOKUP(A4794,Panels!$A$1:$E$2104,5,0)</f>
        <v>Rivock</v>
      </c>
    </row>
    <row r="4795">
      <c r="A4795" s="3">
        <v>2303.0</v>
      </c>
      <c r="B4795" s="3">
        <v>1.0</v>
      </c>
      <c r="C4795" s="3">
        <v>10.0</v>
      </c>
      <c r="D4795" t="str">
        <f>VLOOKUP(B4795,ERA_MOTIF_TYPES.csv!$A$1:$C$119,2,1)</f>
        <v>Cups Single</v>
      </c>
      <c r="E4795" t="str">
        <f>VLOOKUP(A4795,Panels!$A$1:$E$2104,5,0)</f>
        <v>Rivock</v>
      </c>
    </row>
    <row r="4796">
      <c r="A4796" s="3">
        <v>2304.0</v>
      </c>
      <c r="B4796" s="3">
        <v>1.0</v>
      </c>
      <c r="C4796" s="3">
        <v>20.0</v>
      </c>
      <c r="D4796" t="str">
        <f>VLOOKUP(B4796,ERA_MOTIF_TYPES.csv!$A$1:$C$119,2,1)</f>
        <v>Cups Single</v>
      </c>
      <c r="E4796" t="str">
        <f>VLOOKUP(A4796,Panels!$A$1:$E$2104,5,0)</f>
        <v>Rivock</v>
      </c>
    </row>
    <row r="4797">
      <c r="A4797" s="3">
        <v>2305.0</v>
      </c>
      <c r="B4797" s="3">
        <v>13.0</v>
      </c>
      <c r="C4797" s="3">
        <v>1.0</v>
      </c>
      <c r="D4797" t="str">
        <f>VLOOKUP(B4797,ERA_MOTIF_TYPES.csv!$A$1:$C$119,2,1)</f>
        <v>Single Ring + cup</v>
      </c>
      <c r="E4797" t="str">
        <f>VLOOKUP(A4797,Panels!$A$1:$E$2104,5,0)</f>
        <v>Rivock</v>
      </c>
    </row>
    <row r="4798">
      <c r="A4798" s="3">
        <v>2306.0</v>
      </c>
      <c r="B4798" s="3">
        <v>1.0</v>
      </c>
      <c r="C4798" s="3">
        <v>2.0</v>
      </c>
      <c r="D4798" t="str">
        <f>VLOOKUP(B4798,ERA_MOTIF_TYPES.csv!$A$1:$C$119,2,1)</f>
        <v>Cups Single</v>
      </c>
      <c r="E4798" t="str">
        <f>VLOOKUP(A4798,Panels!$A$1:$E$2104,5,0)</f>
        <v>Rivock</v>
      </c>
    </row>
    <row r="4799">
      <c r="A4799" s="3">
        <v>2307.0</v>
      </c>
      <c r="B4799" s="3">
        <v>1.0</v>
      </c>
      <c r="C4799" s="3">
        <v>18.0</v>
      </c>
      <c r="D4799" t="str">
        <f>VLOOKUP(B4799,ERA_MOTIF_TYPES.csv!$A$1:$C$119,2,1)</f>
        <v>Cups Single</v>
      </c>
      <c r="E4799" t="str">
        <f>VLOOKUP(A4799,Panels!$A$1:$E$2104,5,0)</f>
        <v>Rivock</v>
      </c>
    </row>
    <row r="4800">
      <c r="A4800" s="3">
        <v>2307.0</v>
      </c>
      <c r="B4800" s="3">
        <v>13.0</v>
      </c>
      <c r="C4800" s="3">
        <v>4.0</v>
      </c>
      <c r="D4800" t="str">
        <f>VLOOKUP(B4800,ERA_MOTIF_TYPES.csv!$A$1:$C$119,2,1)</f>
        <v>Single Ring + cup</v>
      </c>
      <c r="E4800" t="str">
        <f>VLOOKUP(A4800,Panels!$A$1:$E$2104,5,0)</f>
        <v>Rivock</v>
      </c>
    </row>
    <row r="4801">
      <c r="A4801" s="3">
        <v>2307.0</v>
      </c>
      <c r="B4801" s="3">
        <v>25.0</v>
      </c>
      <c r="C4801" s="3">
        <v>6.0</v>
      </c>
      <c r="D4801" t="str">
        <f>VLOOKUP(B4801,ERA_MOTIF_TYPES.csv!$A$1:$C$119,2,1)</f>
        <v>Linear</v>
      </c>
      <c r="E4801" t="str">
        <f>VLOOKUP(A4801,Panels!$A$1:$E$2104,5,0)</f>
        <v>Rivock</v>
      </c>
    </row>
    <row r="4802">
      <c r="A4802" s="3">
        <v>2307.0</v>
      </c>
      <c r="B4802" s="3">
        <v>26.0</v>
      </c>
      <c r="C4802" s="3">
        <v>3.0</v>
      </c>
      <c r="D4802" t="str">
        <f>VLOOKUP(B4802,ERA_MOTIF_TYPES.csv!$A$1:$C$119,2,1)</f>
        <v>Parallel</v>
      </c>
      <c r="E4802" t="str">
        <f>VLOOKUP(A4802,Panels!$A$1:$E$2104,5,0)</f>
        <v>Rivock</v>
      </c>
    </row>
    <row r="4803">
      <c r="A4803" s="3">
        <v>2307.0</v>
      </c>
      <c r="B4803" s="3">
        <v>27.0</v>
      </c>
      <c r="C4803" s="3">
        <v>5.0</v>
      </c>
      <c r="D4803" t="str">
        <f>VLOOKUP(B4803,ERA_MOTIF_TYPES.csv!$A$1:$C$119,2,1)</f>
        <v>Serpentine</v>
      </c>
      <c r="E4803" t="str">
        <f>VLOOKUP(A4803,Panels!$A$1:$E$2104,5,0)</f>
        <v>Rivock</v>
      </c>
    </row>
    <row r="4804">
      <c r="A4804" s="3">
        <v>2307.0</v>
      </c>
      <c r="B4804" s="3">
        <v>46.0</v>
      </c>
      <c r="C4804" s="3">
        <v>2.0</v>
      </c>
      <c r="D4804" t="str">
        <f>VLOOKUP(B4804,ERA_MOTIF_TYPES.csv!$A$1:$C$119,2,1)</f>
        <v>Groove and cups</v>
      </c>
      <c r="E4804" t="str">
        <f>VLOOKUP(A4804,Panels!$A$1:$E$2104,5,0)</f>
        <v>Rivock</v>
      </c>
    </row>
    <row r="4805">
      <c r="A4805" s="3">
        <v>2308.0</v>
      </c>
      <c r="B4805" s="3">
        <v>1.0</v>
      </c>
      <c r="C4805" s="3">
        <v>1.0</v>
      </c>
      <c r="D4805" t="str">
        <f>VLOOKUP(B4805,ERA_MOTIF_TYPES.csv!$A$1:$C$119,2,1)</f>
        <v>Cups Single</v>
      </c>
      <c r="E4805" t="str">
        <f>VLOOKUP(A4805,Panels!$A$1:$E$2104,5,0)</f>
        <v>Rivock</v>
      </c>
    </row>
    <row r="4806">
      <c r="A4806" s="3">
        <v>2308.0</v>
      </c>
      <c r="B4806" s="3">
        <v>13.0</v>
      </c>
      <c r="C4806" s="3">
        <v>1.0</v>
      </c>
      <c r="D4806" t="str">
        <f>VLOOKUP(B4806,ERA_MOTIF_TYPES.csv!$A$1:$C$119,2,1)</f>
        <v>Single Ring + cup</v>
      </c>
      <c r="E4806" t="str">
        <f>VLOOKUP(A4806,Panels!$A$1:$E$2104,5,0)</f>
        <v>Rivock</v>
      </c>
    </row>
    <row r="4807">
      <c r="A4807" s="3">
        <v>2309.0</v>
      </c>
      <c r="B4807" s="3">
        <v>1.0</v>
      </c>
      <c r="C4807" s="3">
        <v>19.0</v>
      </c>
      <c r="D4807" t="str">
        <f>VLOOKUP(B4807,ERA_MOTIF_TYPES.csv!$A$1:$C$119,2,1)</f>
        <v>Cups Single</v>
      </c>
      <c r="E4807" t="str">
        <f>VLOOKUP(A4807,Panels!$A$1:$E$2104,5,0)</f>
        <v>Rivock</v>
      </c>
    </row>
    <row r="4808">
      <c r="A4808" s="3">
        <v>2309.0</v>
      </c>
      <c r="B4808" s="3">
        <v>6.0</v>
      </c>
      <c r="C4808" s="1"/>
      <c r="D4808" t="str">
        <f>VLOOKUP(B4808,ERA_MOTIF_TYPES.csv!$A$1:$C$119,2,1)</f>
        <v>curved or straight line</v>
      </c>
      <c r="E4808" t="str">
        <f>VLOOKUP(A4808,Panels!$A$1:$E$2104,5,0)</f>
        <v>Rivock</v>
      </c>
    </row>
    <row r="4809">
      <c r="A4809" s="3">
        <v>2309.0</v>
      </c>
      <c r="B4809" s="3">
        <v>25.0</v>
      </c>
      <c r="C4809" s="3">
        <v>1.0</v>
      </c>
      <c r="D4809" t="str">
        <f>VLOOKUP(B4809,ERA_MOTIF_TYPES.csv!$A$1:$C$119,2,1)</f>
        <v>Linear</v>
      </c>
      <c r="E4809" t="str">
        <f>VLOOKUP(A4809,Panels!$A$1:$E$2104,5,0)</f>
        <v>Rivock</v>
      </c>
    </row>
    <row r="4810">
      <c r="A4810" s="3">
        <v>2310.0</v>
      </c>
      <c r="B4810" s="3">
        <v>1.0</v>
      </c>
      <c r="C4810" s="3">
        <v>18.0</v>
      </c>
      <c r="D4810" t="str">
        <f>VLOOKUP(B4810,ERA_MOTIF_TYPES.csv!$A$1:$C$119,2,1)</f>
        <v>Cups Single</v>
      </c>
      <c r="E4810" t="str">
        <f>VLOOKUP(A4810,Panels!$A$1:$E$2104,5,0)</f>
        <v>Rivock</v>
      </c>
    </row>
    <row r="4811">
      <c r="A4811" s="3">
        <v>2310.0</v>
      </c>
      <c r="B4811" s="3">
        <v>13.0</v>
      </c>
      <c r="C4811" s="3">
        <v>8.0</v>
      </c>
      <c r="D4811" t="str">
        <f>VLOOKUP(B4811,ERA_MOTIF_TYPES.csv!$A$1:$C$119,2,1)</f>
        <v>Single Ring + cup</v>
      </c>
      <c r="E4811" t="str">
        <f>VLOOKUP(A4811,Panels!$A$1:$E$2104,5,0)</f>
        <v>Rivock</v>
      </c>
    </row>
    <row r="4812">
      <c r="A4812" s="3">
        <v>2310.0</v>
      </c>
      <c r="B4812" s="3">
        <v>25.0</v>
      </c>
      <c r="C4812" s="3">
        <v>2.0</v>
      </c>
      <c r="D4812" t="str">
        <f>VLOOKUP(B4812,ERA_MOTIF_TYPES.csv!$A$1:$C$119,2,1)</f>
        <v>Linear</v>
      </c>
      <c r="E4812" t="str">
        <f>VLOOKUP(A4812,Panels!$A$1:$E$2104,5,0)</f>
        <v>Rivock</v>
      </c>
    </row>
    <row r="4813">
      <c r="A4813" s="3">
        <v>2310.0</v>
      </c>
      <c r="B4813" s="3">
        <v>117.0</v>
      </c>
      <c r="C4813" s="3">
        <v>1.0</v>
      </c>
      <c r="D4813" t="str">
        <f>VLOOKUP(B4813,ERA_MOTIF_TYPES.csv!$A$1:$C$119,2,1)</f>
        <v>Dumb-bell</v>
      </c>
      <c r="E4813" t="str">
        <f>VLOOKUP(A4813,Panels!$A$1:$E$2104,5,0)</f>
        <v>Rivock</v>
      </c>
    </row>
    <row r="4814">
      <c r="A4814" s="3">
        <v>2311.0</v>
      </c>
      <c r="B4814" s="3">
        <v>1.0</v>
      </c>
      <c r="C4814" s="3">
        <v>10.0</v>
      </c>
      <c r="D4814" t="str">
        <f>VLOOKUP(B4814,ERA_MOTIF_TYPES.csv!$A$1:$C$119,2,1)</f>
        <v>Cups Single</v>
      </c>
      <c r="E4814" t="str">
        <f>VLOOKUP(A4814,Panels!$A$1:$E$2104,5,0)</f>
        <v>Rivock</v>
      </c>
    </row>
    <row r="4815">
      <c r="A4815" s="3">
        <v>2311.0</v>
      </c>
      <c r="B4815" s="3">
        <v>14.0</v>
      </c>
      <c r="C4815" s="3">
        <v>1.0</v>
      </c>
      <c r="D4815" t="str">
        <f>VLOOKUP(B4815,ERA_MOTIF_TYPES.csv!$A$1:$C$119,2,1)</f>
        <v>Multi Ring + cup</v>
      </c>
      <c r="E4815" t="str">
        <f>VLOOKUP(A4815,Panels!$A$1:$E$2104,5,0)</f>
        <v>Rivock</v>
      </c>
    </row>
    <row r="4816">
      <c r="A4816" s="3">
        <v>2311.0</v>
      </c>
      <c r="B4816" s="3">
        <v>25.0</v>
      </c>
      <c r="C4816" s="3">
        <v>2.0</v>
      </c>
      <c r="D4816" t="str">
        <f>VLOOKUP(B4816,ERA_MOTIF_TYPES.csv!$A$1:$C$119,2,1)</f>
        <v>Linear</v>
      </c>
      <c r="E4816" t="str">
        <f>VLOOKUP(A4816,Panels!$A$1:$E$2104,5,0)</f>
        <v>Rivock</v>
      </c>
    </row>
    <row r="4817">
      <c r="A4817" s="3">
        <v>2312.0</v>
      </c>
      <c r="B4817" s="3">
        <v>1.0</v>
      </c>
      <c r="C4817" s="3">
        <v>14.0</v>
      </c>
      <c r="D4817" t="str">
        <f>VLOOKUP(B4817,ERA_MOTIF_TYPES.csv!$A$1:$C$119,2,1)</f>
        <v>Cups Single</v>
      </c>
      <c r="E4817" t="str">
        <f>VLOOKUP(A4817,Panels!$A$1:$E$2104,5,0)</f>
        <v>Rivock</v>
      </c>
    </row>
    <row r="4818">
      <c r="A4818" s="3">
        <v>2312.0</v>
      </c>
      <c r="B4818" s="3">
        <v>13.0</v>
      </c>
      <c r="C4818" s="3">
        <v>2.0</v>
      </c>
      <c r="D4818" t="str">
        <f>VLOOKUP(B4818,ERA_MOTIF_TYPES.csv!$A$1:$C$119,2,1)</f>
        <v>Single Ring + cup</v>
      </c>
      <c r="E4818" t="str">
        <f>VLOOKUP(A4818,Panels!$A$1:$E$2104,5,0)</f>
        <v>Rivock</v>
      </c>
    </row>
    <row r="4819">
      <c r="A4819" s="3">
        <v>2312.0</v>
      </c>
      <c r="B4819" s="3">
        <v>14.0</v>
      </c>
      <c r="C4819" s="3">
        <v>1.0</v>
      </c>
      <c r="D4819" t="str">
        <f>VLOOKUP(B4819,ERA_MOTIF_TYPES.csv!$A$1:$C$119,2,1)</f>
        <v>Multi Ring + cup</v>
      </c>
      <c r="E4819" t="str">
        <f>VLOOKUP(A4819,Panels!$A$1:$E$2104,5,0)</f>
        <v>Rivock</v>
      </c>
    </row>
    <row r="4820">
      <c r="A4820" s="3">
        <v>2312.0</v>
      </c>
      <c r="B4820" s="3">
        <v>16.0</v>
      </c>
      <c r="C4820" s="3">
        <v>2.0</v>
      </c>
      <c r="D4820" t="str">
        <f>VLOOKUP(B4820,ERA_MOTIF_TYPES.csv!$A$1:$C$119,2,1)</f>
        <v>Single Arc + cup</v>
      </c>
      <c r="E4820" t="str">
        <f>VLOOKUP(A4820,Panels!$A$1:$E$2104,5,0)</f>
        <v>Rivock</v>
      </c>
    </row>
    <row r="4821">
      <c r="A4821" s="3">
        <v>2312.0</v>
      </c>
      <c r="B4821" s="3">
        <v>25.0</v>
      </c>
      <c r="C4821" s="3">
        <v>3.0</v>
      </c>
      <c r="D4821" t="str">
        <f>VLOOKUP(B4821,ERA_MOTIF_TYPES.csv!$A$1:$C$119,2,1)</f>
        <v>Linear</v>
      </c>
      <c r="E4821" t="str">
        <f>VLOOKUP(A4821,Panels!$A$1:$E$2104,5,0)</f>
        <v>Rivock</v>
      </c>
    </row>
    <row r="4822">
      <c r="A4822" s="3">
        <v>2312.0</v>
      </c>
      <c r="B4822" s="3">
        <v>31.0</v>
      </c>
      <c r="C4822" s="3">
        <v>1.0</v>
      </c>
      <c r="D4822" t="str">
        <f>VLOOKUP(B4822,ERA_MOTIF_TYPES.csv!$A$1:$C$119,2,1)</f>
        <v>Cup and Groove</v>
      </c>
      <c r="E4822" t="str">
        <f>VLOOKUP(A4822,Panels!$A$1:$E$2104,5,0)</f>
        <v>Rivock</v>
      </c>
    </row>
    <row r="4823">
      <c r="A4823" s="3">
        <v>2312.0</v>
      </c>
      <c r="B4823" s="3">
        <v>48.0</v>
      </c>
      <c r="C4823" s="3">
        <v>1.0</v>
      </c>
      <c r="D4823" t="str">
        <f>VLOOKUP(B4823,ERA_MOTIF_TYPES.csv!$A$1:$C$119,2,1)</f>
        <v>Square Groove and cups</v>
      </c>
      <c r="E4823" t="str">
        <f>VLOOKUP(A4823,Panels!$A$1:$E$2104,5,0)</f>
        <v>Rivock</v>
      </c>
    </row>
    <row r="4824">
      <c r="A4824" s="3">
        <v>2312.0</v>
      </c>
      <c r="B4824" s="3">
        <v>117.0</v>
      </c>
      <c r="C4824" s="3">
        <v>1.0</v>
      </c>
      <c r="D4824" t="str">
        <f>VLOOKUP(B4824,ERA_MOTIF_TYPES.csv!$A$1:$C$119,2,1)</f>
        <v>Dumb-bell</v>
      </c>
      <c r="E4824" t="str">
        <f>VLOOKUP(A4824,Panels!$A$1:$E$2104,5,0)</f>
        <v>Rivock</v>
      </c>
    </row>
    <row r="4825">
      <c r="A4825" s="3">
        <v>2313.0</v>
      </c>
      <c r="B4825" s="3">
        <v>1.0</v>
      </c>
      <c r="C4825" s="3">
        <v>4.0</v>
      </c>
      <c r="D4825" t="str">
        <f>VLOOKUP(B4825,ERA_MOTIF_TYPES.csv!$A$1:$C$119,2,1)</f>
        <v>Cups Single</v>
      </c>
      <c r="E4825" t="str">
        <f>VLOOKUP(A4825,Panels!$A$1:$E$2104,5,0)</f>
        <v>Rivock</v>
      </c>
    </row>
    <row r="4826">
      <c r="A4826" s="3">
        <v>2313.0</v>
      </c>
      <c r="B4826" s="3">
        <v>13.0</v>
      </c>
      <c r="C4826" s="3">
        <v>1.0</v>
      </c>
      <c r="D4826" t="str">
        <f>VLOOKUP(B4826,ERA_MOTIF_TYPES.csv!$A$1:$C$119,2,1)</f>
        <v>Single Ring + cup</v>
      </c>
      <c r="E4826" t="str">
        <f>VLOOKUP(A4826,Panels!$A$1:$E$2104,5,0)</f>
        <v>Rivock</v>
      </c>
    </row>
    <row r="4827">
      <c r="A4827" s="3">
        <v>2313.0</v>
      </c>
      <c r="B4827" s="3">
        <v>16.0</v>
      </c>
      <c r="C4827" s="3">
        <v>1.0</v>
      </c>
      <c r="D4827" t="str">
        <f>VLOOKUP(B4827,ERA_MOTIF_TYPES.csv!$A$1:$C$119,2,1)</f>
        <v>Single Arc + cup</v>
      </c>
      <c r="E4827" t="str">
        <f>VLOOKUP(A4827,Panels!$A$1:$E$2104,5,0)</f>
        <v>Rivock</v>
      </c>
    </row>
    <row r="4828">
      <c r="A4828" s="3">
        <v>2313.0</v>
      </c>
      <c r="B4828" s="3">
        <v>46.0</v>
      </c>
      <c r="C4828" s="3">
        <v>1.0</v>
      </c>
      <c r="D4828" t="str">
        <f>VLOOKUP(B4828,ERA_MOTIF_TYPES.csv!$A$1:$C$119,2,1)</f>
        <v>Groove and cups</v>
      </c>
      <c r="E4828" t="str">
        <f>VLOOKUP(A4828,Panels!$A$1:$E$2104,5,0)</f>
        <v>Rivock</v>
      </c>
    </row>
    <row r="4829">
      <c r="A4829" s="3">
        <v>2314.0</v>
      </c>
      <c r="B4829" s="3">
        <v>1.0</v>
      </c>
      <c r="C4829" s="3">
        <v>2.0</v>
      </c>
      <c r="D4829" t="str">
        <f>VLOOKUP(B4829,ERA_MOTIF_TYPES.csv!$A$1:$C$119,2,1)</f>
        <v>Cups Single</v>
      </c>
      <c r="E4829" t="str">
        <f>VLOOKUP(A4829,Panels!$A$1:$E$2104,5,0)</f>
        <v>Rivock</v>
      </c>
    </row>
    <row r="4830">
      <c r="A4830" s="3">
        <v>2315.0</v>
      </c>
      <c r="B4830" s="3">
        <v>1.0</v>
      </c>
      <c r="C4830" s="3">
        <v>2.0</v>
      </c>
      <c r="D4830" t="str">
        <f>VLOOKUP(B4830,ERA_MOTIF_TYPES.csv!$A$1:$C$119,2,1)</f>
        <v>Cups Single</v>
      </c>
      <c r="E4830" t="str">
        <f>VLOOKUP(A4830,Panels!$A$1:$E$2104,5,0)</f>
        <v>Rivock</v>
      </c>
    </row>
    <row r="4831">
      <c r="A4831" s="3">
        <v>2316.0</v>
      </c>
      <c r="B4831" s="3">
        <v>1.0</v>
      </c>
      <c r="C4831" s="3">
        <v>1.0</v>
      </c>
      <c r="D4831" t="str">
        <f>VLOOKUP(B4831,ERA_MOTIF_TYPES.csv!$A$1:$C$119,2,1)</f>
        <v>Cups Single</v>
      </c>
      <c r="E4831" t="str">
        <f>VLOOKUP(A4831,Panels!$A$1:$E$2104,5,0)</f>
        <v>Rivock</v>
      </c>
    </row>
    <row r="4832">
      <c r="A4832" s="3">
        <v>2319.0</v>
      </c>
      <c r="B4832" s="3">
        <v>1.0</v>
      </c>
      <c r="C4832" s="3">
        <v>3.0</v>
      </c>
      <c r="D4832" t="str">
        <f>VLOOKUP(B4832,ERA_MOTIF_TYPES.csv!$A$1:$C$119,2,1)</f>
        <v>Cups Single</v>
      </c>
      <c r="E4832" t="str">
        <f>VLOOKUP(A4832,Panels!$A$1:$E$2104,5,0)</f>
        <v>Rivock</v>
      </c>
    </row>
    <row r="4833">
      <c r="A4833" s="3">
        <v>2320.0</v>
      </c>
      <c r="B4833" s="3">
        <v>1.0</v>
      </c>
      <c r="C4833" s="3">
        <v>31.0</v>
      </c>
      <c r="D4833" t="str">
        <f>VLOOKUP(B4833,ERA_MOTIF_TYPES.csv!$A$1:$C$119,2,1)</f>
        <v>Cups Single</v>
      </c>
      <c r="E4833" t="str">
        <f>VLOOKUP(A4833,Panels!$A$1:$E$2104,5,0)</f>
        <v>Rivock</v>
      </c>
    </row>
    <row r="4834">
      <c r="A4834" s="3">
        <v>2320.0</v>
      </c>
      <c r="B4834" s="3">
        <v>16.0</v>
      </c>
      <c r="C4834" s="1"/>
      <c r="D4834" t="str">
        <f>VLOOKUP(B4834,ERA_MOTIF_TYPES.csv!$A$1:$C$119,2,1)</f>
        <v>Single Arc + cup</v>
      </c>
      <c r="E4834" t="str">
        <f>VLOOKUP(A4834,Panels!$A$1:$E$2104,5,0)</f>
        <v>Rivock</v>
      </c>
    </row>
    <row r="4835">
      <c r="A4835" s="3">
        <v>2320.0</v>
      </c>
      <c r="B4835" s="3">
        <v>25.0</v>
      </c>
      <c r="C4835" s="3">
        <v>1.0</v>
      </c>
      <c r="D4835" t="str">
        <f>VLOOKUP(B4835,ERA_MOTIF_TYPES.csv!$A$1:$C$119,2,1)</f>
        <v>Linear</v>
      </c>
      <c r="E4835" t="str">
        <f>VLOOKUP(A4835,Panels!$A$1:$E$2104,5,0)</f>
        <v>Rivock</v>
      </c>
    </row>
    <row r="4836">
      <c r="A4836" s="3">
        <v>2320.0</v>
      </c>
      <c r="B4836" s="3">
        <v>31.0</v>
      </c>
      <c r="C4836" s="3">
        <v>4.0</v>
      </c>
      <c r="D4836" t="str">
        <f>VLOOKUP(B4836,ERA_MOTIF_TYPES.csv!$A$1:$C$119,2,1)</f>
        <v>Cup and Groove</v>
      </c>
      <c r="E4836" t="str">
        <f>VLOOKUP(A4836,Panels!$A$1:$E$2104,5,0)</f>
        <v>Rivock</v>
      </c>
    </row>
    <row r="4837">
      <c r="A4837" s="3">
        <v>2320.0</v>
      </c>
      <c r="B4837" s="3">
        <v>46.0</v>
      </c>
      <c r="C4837" s="3">
        <v>5.0</v>
      </c>
      <c r="D4837" t="str">
        <f>VLOOKUP(B4837,ERA_MOTIF_TYPES.csv!$A$1:$C$119,2,1)</f>
        <v>Groove and cups</v>
      </c>
      <c r="E4837" t="str">
        <f>VLOOKUP(A4837,Panels!$A$1:$E$2104,5,0)</f>
        <v>Rivock</v>
      </c>
    </row>
    <row r="4838">
      <c r="A4838" s="3">
        <v>2320.0</v>
      </c>
      <c r="B4838" s="3">
        <v>117.0</v>
      </c>
      <c r="C4838" s="3">
        <v>2.0</v>
      </c>
      <c r="D4838" t="str">
        <f>VLOOKUP(B4838,ERA_MOTIF_TYPES.csv!$A$1:$C$119,2,1)</f>
        <v>Dumb-bell</v>
      </c>
      <c r="E4838" t="str">
        <f>VLOOKUP(A4838,Panels!$A$1:$E$2104,5,0)</f>
        <v>Rivock</v>
      </c>
    </row>
    <row r="4839">
      <c r="A4839" s="3">
        <v>2321.0</v>
      </c>
      <c r="B4839" s="3">
        <v>1.0</v>
      </c>
      <c r="C4839" s="3">
        <v>5.0</v>
      </c>
      <c r="D4839" t="str">
        <f>VLOOKUP(B4839,ERA_MOTIF_TYPES.csv!$A$1:$C$119,2,1)</f>
        <v>Cups Single</v>
      </c>
      <c r="E4839" t="str">
        <f>VLOOKUP(A4839,Panels!$A$1:$E$2104,5,0)</f>
        <v>Rivock</v>
      </c>
    </row>
    <row r="4840">
      <c r="A4840" s="3">
        <v>2322.0</v>
      </c>
      <c r="B4840" s="3">
        <v>1.0</v>
      </c>
      <c r="C4840" s="3">
        <v>4.0</v>
      </c>
      <c r="D4840" t="str">
        <f>VLOOKUP(B4840,ERA_MOTIF_TYPES.csv!$A$1:$C$119,2,1)</f>
        <v>Cups Single</v>
      </c>
      <c r="E4840" t="str">
        <f>VLOOKUP(A4840,Panels!$A$1:$E$2104,5,0)</f>
        <v>Rivock</v>
      </c>
    </row>
    <row r="4841">
      <c r="A4841" s="3">
        <v>2323.0</v>
      </c>
      <c r="B4841" s="3">
        <v>1.0</v>
      </c>
      <c r="C4841" s="3">
        <v>1.0</v>
      </c>
      <c r="D4841" t="str">
        <f>VLOOKUP(B4841,ERA_MOTIF_TYPES.csv!$A$1:$C$119,2,1)</f>
        <v>Cups Single</v>
      </c>
      <c r="E4841" t="str">
        <f>VLOOKUP(A4841,Panels!$A$1:$E$2104,5,0)</f>
        <v>Rivock</v>
      </c>
    </row>
    <row r="4842">
      <c r="A4842" s="3">
        <v>2323.0</v>
      </c>
      <c r="B4842" s="3">
        <v>13.0</v>
      </c>
      <c r="C4842" s="3">
        <v>1.0</v>
      </c>
      <c r="D4842" t="str">
        <f>VLOOKUP(B4842,ERA_MOTIF_TYPES.csv!$A$1:$C$119,2,1)</f>
        <v>Single Ring + cup</v>
      </c>
      <c r="E4842" t="str">
        <f>VLOOKUP(A4842,Panels!$A$1:$E$2104,5,0)</f>
        <v>Rivock</v>
      </c>
    </row>
    <row r="4843">
      <c r="A4843" s="3">
        <v>2324.0</v>
      </c>
      <c r="B4843" s="3">
        <v>1.0</v>
      </c>
      <c r="C4843" s="3">
        <v>24.0</v>
      </c>
      <c r="D4843" t="str">
        <f>VLOOKUP(B4843,ERA_MOTIF_TYPES.csv!$A$1:$C$119,2,1)</f>
        <v>Cups Single</v>
      </c>
      <c r="E4843" t="str">
        <f>VLOOKUP(A4843,Panels!$A$1:$E$2104,5,0)</f>
        <v>Rivock</v>
      </c>
    </row>
    <row r="4844">
      <c r="A4844" s="3">
        <v>2324.0</v>
      </c>
      <c r="B4844" s="3">
        <v>13.0</v>
      </c>
      <c r="C4844" s="3">
        <v>1.0</v>
      </c>
      <c r="D4844" t="str">
        <f>VLOOKUP(B4844,ERA_MOTIF_TYPES.csv!$A$1:$C$119,2,1)</f>
        <v>Single Ring + cup</v>
      </c>
      <c r="E4844" t="str">
        <f>VLOOKUP(A4844,Panels!$A$1:$E$2104,5,0)</f>
        <v>Rivock</v>
      </c>
    </row>
    <row r="4845">
      <c r="A4845" s="3">
        <v>2324.0</v>
      </c>
      <c r="B4845" s="3">
        <v>16.0</v>
      </c>
      <c r="C4845" s="3">
        <v>3.0</v>
      </c>
      <c r="D4845" t="str">
        <f>VLOOKUP(B4845,ERA_MOTIF_TYPES.csv!$A$1:$C$119,2,1)</f>
        <v>Single Arc + cup</v>
      </c>
      <c r="E4845" t="str">
        <f>VLOOKUP(A4845,Panels!$A$1:$E$2104,5,0)</f>
        <v>Rivock</v>
      </c>
    </row>
    <row r="4846">
      <c r="A4846" s="3">
        <v>2324.0</v>
      </c>
      <c r="B4846" s="3">
        <v>27.0</v>
      </c>
      <c r="C4846" s="3">
        <v>2.0</v>
      </c>
      <c r="D4846" t="str">
        <f>VLOOKUP(B4846,ERA_MOTIF_TYPES.csv!$A$1:$C$119,2,1)</f>
        <v>Serpentine</v>
      </c>
      <c r="E4846" t="str">
        <f>VLOOKUP(A4846,Panels!$A$1:$E$2104,5,0)</f>
        <v>Rivock</v>
      </c>
    </row>
    <row r="4847">
      <c r="A4847" s="3">
        <v>2324.0</v>
      </c>
      <c r="B4847" s="3">
        <v>31.0</v>
      </c>
      <c r="C4847" s="3">
        <v>1.0</v>
      </c>
      <c r="D4847" t="str">
        <f>VLOOKUP(B4847,ERA_MOTIF_TYPES.csv!$A$1:$C$119,2,1)</f>
        <v>Cup and Groove</v>
      </c>
      <c r="E4847" t="str">
        <f>VLOOKUP(A4847,Panels!$A$1:$E$2104,5,0)</f>
        <v>Rivock</v>
      </c>
    </row>
    <row r="4848">
      <c r="A4848" s="3">
        <v>2324.0</v>
      </c>
      <c r="B4848" s="3">
        <v>32.0</v>
      </c>
      <c r="C4848" s="3">
        <v>3.0</v>
      </c>
      <c r="D4848" t="str">
        <f>VLOOKUP(B4848,ERA_MOTIF_TYPES.csv!$A$1:$C$119,2,1)</f>
        <v>Cup Groove and single ring</v>
      </c>
      <c r="E4848" t="str">
        <f>VLOOKUP(A4848,Panels!$A$1:$E$2104,5,0)</f>
        <v>Rivock</v>
      </c>
    </row>
    <row r="4849">
      <c r="A4849" s="3">
        <v>2324.0</v>
      </c>
      <c r="B4849" s="3">
        <v>34.0</v>
      </c>
      <c r="C4849" s="3">
        <v>1.0</v>
      </c>
      <c r="D4849" t="str">
        <f>VLOOKUP(B4849,ERA_MOTIF_TYPES.csv!$A$1:$C$119,2,1)</f>
        <v>Cup Groove and penannular</v>
      </c>
      <c r="E4849" t="str">
        <f>VLOOKUP(A4849,Panels!$A$1:$E$2104,5,0)</f>
        <v>Rivock</v>
      </c>
    </row>
    <row r="4850">
      <c r="A4850" s="3">
        <v>2325.0</v>
      </c>
      <c r="B4850" s="3">
        <v>1.0</v>
      </c>
      <c r="C4850" s="3">
        <v>18.0</v>
      </c>
      <c r="D4850" t="str">
        <f>VLOOKUP(B4850,ERA_MOTIF_TYPES.csv!$A$1:$C$119,2,1)</f>
        <v>Cups Single</v>
      </c>
      <c r="E4850" t="str">
        <f>VLOOKUP(A4850,Panels!$A$1:$E$2104,5,0)</f>
        <v>Rivock</v>
      </c>
    </row>
    <row r="4851">
      <c r="A4851" s="3">
        <v>2325.0</v>
      </c>
      <c r="B4851" s="3">
        <v>13.0</v>
      </c>
      <c r="C4851" s="1"/>
      <c r="D4851" t="str">
        <f>VLOOKUP(B4851,ERA_MOTIF_TYPES.csv!$A$1:$C$119,2,1)</f>
        <v>Single Ring + cup</v>
      </c>
      <c r="E4851" t="str">
        <f>VLOOKUP(A4851,Panels!$A$1:$E$2104,5,0)</f>
        <v>Rivock</v>
      </c>
    </row>
    <row r="4852">
      <c r="A4852" s="3">
        <v>2325.0</v>
      </c>
      <c r="B4852" s="3">
        <v>17.0</v>
      </c>
      <c r="C4852" s="3">
        <v>1.0</v>
      </c>
      <c r="D4852" t="str">
        <f>VLOOKUP(B4852,ERA_MOTIF_TYPES.csv!$A$1:$C$119,2,1)</f>
        <v>Single Penannular + cup</v>
      </c>
      <c r="E4852" t="str">
        <f>VLOOKUP(A4852,Panels!$A$1:$E$2104,5,0)</f>
        <v>Rivock</v>
      </c>
    </row>
    <row r="4853">
      <c r="A4853" s="3">
        <v>2326.0</v>
      </c>
      <c r="B4853" s="3">
        <v>1.0</v>
      </c>
      <c r="C4853" s="3">
        <v>2.0</v>
      </c>
      <c r="D4853" t="str">
        <f>VLOOKUP(B4853,ERA_MOTIF_TYPES.csv!$A$1:$C$119,2,1)</f>
        <v>Cups Single</v>
      </c>
      <c r="E4853" t="str">
        <f>VLOOKUP(A4853,Panels!$A$1:$E$2104,5,0)</f>
        <v>Rivock</v>
      </c>
    </row>
    <row r="4854">
      <c r="A4854" s="3">
        <v>2326.0</v>
      </c>
      <c r="B4854" s="3">
        <v>25.0</v>
      </c>
      <c r="C4854" s="3">
        <v>2.0</v>
      </c>
      <c r="D4854" t="str">
        <f>VLOOKUP(B4854,ERA_MOTIF_TYPES.csv!$A$1:$C$119,2,1)</f>
        <v>Linear</v>
      </c>
      <c r="E4854" t="str">
        <f>VLOOKUP(A4854,Panels!$A$1:$E$2104,5,0)</f>
        <v>Rivock</v>
      </c>
    </row>
    <row r="4855">
      <c r="A4855" s="3">
        <v>2326.0</v>
      </c>
      <c r="B4855" s="3">
        <v>26.0</v>
      </c>
      <c r="C4855" s="3">
        <v>1.0</v>
      </c>
      <c r="D4855" t="str">
        <f>VLOOKUP(B4855,ERA_MOTIF_TYPES.csv!$A$1:$C$119,2,1)</f>
        <v>Parallel</v>
      </c>
      <c r="E4855" t="str">
        <f>VLOOKUP(A4855,Panels!$A$1:$E$2104,5,0)</f>
        <v>Rivock</v>
      </c>
    </row>
    <row r="4856">
      <c r="A4856" s="3">
        <v>2327.0</v>
      </c>
      <c r="B4856" s="3">
        <v>1.0</v>
      </c>
      <c r="C4856" s="1"/>
      <c r="D4856" t="str">
        <f>VLOOKUP(B4856,ERA_MOTIF_TYPES.csv!$A$1:$C$119,2,1)</f>
        <v>Cups Single</v>
      </c>
      <c r="E4856" t="str">
        <f>VLOOKUP(A4856,Panels!$A$1:$E$2104,5,0)</f>
        <v>Rivock</v>
      </c>
    </row>
    <row r="4857">
      <c r="A4857" s="3">
        <v>2327.0</v>
      </c>
      <c r="B4857" s="3">
        <v>13.0</v>
      </c>
      <c r="C4857" s="3">
        <v>1.0</v>
      </c>
      <c r="D4857" t="str">
        <f>VLOOKUP(B4857,ERA_MOTIF_TYPES.csv!$A$1:$C$119,2,1)</f>
        <v>Single Ring + cup</v>
      </c>
      <c r="E4857" t="str">
        <f>VLOOKUP(A4857,Panels!$A$1:$E$2104,5,0)</f>
        <v>Rivock</v>
      </c>
    </row>
    <row r="4858">
      <c r="A4858" s="3">
        <v>2328.0</v>
      </c>
      <c r="B4858" s="3">
        <v>1.0</v>
      </c>
      <c r="C4858" s="3">
        <v>3.0</v>
      </c>
      <c r="D4858" t="str">
        <f>VLOOKUP(B4858,ERA_MOTIF_TYPES.csv!$A$1:$C$119,2,1)</f>
        <v>Cups Single</v>
      </c>
      <c r="E4858" t="str">
        <f>VLOOKUP(A4858,Panels!$A$1:$E$2104,5,0)</f>
        <v>Black Beck Hole</v>
      </c>
    </row>
    <row r="4859">
      <c r="A4859" s="3">
        <v>2329.0</v>
      </c>
      <c r="B4859" s="3">
        <v>1.0</v>
      </c>
      <c r="C4859" s="3">
        <v>18.0</v>
      </c>
      <c r="D4859" t="str">
        <f>VLOOKUP(B4859,ERA_MOTIF_TYPES.csv!$A$1:$C$119,2,1)</f>
        <v>Cups Single</v>
      </c>
      <c r="E4859" t="str">
        <f>VLOOKUP(A4859,Panels!$A$1:$E$2104,5,0)</f>
        <v>Black Beck Hole</v>
      </c>
    </row>
    <row r="4860">
      <c r="A4860" s="3">
        <v>2329.0</v>
      </c>
      <c r="B4860" s="3">
        <v>25.0</v>
      </c>
      <c r="C4860" s="3">
        <v>3.0</v>
      </c>
      <c r="D4860" t="str">
        <f>VLOOKUP(B4860,ERA_MOTIF_TYPES.csv!$A$1:$C$119,2,1)</f>
        <v>Linear</v>
      </c>
      <c r="E4860" t="str">
        <f>VLOOKUP(A4860,Panels!$A$1:$E$2104,5,0)</f>
        <v>Black Beck Hole</v>
      </c>
    </row>
    <row r="4861">
      <c r="A4861" s="3">
        <v>2330.0</v>
      </c>
      <c r="B4861" s="3">
        <v>1.0</v>
      </c>
      <c r="C4861" s="3">
        <v>6.0</v>
      </c>
      <c r="D4861" t="str">
        <f>VLOOKUP(B4861,ERA_MOTIF_TYPES.csv!$A$1:$C$119,2,1)</f>
        <v>Cups Single</v>
      </c>
      <c r="E4861" t="str">
        <f>VLOOKUP(A4861,Panels!$A$1:$E$2104,5,0)</f>
        <v>Black Beck Hole</v>
      </c>
    </row>
    <row r="4862">
      <c r="A4862" s="3">
        <v>2331.0</v>
      </c>
      <c r="B4862" s="3">
        <v>1.0</v>
      </c>
      <c r="C4862" s="3">
        <v>11.0</v>
      </c>
      <c r="D4862" t="str">
        <f>VLOOKUP(B4862,ERA_MOTIF_TYPES.csv!$A$1:$C$119,2,1)</f>
        <v>Cups Single</v>
      </c>
      <c r="E4862" t="str">
        <f>VLOOKUP(A4862,Panels!$A$1:$E$2104,5,0)</f>
        <v>Black Beck Hole</v>
      </c>
    </row>
    <row r="4863">
      <c r="A4863" s="3">
        <v>2331.0</v>
      </c>
      <c r="B4863" s="3">
        <v>13.0</v>
      </c>
      <c r="C4863" s="3">
        <v>1.0</v>
      </c>
      <c r="D4863" t="str">
        <f>VLOOKUP(B4863,ERA_MOTIF_TYPES.csv!$A$1:$C$119,2,1)</f>
        <v>Single Ring + cup</v>
      </c>
      <c r="E4863" t="str">
        <f>VLOOKUP(A4863,Panels!$A$1:$E$2104,5,0)</f>
        <v>Black Beck Hole</v>
      </c>
    </row>
    <row r="4864">
      <c r="A4864" s="3">
        <v>2331.0</v>
      </c>
      <c r="B4864" s="3">
        <v>25.0</v>
      </c>
      <c r="C4864" s="3">
        <v>6.0</v>
      </c>
      <c r="D4864" t="str">
        <f>VLOOKUP(B4864,ERA_MOTIF_TYPES.csv!$A$1:$C$119,2,1)</f>
        <v>Linear</v>
      </c>
      <c r="E4864" t="str">
        <f>VLOOKUP(A4864,Panels!$A$1:$E$2104,5,0)</f>
        <v>Black Beck Hole</v>
      </c>
    </row>
    <row r="4865">
      <c r="A4865" s="3">
        <v>2331.0</v>
      </c>
      <c r="B4865" s="3">
        <v>28.0</v>
      </c>
      <c r="C4865" s="3">
        <v>1.0</v>
      </c>
      <c r="D4865" t="str">
        <f>VLOOKUP(B4865,ERA_MOTIF_TYPES.csv!$A$1:$C$119,2,1)</f>
        <v>Chevron</v>
      </c>
      <c r="E4865" t="str">
        <f>VLOOKUP(A4865,Panels!$A$1:$E$2104,5,0)</f>
        <v>Black Beck Hole</v>
      </c>
    </row>
    <row r="4866">
      <c r="A4866" s="3">
        <v>2331.0</v>
      </c>
      <c r="B4866" s="3">
        <v>117.0</v>
      </c>
      <c r="C4866" s="3">
        <v>1.0</v>
      </c>
      <c r="D4866" t="str">
        <f>VLOOKUP(B4866,ERA_MOTIF_TYPES.csv!$A$1:$C$119,2,1)</f>
        <v>Dumb-bell</v>
      </c>
      <c r="E4866" t="str">
        <f>VLOOKUP(A4866,Panels!$A$1:$E$2104,5,0)</f>
        <v>Black Beck Hole</v>
      </c>
    </row>
    <row r="4867">
      <c r="A4867" s="3">
        <v>2332.0</v>
      </c>
      <c r="B4867" s="3">
        <v>18.0</v>
      </c>
      <c r="C4867" s="3">
        <v>3.0</v>
      </c>
      <c r="D4867" t="str">
        <f>VLOOKUP(B4867,ERA_MOTIF_TYPES.csv!$A$1:$C$119,2,1)</f>
        <v>Multi Arc + cup</v>
      </c>
      <c r="E4867" t="str">
        <f>VLOOKUP(A4867,Panels!$A$1:$E$2104,5,0)</f>
        <v>Black Beck Hole</v>
      </c>
    </row>
    <row r="4868">
      <c r="A4868" s="3">
        <v>2332.0</v>
      </c>
      <c r="B4868" s="3">
        <v>46.0</v>
      </c>
      <c r="C4868" s="3">
        <v>1.0</v>
      </c>
      <c r="D4868" t="str">
        <f>VLOOKUP(B4868,ERA_MOTIF_TYPES.csv!$A$1:$C$119,2,1)</f>
        <v>Groove and cups</v>
      </c>
      <c r="E4868" t="str">
        <f>VLOOKUP(A4868,Panels!$A$1:$E$2104,5,0)</f>
        <v>Black Beck Hole</v>
      </c>
    </row>
    <row r="4869">
      <c r="A4869" s="3">
        <v>2332.0</v>
      </c>
      <c r="B4869" s="3">
        <v>1.0</v>
      </c>
      <c r="C4869" s="3">
        <v>12.0</v>
      </c>
      <c r="D4869" t="str">
        <f>VLOOKUP(B4869,ERA_MOTIF_TYPES.csv!$A$1:$C$119,2,1)</f>
        <v>Cups Single</v>
      </c>
      <c r="E4869" t="str">
        <f>VLOOKUP(A4869,Panels!$A$1:$E$2104,5,0)</f>
        <v>Black Beck Hole</v>
      </c>
    </row>
    <row r="4870">
      <c r="A4870" s="3">
        <v>2332.0</v>
      </c>
      <c r="B4870" s="3">
        <v>13.0</v>
      </c>
      <c r="C4870" s="3">
        <v>4.0</v>
      </c>
      <c r="D4870" t="str">
        <f>VLOOKUP(B4870,ERA_MOTIF_TYPES.csv!$A$1:$C$119,2,1)</f>
        <v>Single Ring + cup</v>
      </c>
      <c r="E4870" t="str">
        <f>VLOOKUP(A4870,Panels!$A$1:$E$2104,5,0)</f>
        <v>Black Beck Hole</v>
      </c>
    </row>
    <row r="4871">
      <c r="A4871" s="3">
        <v>2332.0</v>
      </c>
      <c r="B4871" s="3">
        <v>16.0</v>
      </c>
      <c r="C4871" s="3">
        <v>2.0</v>
      </c>
      <c r="D4871" t="str">
        <f>VLOOKUP(B4871,ERA_MOTIF_TYPES.csv!$A$1:$C$119,2,1)</f>
        <v>Single Arc + cup</v>
      </c>
      <c r="E4871" t="str">
        <f>VLOOKUP(A4871,Panels!$A$1:$E$2104,5,0)</f>
        <v>Black Beck Hole</v>
      </c>
    </row>
    <row r="4872">
      <c r="A4872" s="3">
        <v>2333.0</v>
      </c>
      <c r="B4872" s="3">
        <v>1.0</v>
      </c>
      <c r="C4872" s="3">
        <v>3.0</v>
      </c>
      <c r="D4872" t="str">
        <f>VLOOKUP(B4872,ERA_MOTIF_TYPES.csv!$A$1:$C$119,2,1)</f>
        <v>Cups Single</v>
      </c>
      <c r="E4872" t="str">
        <f>VLOOKUP(A4872,Panels!$A$1:$E$2104,5,0)</f>
        <v>Coarse Stone Edge</v>
      </c>
    </row>
    <row r="4873">
      <c r="A4873" s="3">
        <v>2333.0</v>
      </c>
      <c r="B4873" s="3">
        <v>13.0</v>
      </c>
      <c r="C4873" s="3">
        <v>1.0</v>
      </c>
      <c r="D4873" t="str">
        <f>VLOOKUP(B4873,ERA_MOTIF_TYPES.csv!$A$1:$C$119,2,1)</f>
        <v>Single Ring + cup</v>
      </c>
      <c r="E4873" t="str">
        <f>VLOOKUP(A4873,Panels!$A$1:$E$2104,5,0)</f>
        <v>Coarse Stone Edge</v>
      </c>
    </row>
    <row r="4874">
      <c r="A4874" s="3">
        <v>2334.0</v>
      </c>
      <c r="B4874" s="3">
        <v>1.0</v>
      </c>
      <c r="C4874" s="3">
        <v>1.0</v>
      </c>
      <c r="D4874" t="str">
        <f>VLOOKUP(B4874,ERA_MOTIF_TYPES.csv!$A$1:$C$119,2,1)</f>
        <v>Cups Single</v>
      </c>
      <c r="E4874" t="str">
        <f>VLOOKUP(A4874,Panels!$A$1:$E$2104,5,0)</f>
        <v>Coarse Stone Edge</v>
      </c>
    </row>
    <row r="4875">
      <c r="A4875" s="3">
        <v>2334.0</v>
      </c>
      <c r="B4875" s="3">
        <v>31.0</v>
      </c>
      <c r="C4875" s="3">
        <v>1.0</v>
      </c>
      <c r="D4875" t="str">
        <f>VLOOKUP(B4875,ERA_MOTIF_TYPES.csv!$A$1:$C$119,2,1)</f>
        <v>Cup and Groove</v>
      </c>
      <c r="E4875" t="str">
        <f>VLOOKUP(A4875,Panels!$A$1:$E$2104,5,0)</f>
        <v>Coarse Stone Edge</v>
      </c>
    </row>
    <row r="4876">
      <c r="A4876" s="3">
        <v>2335.0</v>
      </c>
      <c r="B4876" s="3">
        <v>1.0</v>
      </c>
      <c r="C4876" s="1"/>
      <c r="D4876" t="str">
        <f>VLOOKUP(B4876,ERA_MOTIF_TYPES.csv!$A$1:$C$119,2,1)</f>
        <v>Cups Single</v>
      </c>
      <c r="E4876" t="str">
        <f>VLOOKUP(A4876,Panels!$A$1:$E$2104,5,0)</f>
        <v>Coarse Stone Edge</v>
      </c>
    </row>
    <row r="4877">
      <c r="A4877" s="3">
        <v>2336.0</v>
      </c>
      <c r="B4877" s="3">
        <v>1.0</v>
      </c>
      <c r="C4877" s="3">
        <v>1.0</v>
      </c>
      <c r="D4877" t="str">
        <f>VLOOKUP(B4877,ERA_MOTIF_TYPES.csv!$A$1:$C$119,2,1)</f>
        <v>Cups Single</v>
      </c>
      <c r="E4877" t="str">
        <f>VLOOKUP(A4877,Panels!$A$1:$E$2104,5,0)</f>
        <v>Coarse Stone Edge</v>
      </c>
    </row>
    <row r="4878">
      <c r="A4878" s="3">
        <v>2336.0</v>
      </c>
      <c r="B4878" s="3">
        <v>2.0</v>
      </c>
      <c r="C4878" s="1"/>
      <c r="D4878" t="str">
        <f>VLOOKUP(B4878,ERA_MOTIF_TYPES.csv!$A$1:$C$119,2,1)</f>
        <v>Random Cluster</v>
      </c>
      <c r="E4878" t="str">
        <f>VLOOKUP(A4878,Panels!$A$1:$E$2104,5,0)</f>
        <v>Coarse Stone Edge</v>
      </c>
    </row>
    <row r="4879">
      <c r="A4879" s="3">
        <v>2336.0</v>
      </c>
      <c r="B4879" s="3">
        <v>3.0</v>
      </c>
      <c r="C4879" s="1"/>
      <c r="D4879" t="str">
        <f>VLOOKUP(B4879,ERA_MOTIF_TYPES.csv!$A$1:$C$119,2,1)</f>
        <v>Parallel Domino</v>
      </c>
      <c r="E4879" t="str">
        <f>VLOOKUP(A4879,Panels!$A$1:$E$2104,5,0)</f>
        <v>Coarse Stone Edge</v>
      </c>
    </row>
    <row r="4880">
      <c r="A4880" s="3">
        <v>2336.0</v>
      </c>
      <c r="B4880" s="3">
        <v>4.0</v>
      </c>
      <c r="C4880" s="1"/>
      <c r="D4880" t="str">
        <f>VLOOKUP(B4880,ERA_MOTIF_TYPES.csv!$A$1:$C$119,2,1)</f>
        <v>Counter-sunk</v>
      </c>
      <c r="E4880" t="str">
        <f>VLOOKUP(A4880,Panels!$A$1:$E$2104,5,0)</f>
        <v>Coarse Stone Edge</v>
      </c>
    </row>
    <row r="4881">
      <c r="A4881" s="3">
        <v>2337.0</v>
      </c>
      <c r="B4881" s="3">
        <v>1.0</v>
      </c>
      <c r="C4881" s="3">
        <v>2.0</v>
      </c>
      <c r="D4881" t="str">
        <f>VLOOKUP(B4881,ERA_MOTIF_TYPES.csv!$A$1:$C$119,2,1)</f>
        <v>Cups Single</v>
      </c>
      <c r="E4881" t="str">
        <f>VLOOKUP(A4881,Panels!$A$1:$E$2104,5,0)</f>
        <v>Coarse Stone Edge</v>
      </c>
    </row>
    <row r="4882">
      <c r="A4882" s="3">
        <v>2338.0</v>
      </c>
      <c r="B4882" s="3">
        <v>1.0</v>
      </c>
      <c r="C4882" s="3">
        <v>4.0</v>
      </c>
      <c r="D4882" t="str">
        <f>VLOOKUP(B4882,ERA_MOTIF_TYPES.csv!$A$1:$C$119,2,1)</f>
        <v>Cups Single</v>
      </c>
      <c r="E4882" t="str">
        <f>VLOOKUP(A4882,Panels!$A$1:$E$2104,5,0)</f>
        <v>Coarse Stone Edge</v>
      </c>
    </row>
    <row r="4883">
      <c r="A4883" s="3">
        <v>2339.0</v>
      </c>
      <c r="B4883" s="3">
        <v>1.0</v>
      </c>
      <c r="C4883" s="3">
        <v>20.0</v>
      </c>
      <c r="D4883" t="str">
        <f>VLOOKUP(B4883,ERA_MOTIF_TYPES.csv!$A$1:$C$119,2,1)</f>
        <v>Cups Single</v>
      </c>
      <c r="E4883" t="str">
        <f>VLOOKUP(A4883,Panels!$A$1:$E$2104,5,0)</f>
        <v>Silver Well</v>
      </c>
    </row>
    <row r="4884">
      <c r="A4884" s="3">
        <v>2339.0</v>
      </c>
      <c r="B4884" s="3">
        <v>2.0</v>
      </c>
      <c r="C4884" s="1"/>
      <c r="D4884" t="str">
        <f>VLOOKUP(B4884,ERA_MOTIF_TYPES.csv!$A$1:$C$119,2,1)</f>
        <v>Random Cluster</v>
      </c>
      <c r="E4884" t="str">
        <f>VLOOKUP(A4884,Panels!$A$1:$E$2104,5,0)</f>
        <v>Silver Well</v>
      </c>
    </row>
    <row r="4885">
      <c r="A4885" s="3">
        <v>2339.0</v>
      </c>
      <c r="B4885" s="3">
        <v>25.0</v>
      </c>
      <c r="C4885" s="3">
        <v>1.0</v>
      </c>
      <c r="D4885" t="str">
        <f>VLOOKUP(B4885,ERA_MOTIF_TYPES.csv!$A$1:$C$119,2,1)</f>
        <v>Linear</v>
      </c>
      <c r="E4885" t="str">
        <f>VLOOKUP(A4885,Panels!$A$1:$E$2104,5,0)</f>
        <v>Silver Well</v>
      </c>
    </row>
    <row r="4886">
      <c r="A4886" s="3">
        <v>2340.0</v>
      </c>
      <c r="B4886" s="3">
        <v>1.0</v>
      </c>
      <c r="C4886" s="3">
        <v>6.0</v>
      </c>
      <c r="D4886" t="str">
        <f>VLOOKUP(B4886,ERA_MOTIF_TYPES.csv!$A$1:$C$119,2,1)</f>
        <v>Cups Single</v>
      </c>
      <c r="E4886" t="str">
        <f>VLOOKUP(A4886,Panels!$A$1:$E$2104,5,0)</f>
        <v>Silver Well</v>
      </c>
    </row>
    <row r="4887">
      <c r="A4887" s="3">
        <v>2341.0</v>
      </c>
      <c r="B4887" s="3">
        <v>1.0</v>
      </c>
      <c r="C4887" s="3">
        <v>1.0</v>
      </c>
      <c r="D4887" t="str">
        <f>VLOOKUP(B4887,ERA_MOTIF_TYPES.csv!$A$1:$C$119,2,1)</f>
        <v>Cups Single</v>
      </c>
      <c r="E4887" t="str">
        <f>VLOOKUP(A4887,Panels!$A$1:$E$2104,5,0)</f>
        <v>Silver Well</v>
      </c>
    </row>
    <row r="4888">
      <c r="A4888" s="3">
        <v>2342.0</v>
      </c>
      <c r="B4888" s="3">
        <v>1.0</v>
      </c>
      <c r="C4888" s="3">
        <v>4.0</v>
      </c>
      <c r="D4888" t="str">
        <f>VLOOKUP(B4888,ERA_MOTIF_TYPES.csv!$A$1:$C$119,2,1)</f>
        <v>Cups Single</v>
      </c>
      <c r="E4888" t="str">
        <f>VLOOKUP(A4888,Panels!$A$1:$E$2104,5,0)</f>
        <v>Silver Well</v>
      </c>
    </row>
    <row r="4889">
      <c r="A4889" s="3">
        <v>2343.0</v>
      </c>
      <c r="B4889" s="3">
        <v>1.0</v>
      </c>
      <c r="C4889" s="3">
        <v>1.0</v>
      </c>
      <c r="D4889" t="str">
        <f>VLOOKUP(B4889,ERA_MOTIF_TYPES.csv!$A$1:$C$119,2,1)</f>
        <v>Cups Single</v>
      </c>
      <c r="E4889" t="str">
        <f>VLOOKUP(A4889,Panels!$A$1:$E$2104,5,0)</f>
        <v>Silver Well</v>
      </c>
    </row>
    <row r="4890">
      <c r="A4890" s="3">
        <v>2344.0</v>
      </c>
      <c r="B4890" s="3">
        <v>1.0</v>
      </c>
      <c r="C4890" s="3">
        <v>2.0</v>
      </c>
      <c r="D4890" t="str">
        <f>VLOOKUP(B4890,ERA_MOTIF_TYPES.csv!$A$1:$C$119,2,1)</f>
        <v>Cups Single</v>
      </c>
      <c r="E4890" t="str">
        <f>VLOOKUP(A4890,Panels!$A$1:$E$2104,5,0)</f>
        <v>Weary Hill</v>
      </c>
    </row>
    <row r="4891">
      <c r="A4891" s="3">
        <v>2344.0</v>
      </c>
      <c r="B4891" s="3">
        <v>16.0</v>
      </c>
      <c r="C4891" s="3">
        <v>2.0</v>
      </c>
      <c r="D4891" t="str">
        <f>VLOOKUP(B4891,ERA_MOTIF_TYPES.csv!$A$1:$C$119,2,1)</f>
        <v>Single Arc + cup</v>
      </c>
      <c r="E4891" t="str">
        <f>VLOOKUP(A4891,Panels!$A$1:$E$2104,5,0)</f>
        <v>Weary Hill</v>
      </c>
    </row>
    <row r="4892">
      <c r="A4892" s="3">
        <v>2344.0</v>
      </c>
      <c r="B4892" s="3">
        <v>24.0</v>
      </c>
      <c r="C4892" s="3">
        <v>1.0</v>
      </c>
      <c r="D4892" t="str">
        <f>VLOOKUP(B4892,ERA_MOTIF_TYPES.csv!$A$1:$C$119,2,1)</f>
        <v>Multi Keyhole and Cup</v>
      </c>
      <c r="E4892" t="str">
        <f>VLOOKUP(A4892,Panels!$A$1:$E$2104,5,0)</f>
        <v>Weary Hill</v>
      </c>
    </row>
    <row r="4893">
      <c r="A4893" s="3">
        <v>2344.0</v>
      </c>
      <c r="B4893" s="3">
        <v>25.0</v>
      </c>
      <c r="C4893" s="3">
        <v>3.0</v>
      </c>
      <c r="D4893" t="str">
        <f>VLOOKUP(B4893,ERA_MOTIF_TYPES.csv!$A$1:$C$119,2,1)</f>
        <v>Linear</v>
      </c>
      <c r="E4893" t="str">
        <f>VLOOKUP(A4893,Panels!$A$1:$E$2104,5,0)</f>
        <v>Weary Hill</v>
      </c>
    </row>
    <row r="4894">
      <c r="A4894" s="3">
        <v>2345.0</v>
      </c>
      <c r="B4894" s="3">
        <v>1.0</v>
      </c>
      <c r="C4894" s="3">
        <v>9.0</v>
      </c>
      <c r="D4894" t="str">
        <f>VLOOKUP(B4894,ERA_MOTIF_TYPES.csv!$A$1:$C$119,2,1)</f>
        <v>Cups Single</v>
      </c>
      <c r="E4894" t="str">
        <f>VLOOKUP(A4894,Panels!$A$1:$E$2104,5,0)</f>
        <v>Weary Hill</v>
      </c>
    </row>
    <row r="4895">
      <c r="A4895" s="3">
        <v>2346.0</v>
      </c>
      <c r="B4895" s="3">
        <v>1.0</v>
      </c>
      <c r="C4895" s="3">
        <v>7.0</v>
      </c>
      <c r="D4895" t="str">
        <f>VLOOKUP(B4895,ERA_MOTIF_TYPES.csv!$A$1:$C$119,2,1)</f>
        <v>Cups Single</v>
      </c>
      <c r="E4895" t="str">
        <f>VLOOKUP(A4895,Panels!$A$1:$E$2104,5,0)</f>
        <v>Weary Hill</v>
      </c>
    </row>
    <row r="4896">
      <c r="A4896" s="3">
        <v>2346.0</v>
      </c>
      <c r="B4896" s="3">
        <v>13.0</v>
      </c>
      <c r="C4896" s="1"/>
      <c r="D4896" t="str">
        <f>VLOOKUP(B4896,ERA_MOTIF_TYPES.csv!$A$1:$C$119,2,1)</f>
        <v>Single Ring + cup</v>
      </c>
      <c r="E4896" t="str">
        <f>VLOOKUP(A4896,Panels!$A$1:$E$2104,5,0)</f>
        <v>Weary Hill</v>
      </c>
    </row>
    <row r="4897">
      <c r="A4897" s="3">
        <v>2346.0</v>
      </c>
      <c r="B4897" s="3">
        <v>17.0</v>
      </c>
      <c r="C4897" s="3">
        <v>3.0</v>
      </c>
      <c r="D4897" t="str">
        <f>VLOOKUP(B4897,ERA_MOTIF_TYPES.csv!$A$1:$C$119,2,1)</f>
        <v>Single Penannular + cup</v>
      </c>
      <c r="E4897" t="str">
        <f>VLOOKUP(A4897,Panels!$A$1:$E$2104,5,0)</f>
        <v>Weary Hill</v>
      </c>
    </row>
    <row r="4898">
      <c r="A4898" s="3">
        <v>2346.0</v>
      </c>
      <c r="B4898" s="3">
        <v>22.0</v>
      </c>
      <c r="C4898" s="3">
        <v>1.0</v>
      </c>
      <c r="D4898" t="str">
        <f>VLOOKUP(B4898,ERA_MOTIF_TYPES.csv!$A$1:$C$119,2,1)</f>
        <v>Keyhole and cup</v>
      </c>
      <c r="E4898" t="str">
        <f>VLOOKUP(A4898,Panels!$A$1:$E$2104,5,0)</f>
        <v>Weary Hill</v>
      </c>
    </row>
    <row r="4899">
      <c r="A4899" s="3">
        <v>2347.0</v>
      </c>
      <c r="B4899" s="3">
        <v>1.0</v>
      </c>
      <c r="C4899" s="3">
        <v>1.0</v>
      </c>
      <c r="D4899" t="str">
        <f>VLOOKUP(B4899,ERA_MOTIF_TYPES.csv!$A$1:$C$119,2,1)</f>
        <v>Cups Single</v>
      </c>
      <c r="E4899" t="str">
        <f>VLOOKUP(A4899,Panels!$A$1:$E$2104,5,0)</f>
        <v>Barmishaw</v>
      </c>
    </row>
    <row r="4900">
      <c r="A4900" s="3">
        <v>2348.0</v>
      </c>
      <c r="B4900" s="3">
        <v>1.0</v>
      </c>
      <c r="C4900" s="3">
        <v>14.0</v>
      </c>
      <c r="D4900" t="str">
        <f>VLOOKUP(B4900,ERA_MOTIF_TYPES.csv!$A$1:$C$119,2,1)</f>
        <v>Cups Single</v>
      </c>
      <c r="E4900" t="str">
        <f>VLOOKUP(A4900,Panels!$A$1:$E$2104,5,0)</f>
        <v>Barmishaw</v>
      </c>
    </row>
    <row r="4901">
      <c r="A4901" s="3">
        <v>2348.0</v>
      </c>
      <c r="B4901" s="3">
        <v>13.0</v>
      </c>
      <c r="C4901" s="1"/>
      <c r="D4901" t="str">
        <f>VLOOKUP(B4901,ERA_MOTIF_TYPES.csv!$A$1:$C$119,2,1)</f>
        <v>Single Ring + cup</v>
      </c>
      <c r="E4901" t="str">
        <f>VLOOKUP(A4901,Panels!$A$1:$E$2104,5,0)</f>
        <v>Barmishaw</v>
      </c>
    </row>
    <row r="4902">
      <c r="A4902" s="3">
        <v>2348.0</v>
      </c>
      <c r="B4902" s="3">
        <v>14.0</v>
      </c>
      <c r="C4902" s="1"/>
      <c r="D4902" t="str">
        <f>VLOOKUP(B4902,ERA_MOTIF_TYPES.csv!$A$1:$C$119,2,1)</f>
        <v>Multi Ring + cup</v>
      </c>
      <c r="E4902" t="str">
        <f>VLOOKUP(A4902,Panels!$A$1:$E$2104,5,0)</f>
        <v>Barmishaw</v>
      </c>
    </row>
    <row r="4903">
      <c r="A4903" s="3">
        <v>2348.0</v>
      </c>
      <c r="B4903" s="3">
        <v>16.0</v>
      </c>
      <c r="C4903" s="1"/>
      <c r="D4903" t="str">
        <f>VLOOKUP(B4903,ERA_MOTIF_TYPES.csv!$A$1:$C$119,2,1)</f>
        <v>Single Arc + cup</v>
      </c>
      <c r="E4903" t="str">
        <f>VLOOKUP(A4903,Panels!$A$1:$E$2104,5,0)</f>
        <v>Barmishaw</v>
      </c>
    </row>
    <row r="4904">
      <c r="A4904" s="3">
        <v>2348.0</v>
      </c>
      <c r="B4904" s="3">
        <v>18.0</v>
      </c>
      <c r="C4904" s="1"/>
      <c r="D4904" t="str">
        <f>VLOOKUP(B4904,ERA_MOTIF_TYPES.csv!$A$1:$C$119,2,1)</f>
        <v>Multi Arc + cup</v>
      </c>
      <c r="E4904" t="str">
        <f>VLOOKUP(A4904,Panels!$A$1:$E$2104,5,0)</f>
        <v>Barmishaw</v>
      </c>
    </row>
    <row r="4905">
      <c r="A4905" s="3">
        <v>2348.0</v>
      </c>
      <c r="B4905" s="3">
        <v>31.0</v>
      </c>
      <c r="C4905" s="1"/>
      <c r="D4905" t="str">
        <f>VLOOKUP(B4905,ERA_MOTIF_TYPES.csv!$A$1:$C$119,2,1)</f>
        <v>Cup and Groove</v>
      </c>
      <c r="E4905" t="str">
        <f>VLOOKUP(A4905,Panels!$A$1:$E$2104,5,0)</f>
        <v>Barmishaw</v>
      </c>
    </row>
    <row r="4906">
      <c r="A4906" s="3">
        <v>2348.0</v>
      </c>
      <c r="B4906" s="3">
        <v>36.0</v>
      </c>
      <c r="C4906" s="3">
        <v>1.0</v>
      </c>
      <c r="D4906" t="str">
        <f>VLOOKUP(B4906,ERA_MOTIF_TYPES.csv!$A$1:$C$119,2,1)</f>
        <v>Cup Groove and arc</v>
      </c>
      <c r="E4906" t="str">
        <f>VLOOKUP(A4906,Panels!$A$1:$E$2104,5,0)</f>
        <v>Barmishaw</v>
      </c>
    </row>
    <row r="4907">
      <c r="A4907" s="3">
        <v>2348.0</v>
      </c>
      <c r="B4907" s="3">
        <v>117.0</v>
      </c>
      <c r="C4907" s="3">
        <v>1.0</v>
      </c>
      <c r="D4907" t="str">
        <f>VLOOKUP(B4907,ERA_MOTIF_TYPES.csv!$A$1:$C$119,2,1)</f>
        <v>Dumb-bell</v>
      </c>
      <c r="E4907" t="str">
        <f>VLOOKUP(A4907,Panels!$A$1:$E$2104,5,0)</f>
        <v>Barmishaw</v>
      </c>
    </row>
    <row r="4908">
      <c r="A4908" s="3">
        <v>2349.0</v>
      </c>
      <c r="B4908" s="3">
        <v>1.0</v>
      </c>
      <c r="C4908" s="3">
        <v>6.0</v>
      </c>
      <c r="D4908" t="str">
        <f>VLOOKUP(B4908,ERA_MOTIF_TYPES.csv!$A$1:$C$119,2,1)</f>
        <v>Cups Single</v>
      </c>
      <c r="E4908" t="str">
        <f>VLOOKUP(A4908,Panels!$A$1:$E$2104,5,0)</f>
        <v>Graining's Head</v>
      </c>
    </row>
    <row r="4909">
      <c r="A4909" s="3">
        <v>2349.0</v>
      </c>
      <c r="B4909" s="3">
        <v>13.0</v>
      </c>
      <c r="C4909" s="3">
        <v>1.0</v>
      </c>
      <c r="D4909" t="str">
        <f>VLOOKUP(B4909,ERA_MOTIF_TYPES.csv!$A$1:$C$119,2,1)</f>
        <v>Single Ring + cup</v>
      </c>
      <c r="E4909" t="str">
        <f>VLOOKUP(A4909,Panels!$A$1:$E$2104,5,0)</f>
        <v>Graining's Head</v>
      </c>
    </row>
    <row r="4910">
      <c r="A4910" s="3">
        <v>2349.0</v>
      </c>
      <c r="B4910" s="3">
        <v>16.0</v>
      </c>
      <c r="C4910" s="3">
        <v>1.0</v>
      </c>
      <c r="D4910" t="str">
        <f>VLOOKUP(B4910,ERA_MOTIF_TYPES.csv!$A$1:$C$119,2,1)</f>
        <v>Single Arc + cup</v>
      </c>
      <c r="E4910" t="str">
        <f>VLOOKUP(A4910,Panels!$A$1:$E$2104,5,0)</f>
        <v>Graining's Head</v>
      </c>
    </row>
    <row r="4911">
      <c r="A4911" s="3">
        <v>2349.0</v>
      </c>
      <c r="B4911" s="3">
        <v>25.0</v>
      </c>
      <c r="C4911" s="3">
        <v>3.0</v>
      </c>
      <c r="D4911" t="str">
        <f>VLOOKUP(B4911,ERA_MOTIF_TYPES.csv!$A$1:$C$119,2,1)</f>
        <v>Linear</v>
      </c>
      <c r="E4911" t="str">
        <f>VLOOKUP(A4911,Panels!$A$1:$E$2104,5,0)</f>
        <v>Graining's Head</v>
      </c>
    </row>
    <row r="4912">
      <c r="A4912" s="3">
        <v>2350.0</v>
      </c>
      <c r="B4912" s="3">
        <v>1.0</v>
      </c>
      <c r="C4912" s="3">
        <v>10.0</v>
      </c>
      <c r="D4912" t="str">
        <f>VLOOKUP(B4912,ERA_MOTIF_TYPES.csv!$A$1:$C$119,2,1)</f>
        <v>Cups Single</v>
      </c>
      <c r="E4912" t="str">
        <f>VLOOKUP(A4912,Panels!$A$1:$E$2104,5,0)</f>
        <v>Graining's Head</v>
      </c>
    </row>
    <row r="4913">
      <c r="A4913" s="3">
        <v>2351.0</v>
      </c>
      <c r="B4913" s="3">
        <v>1.0</v>
      </c>
      <c r="C4913" s="3">
        <v>68.0</v>
      </c>
      <c r="D4913" t="str">
        <f>VLOOKUP(B4913,ERA_MOTIF_TYPES.csv!$A$1:$C$119,2,1)</f>
        <v>Cups Single</v>
      </c>
      <c r="E4913" t="str">
        <f>VLOOKUP(A4913,Panels!$A$1:$E$2104,5,0)</f>
        <v>Badger Stone</v>
      </c>
    </row>
    <row r="4914">
      <c r="A4914" s="3">
        <v>2351.0</v>
      </c>
      <c r="B4914" s="3">
        <v>2.0</v>
      </c>
      <c r="C4914" s="1"/>
      <c r="D4914" t="str">
        <f>VLOOKUP(B4914,ERA_MOTIF_TYPES.csv!$A$1:$C$119,2,1)</f>
        <v>Random Cluster</v>
      </c>
      <c r="E4914" t="str">
        <f>VLOOKUP(A4914,Panels!$A$1:$E$2104,5,0)</f>
        <v>Badger Stone</v>
      </c>
    </row>
    <row r="4915">
      <c r="A4915" s="3">
        <v>2351.0</v>
      </c>
      <c r="B4915" s="3">
        <v>7.0</v>
      </c>
      <c r="C4915" s="3">
        <v>2.0</v>
      </c>
      <c r="D4915" t="str">
        <f>VLOOKUP(B4915,ERA_MOTIF_TYPES.csv!$A$1:$C$119,2,1)</f>
        <v>Single Ring</v>
      </c>
      <c r="E4915" t="str">
        <f>VLOOKUP(A4915,Panels!$A$1:$E$2104,5,0)</f>
        <v>Badger Stone</v>
      </c>
    </row>
    <row r="4916">
      <c r="A4916" s="3">
        <v>2351.0</v>
      </c>
      <c r="B4916" s="3">
        <v>19.0</v>
      </c>
      <c r="C4916" s="3">
        <v>1.0</v>
      </c>
      <c r="D4916" t="str">
        <f>VLOOKUP(B4916,ERA_MOTIF_TYPES.csv!$A$1:$C$119,2,1)</f>
        <v>Keyhole</v>
      </c>
      <c r="E4916" t="str">
        <f>VLOOKUP(A4916,Panels!$A$1:$E$2104,5,0)</f>
        <v>Badger Stone</v>
      </c>
    </row>
    <row r="4917">
      <c r="A4917" s="3">
        <v>2351.0</v>
      </c>
      <c r="B4917" s="3">
        <v>25.0</v>
      </c>
      <c r="C4917" s="3">
        <v>5.0</v>
      </c>
      <c r="D4917" t="str">
        <f>VLOOKUP(B4917,ERA_MOTIF_TYPES.csv!$A$1:$C$119,2,1)</f>
        <v>Linear</v>
      </c>
      <c r="E4917" t="str">
        <f>VLOOKUP(A4917,Panels!$A$1:$E$2104,5,0)</f>
        <v>Badger Stone</v>
      </c>
    </row>
    <row r="4918">
      <c r="A4918" s="3">
        <v>2351.0</v>
      </c>
      <c r="B4918" s="3">
        <v>27.0</v>
      </c>
      <c r="C4918" s="3">
        <v>1.0</v>
      </c>
      <c r="D4918" t="str">
        <f>VLOOKUP(B4918,ERA_MOTIF_TYPES.csv!$A$1:$C$119,2,1)</f>
        <v>Serpentine</v>
      </c>
      <c r="E4918" t="str">
        <f>VLOOKUP(A4918,Panels!$A$1:$E$2104,5,0)</f>
        <v>Badger Stone</v>
      </c>
    </row>
    <row r="4919">
      <c r="A4919" s="3">
        <v>2351.0</v>
      </c>
      <c r="B4919" s="3">
        <v>31.0</v>
      </c>
      <c r="C4919" s="1"/>
      <c r="D4919" t="str">
        <f>VLOOKUP(B4919,ERA_MOTIF_TYPES.csv!$A$1:$C$119,2,1)</f>
        <v>Cup and Groove</v>
      </c>
      <c r="E4919" t="str">
        <f>VLOOKUP(A4919,Panels!$A$1:$E$2104,5,0)</f>
        <v>Badger Stone</v>
      </c>
    </row>
    <row r="4920">
      <c r="A4920" s="3">
        <v>2351.0</v>
      </c>
      <c r="B4920" s="3">
        <v>32.0</v>
      </c>
      <c r="C4920" s="3">
        <v>10.0</v>
      </c>
      <c r="D4920" t="str">
        <f>VLOOKUP(B4920,ERA_MOTIF_TYPES.csv!$A$1:$C$119,2,1)</f>
        <v>Cup Groove and single ring</v>
      </c>
      <c r="E4920" t="str">
        <f>VLOOKUP(A4920,Panels!$A$1:$E$2104,5,0)</f>
        <v>Badger Stone</v>
      </c>
    </row>
    <row r="4921">
      <c r="A4921" s="3">
        <v>2351.0</v>
      </c>
      <c r="B4921" s="3">
        <v>33.0</v>
      </c>
      <c r="C4921" s="3">
        <v>3.0</v>
      </c>
      <c r="D4921" t="str">
        <f>VLOOKUP(B4921,ERA_MOTIF_TYPES.csv!$A$1:$C$119,2,1)</f>
        <v>Cup Groove and multi ring</v>
      </c>
      <c r="E4921" t="str">
        <f>VLOOKUP(A4921,Panels!$A$1:$E$2104,5,0)</f>
        <v>Badger Stone</v>
      </c>
    </row>
    <row r="4922">
      <c r="A4922" s="3">
        <v>2351.0</v>
      </c>
      <c r="B4922" s="3">
        <v>36.0</v>
      </c>
      <c r="C4922" s="3">
        <v>6.0</v>
      </c>
      <c r="D4922" t="str">
        <f>VLOOKUP(B4922,ERA_MOTIF_TYPES.csv!$A$1:$C$119,2,1)</f>
        <v>Cup Groove and arc</v>
      </c>
      <c r="E4922" t="str">
        <f>VLOOKUP(A4922,Panels!$A$1:$E$2104,5,0)</f>
        <v>Badger Stone</v>
      </c>
    </row>
    <row r="4923">
      <c r="A4923" s="3">
        <v>2351.0</v>
      </c>
      <c r="B4923" s="3">
        <v>38.0</v>
      </c>
      <c r="C4923" s="3">
        <v>1.0</v>
      </c>
      <c r="D4923" t="str">
        <f>VLOOKUP(B4923,ERA_MOTIF_TYPES.csv!$A$1:$C$119,2,1)</f>
        <v>Spiral Left</v>
      </c>
      <c r="E4923" t="str">
        <f>VLOOKUP(A4923,Panels!$A$1:$E$2104,5,0)</f>
        <v>Badger Stone</v>
      </c>
    </row>
    <row r="4924">
      <c r="A4924" s="3">
        <v>2351.0</v>
      </c>
      <c r="B4924" s="3">
        <v>117.0</v>
      </c>
      <c r="C4924" s="3">
        <v>1.0</v>
      </c>
      <c r="D4924" t="str">
        <f>VLOOKUP(B4924,ERA_MOTIF_TYPES.csv!$A$1:$C$119,2,1)</f>
        <v>Dumb-bell</v>
      </c>
      <c r="E4924" t="str">
        <f>VLOOKUP(A4924,Panels!$A$1:$E$2104,5,0)</f>
        <v>Badger Stone</v>
      </c>
    </row>
    <row r="4925">
      <c r="A4925" s="3">
        <v>2352.0</v>
      </c>
      <c r="B4925" s="3">
        <v>1.0</v>
      </c>
      <c r="C4925" s="3">
        <v>1.0</v>
      </c>
      <c r="D4925" t="str">
        <f>VLOOKUP(B4925,ERA_MOTIF_TYPES.csv!$A$1:$C$119,2,1)</f>
        <v>Cups Single</v>
      </c>
      <c r="E4925" t="str">
        <f>VLOOKUP(A4925,Panels!$A$1:$E$2104,5,0)</f>
        <v>Green Gates</v>
      </c>
    </row>
    <row r="4926">
      <c r="A4926" s="3">
        <v>2352.0</v>
      </c>
      <c r="B4926" s="3">
        <v>31.0</v>
      </c>
      <c r="C4926" s="3">
        <v>1.0</v>
      </c>
      <c r="D4926" t="str">
        <f>VLOOKUP(B4926,ERA_MOTIF_TYPES.csv!$A$1:$C$119,2,1)</f>
        <v>Cup and Groove</v>
      </c>
      <c r="E4926" t="str">
        <f>VLOOKUP(A4926,Panels!$A$1:$E$2104,5,0)</f>
        <v>Green Gates</v>
      </c>
    </row>
    <row r="4927">
      <c r="A4927" s="3">
        <v>2353.0</v>
      </c>
      <c r="B4927" s="3">
        <v>1.0</v>
      </c>
      <c r="C4927" s="1"/>
      <c r="D4927" t="str">
        <f>VLOOKUP(B4927,ERA_MOTIF_TYPES.csv!$A$1:$C$119,2,1)</f>
        <v>Cups Single</v>
      </c>
      <c r="E4927" t="str">
        <f>VLOOKUP(A4927,Panels!$A$1:$E$2104,5,0)</f>
        <v>Green Gates</v>
      </c>
    </row>
    <row r="4928">
      <c r="A4928" s="3">
        <v>2353.0</v>
      </c>
      <c r="B4928" s="3">
        <v>14.0</v>
      </c>
      <c r="C4928" s="3">
        <v>1.0</v>
      </c>
      <c r="D4928" t="str">
        <f>VLOOKUP(B4928,ERA_MOTIF_TYPES.csv!$A$1:$C$119,2,1)</f>
        <v>Multi Ring + cup</v>
      </c>
      <c r="E4928" t="str">
        <f>VLOOKUP(A4928,Panels!$A$1:$E$2104,5,0)</f>
        <v>Green Gates</v>
      </c>
    </row>
    <row r="4929">
      <c r="A4929" s="3">
        <v>2354.0</v>
      </c>
      <c r="B4929" s="3">
        <v>1.0</v>
      </c>
      <c r="C4929" s="3">
        <v>3.0</v>
      </c>
      <c r="D4929" t="str">
        <f>VLOOKUP(B4929,ERA_MOTIF_TYPES.csv!$A$1:$C$119,2,1)</f>
        <v>Cups Single</v>
      </c>
      <c r="E4929" t="str">
        <f>VLOOKUP(A4929,Panels!$A$1:$E$2104,5,0)</f>
        <v>Green Gates</v>
      </c>
    </row>
    <row r="4930">
      <c r="A4930" s="3">
        <v>2355.0</v>
      </c>
      <c r="B4930" s="3">
        <v>1.0</v>
      </c>
      <c r="C4930" s="3">
        <v>3.0</v>
      </c>
      <c r="D4930" t="str">
        <f>VLOOKUP(B4930,ERA_MOTIF_TYPES.csv!$A$1:$C$119,2,1)</f>
        <v>Cups Single</v>
      </c>
      <c r="E4930" t="str">
        <f>VLOOKUP(A4930,Panels!$A$1:$E$2104,5,0)</f>
        <v>Green Gates</v>
      </c>
    </row>
    <row r="4931">
      <c r="A4931" s="3">
        <v>2355.0</v>
      </c>
      <c r="B4931" s="3">
        <v>32.0</v>
      </c>
      <c r="C4931" s="3">
        <v>3.0</v>
      </c>
      <c r="D4931" t="str">
        <f>VLOOKUP(B4931,ERA_MOTIF_TYPES.csv!$A$1:$C$119,2,1)</f>
        <v>Cup Groove and single ring</v>
      </c>
      <c r="E4931" t="str">
        <f>VLOOKUP(A4931,Panels!$A$1:$E$2104,5,0)</f>
        <v>Green Gates</v>
      </c>
    </row>
    <row r="4932">
      <c r="A4932" s="3">
        <v>2357.0</v>
      </c>
      <c r="B4932" s="3">
        <v>1.0</v>
      </c>
      <c r="C4932" s="3">
        <v>1.0</v>
      </c>
      <c r="D4932" t="str">
        <f>VLOOKUP(B4932,ERA_MOTIF_TYPES.csv!$A$1:$C$119,2,1)</f>
        <v>Cups Single</v>
      </c>
      <c r="E4932" t="str">
        <f>VLOOKUP(A4932,Panels!$A$1:$E$2104,5,0)</f>
        <v>Green Gates</v>
      </c>
    </row>
    <row r="4933">
      <c r="A4933" s="3">
        <v>2357.0</v>
      </c>
      <c r="B4933" s="3">
        <v>33.0</v>
      </c>
      <c r="C4933" s="3">
        <v>1.0</v>
      </c>
      <c r="D4933" t="str">
        <f>VLOOKUP(B4933,ERA_MOTIF_TYPES.csv!$A$1:$C$119,2,1)</f>
        <v>Cup Groove and multi ring</v>
      </c>
      <c r="E4933" t="str">
        <f>VLOOKUP(A4933,Panels!$A$1:$E$2104,5,0)</f>
        <v>Green Gates</v>
      </c>
    </row>
    <row r="4934">
      <c r="A4934" s="3">
        <v>2358.0</v>
      </c>
      <c r="B4934" s="3">
        <v>1.0</v>
      </c>
      <c r="C4934" s="3">
        <v>7.0</v>
      </c>
      <c r="D4934" t="str">
        <f>VLOOKUP(B4934,ERA_MOTIF_TYPES.csv!$A$1:$C$119,2,1)</f>
        <v>Cups Single</v>
      </c>
      <c r="E4934" t="str">
        <f>VLOOKUP(A4934,Panels!$A$1:$E$2104,5,0)</f>
        <v>Willy Hall's Wood</v>
      </c>
    </row>
    <row r="4935">
      <c r="A4935" s="3">
        <v>2358.0</v>
      </c>
      <c r="B4935" s="3">
        <v>2.0</v>
      </c>
      <c r="C4935" s="3">
        <v>2.0</v>
      </c>
      <c r="D4935" t="str">
        <f>VLOOKUP(B4935,ERA_MOTIF_TYPES.csv!$A$1:$C$119,2,1)</f>
        <v>Random Cluster</v>
      </c>
      <c r="E4935" t="str">
        <f>VLOOKUP(A4935,Panels!$A$1:$E$2104,5,0)</f>
        <v>Willy Hall's Wood</v>
      </c>
    </row>
    <row r="4936">
      <c r="A4936" s="3">
        <v>2358.0</v>
      </c>
      <c r="B4936" s="3">
        <v>7.0</v>
      </c>
      <c r="C4936" s="3">
        <v>1.0</v>
      </c>
      <c r="D4936" t="str">
        <f>VLOOKUP(B4936,ERA_MOTIF_TYPES.csv!$A$1:$C$119,2,1)</f>
        <v>Single Ring</v>
      </c>
      <c r="E4936" t="str">
        <f>VLOOKUP(A4936,Panels!$A$1:$E$2104,5,0)</f>
        <v>Willy Hall's Wood</v>
      </c>
    </row>
    <row r="4937">
      <c r="A4937" s="3">
        <v>2358.0</v>
      </c>
      <c r="B4937" s="3">
        <v>13.0</v>
      </c>
      <c r="C4937" s="3">
        <v>2.0</v>
      </c>
      <c r="D4937" t="str">
        <f>VLOOKUP(B4937,ERA_MOTIF_TYPES.csv!$A$1:$C$119,2,1)</f>
        <v>Single Ring + cup</v>
      </c>
      <c r="E4937" t="str">
        <f>VLOOKUP(A4937,Panels!$A$1:$E$2104,5,0)</f>
        <v>Willy Hall's Wood</v>
      </c>
    </row>
    <row r="4938">
      <c r="A4938" s="3">
        <v>2358.0</v>
      </c>
      <c r="B4938" s="3">
        <v>16.0</v>
      </c>
      <c r="C4938" s="3">
        <v>1.0</v>
      </c>
      <c r="D4938" t="str">
        <f>VLOOKUP(B4938,ERA_MOTIF_TYPES.csv!$A$1:$C$119,2,1)</f>
        <v>Single Arc + cup</v>
      </c>
      <c r="E4938" t="str">
        <f>VLOOKUP(A4938,Panels!$A$1:$E$2104,5,0)</f>
        <v>Willy Hall's Wood</v>
      </c>
    </row>
    <row r="4939">
      <c r="A4939" s="3">
        <v>2358.0</v>
      </c>
      <c r="B4939" s="3">
        <v>18.0</v>
      </c>
      <c r="C4939" s="3">
        <v>2.0</v>
      </c>
      <c r="D4939" t="str">
        <f>VLOOKUP(B4939,ERA_MOTIF_TYPES.csv!$A$1:$C$119,2,1)</f>
        <v>Multi Arc + cup</v>
      </c>
      <c r="E4939" t="str">
        <f>VLOOKUP(A4939,Panels!$A$1:$E$2104,5,0)</f>
        <v>Willy Hall's Wood</v>
      </c>
    </row>
    <row r="4940">
      <c r="A4940" s="3">
        <v>2358.0</v>
      </c>
      <c r="B4940" s="3">
        <v>25.0</v>
      </c>
      <c r="C4940" s="3">
        <v>3.0</v>
      </c>
      <c r="D4940" t="str">
        <f>VLOOKUP(B4940,ERA_MOTIF_TYPES.csv!$A$1:$C$119,2,1)</f>
        <v>Linear</v>
      </c>
      <c r="E4940" t="str">
        <f>VLOOKUP(A4940,Panels!$A$1:$E$2104,5,0)</f>
        <v>Willy Hall's Wood</v>
      </c>
    </row>
    <row r="4941">
      <c r="A4941" s="3">
        <v>2358.0</v>
      </c>
      <c r="B4941" s="3">
        <v>27.0</v>
      </c>
      <c r="C4941" s="3">
        <v>1.0</v>
      </c>
      <c r="D4941" t="str">
        <f>VLOOKUP(B4941,ERA_MOTIF_TYPES.csv!$A$1:$C$119,2,1)</f>
        <v>Serpentine</v>
      </c>
      <c r="E4941" t="str">
        <f>VLOOKUP(A4941,Panels!$A$1:$E$2104,5,0)</f>
        <v>Willy Hall's Wood</v>
      </c>
    </row>
    <row r="4942">
      <c r="A4942" s="3">
        <v>2358.0</v>
      </c>
      <c r="B4942" s="3">
        <v>31.0</v>
      </c>
      <c r="C4942" s="3">
        <v>3.0</v>
      </c>
      <c r="D4942" t="str">
        <f>VLOOKUP(B4942,ERA_MOTIF_TYPES.csv!$A$1:$C$119,2,1)</f>
        <v>Cup and Groove</v>
      </c>
      <c r="E4942" t="str">
        <f>VLOOKUP(A4942,Panels!$A$1:$E$2104,5,0)</f>
        <v>Willy Hall's Wood</v>
      </c>
    </row>
    <row r="4943">
      <c r="A4943" s="3">
        <v>2358.0</v>
      </c>
      <c r="B4943" s="3">
        <v>37.0</v>
      </c>
      <c r="C4943" s="3">
        <v>1.0</v>
      </c>
      <c r="D4943" t="str">
        <f>VLOOKUP(B4943,ERA_MOTIF_TYPES.csv!$A$1:$C$119,2,1)</f>
        <v>Cup Groove and multi arc</v>
      </c>
      <c r="E4943" t="str">
        <f>VLOOKUP(A4943,Panels!$A$1:$E$2104,5,0)</f>
        <v>Willy Hall's Wood</v>
      </c>
    </row>
    <row r="4944">
      <c r="A4944" s="3">
        <v>2359.0</v>
      </c>
      <c r="B4944" s="3">
        <v>1.0</v>
      </c>
      <c r="C4944" s="3">
        <v>2.0</v>
      </c>
      <c r="D4944" t="str">
        <f>VLOOKUP(B4944,ERA_MOTIF_TYPES.csv!$A$1:$C$119,2,1)</f>
        <v>Cups Single</v>
      </c>
      <c r="E4944" t="str">
        <f>VLOOKUP(A4944,Panels!$A$1:$E$2104,5,0)</f>
        <v>White Wells</v>
      </c>
    </row>
    <row r="4945">
      <c r="A4945" s="3">
        <v>2359.0</v>
      </c>
      <c r="B4945" s="3">
        <v>31.0</v>
      </c>
      <c r="C4945" s="3">
        <v>1.0</v>
      </c>
      <c r="D4945" t="str">
        <f>VLOOKUP(B4945,ERA_MOTIF_TYPES.csv!$A$1:$C$119,2,1)</f>
        <v>Cup and Groove</v>
      </c>
      <c r="E4945" t="str">
        <f>VLOOKUP(A4945,Panels!$A$1:$E$2104,5,0)</f>
        <v>White Wells</v>
      </c>
    </row>
    <row r="4946">
      <c r="A4946" s="3">
        <v>2360.0</v>
      </c>
      <c r="B4946" s="3">
        <v>1.0</v>
      </c>
      <c r="C4946" s="3">
        <v>3.0</v>
      </c>
      <c r="D4946" t="str">
        <f>VLOOKUP(B4946,ERA_MOTIF_TYPES.csv!$A$1:$C$119,2,1)</f>
        <v>Cups Single</v>
      </c>
      <c r="E4946" t="str">
        <f>VLOOKUP(A4946,Panels!$A$1:$E$2104,5,0)</f>
        <v>White Wells</v>
      </c>
    </row>
    <row r="4947">
      <c r="A4947" s="3">
        <v>2361.0</v>
      </c>
      <c r="B4947" s="3">
        <v>1.0</v>
      </c>
      <c r="C4947" s="3">
        <v>58.0</v>
      </c>
      <c r="D4947" t="str">
        <f>VLOOKUP(B4947,ERA_MOTIF_TYPES.csv!$A$1:$C$119,2,1)</f>
        <v>Cups Single</v>
      </c>
      <c r="E4947" t="str">
        <f>VLOOKUP(A4947,Panels!$A$1:$E$2104,5,0)</f>
        <v>White Wells</v>
      </c>
    </row>
    <row r="4948">
      <c r="A4948" s="3">
        <v>2361.0</v>
      </c>
      <c r="B4948" s="3">
        <v>25.0</v>
      </c>
      <c r="C4948" s="3">
        <v>2.0</v>
      </c>
      <c r="D4948" t="str">
        <f>VLOOKUP(B4948,ERA_MOTIF_TYPES.csv!$A$1:$C$119,2,1)</f>
        <v>Linear</v>
      </c>
      <c r="E4948" t="str">
        <f>VLOOKUP(A4948,Panels!$A$1:$E$2104,5,0)</f>
        <v>White Wells</v>
      </c>
    </row>
    <row r="4949">
      <c r="A4949" s="3">
        <v>2362.0</v>
      </c>
      <c r="B4949" s="3">
        <v>1.0</v>
      </c>
      <c r="C4949" s="3">
        <v>2.0</v>
      </c>
      <c r="D4949" t="str">
        <f>VLOOKUP(B4949,ERA_MOTIF_TYPES.csv!$A$1:$C$119,2,1)</f>
        <v>Cups Single</v>
      </c>
      <c r="E4949" t="str">
        <f>VLOOKUP(A4949,Panels!$A$1:$E$2104,5,0)</f>
        <v>White Wells</v>
      </c>
    </row>
    <row r="4950">
      <c r="A4950" s="3">
        <v>2362.0</v>
      </c>
      <c r="B4950" s="3">
        <v>31.0</v>
      </c>
      <c r="C4950" s="3">
        <v>1.0</v>
      </c>
      <c r="D4950" t="str">
        <f>VLOOKUP(B4950,ERA_MOTIF_TYPES.csv!$A$1:$C$119,2,1)</f>
        <v>Cup and Groove</v>
      </c>
      <c r="E4950" t="str">
        <f>VLOOKUP(A4950,Panels!$A$1:$E$2104,5,0)</f>
        <v>White Wells</v>
      </c>
    </row>
    <row r="4951">
      <c r="A4951" s="3">
        <v>2362.0</v>
      </c>
      <c r="B4951" s="3">
        <v>32.0</v>
      </c>
      <c r="C4951" s="3">
        <v>1.0</v>
      </c>
      <c r="D4951" t="str">
        <f>VLOOKUP(B4951,ERA_MOTIF_TYPES.csv!$A$1:$C$119,2,1)</f>
        <v>Cup Groove and single ring</v>
      </c>
      <c r="E4951" t="str">
        <f>VLOOKUP(A4951,Panels!$A$1:$E$2104,5,0)</f>
        <v>White Wells</v>
      </c>
    </row>
    <row r="4952">
      <c r="A4952" s="3">
        <v>2363.0</v>
      </c>
      <c r="B4952" s="3">
        <v>1.0</v>
      </c>
      <c r="C4952" s="3">
        <v>5.0</v>
      </c>
      <c r="D4952" t="str">
        <f>VLOOKUP(B4952,ERA_MOTIF_TYPES.csv!$A$1:$C$119,2,1)</f>
        <v>Cups Single</v>
      </c>
      <c r="E4952" t="str">
        <f>VLOOKUP(A4952,Panels!$A$1:$E$2104,5,0)</f>
        <v>White Wells</v>
      </c>
    </row>
    <row r="4953">
      <c r="A4953" s="3">
        <v>2363.0</v>
      </c>
      <c r="B4953" s="3">
        <v>25.0</v>
      </c>
      <c r="C4953" s="3">
        <v>1.0</v>
      </c>
      <c r="D4953" t="str">
        <f>VLOOKUP(B4953,ERA_MOTIF_TYPES.csv!$A$1:$C$119,2,1)</f>
        <v>Linear</v>
      </c>
      <c r="E4953" t="str">
        <f>VLOOKUP(A4953,Panels!$A$1:$E$2104,5,0)</f>
        <v>White Wells</v>
      </c>
    </row>
    <row r="4954">
      <c r="A4954" s="3">
        <v>2364.0</v>
      </c>
      <c r="B4954" s="3">
        <v>1.0</v>
      </c>
      <c r="C4954" s="3">
        <v>3.0</v>
      </c>
      <c r="D4954" t="str">
        <f>VLOOKUP(B4954,ERA_MOTIF_TYPES.csv!$A$1:$C$119,2,1)</f>
        <v>Cups Single</v>
      </c>
      <c r="E4954" t="str">
        <f>VLOOKUP(A4954,Panels!$A$1:$E$2104,5,0)</f>
        <v>White Wells</v>
      </c>
    </row>
    <row r="4955">
      <c r="A4955" s="3">
        <v>2371.0</v>
      </c>
      <c r="B4955" s="3">
        <v>10.0</v>
      </c>
      <c r="C4955" s="3">
        <v>1.0</v>
      </c>
      <c r="D4955" t="str">
        <f>VLOOKUP(B4955,ERA_MOTIF_TYPES.csv!$A$1:$C$119,2,1)</f>
        <v>Single Arc</v>
      </c>
      <c r="E4955" t="str">
        <f>VLOOKUP(A4955,Panels!$A$1:$E$2104,5,0)</f>
        <v>Ben Rhydding</v>
      </c>
    </row>
    <row r="4956">
      <c r="A4956" s="3">
        <v>2371.0</v>
      </c>
      <c r="B4956" s="3">
        <v>36.0</v>
      </c>
      <c r="C4956" s="3">
        <v>2.0</v>
      </c>
      <c r="D4956" t="str">
        <f>VLOOKUP(B4956,ERA_MOTIF_TYPES.csv!$A$1:$C$119,2,1)</f>
        <v>Cup Groove and arc</v>
      </c>
      <c r="E4956" t="str">
        <f>VLOOKUP(A4956,Panels!$A$1:$E$2104,5,0)</f>
        <v>Ben Rhydding</v>
      </c>
    </row>
    <row r="4957">
      <c r="A4957" s="3">
        <v>2371.0</v>
      </c>
      <c r="B4957" s="3">
        <v>1.0</v>
      </c>
      <c r="C4957" s="3">
        <v>3.0</v>
      </c>
      <c r="D4957" t="str">
        <f>VLOOKUP(B4957,ERA_MOTIF_TYPES.csv!$A$1:$C$119,2,1)</f>
        <v>Cups Single</v>
      </c>
      <c r="E4957" t="str">
        <f>VLOOKUP(A4957,Panels!$A$1:$E$2104,5,0)</f>
        <v>Ben Rhydding</v>
      </c>
    </row>
    <row r="4958">
      <c r="A4958" s="3">
        <v>2372.0</v>
      </c>
      <c r="B4958" s="3">
        <v>1.0</v>
      </c>
      <c r="C4958" s="3">
        <v>2.0</v>
      </c>
      <c r="D4958" t="str">
        <f>VLOOKUP(B4958,ERA_MOTIF_TYPES.csv!$A$1:$C$119,2,1)</f>
        <v>Cups Single</v>
      </c>
      <c r="E4958" t="str">
        <f>VLOOKUP(A4958,Panels!$A$1:$E$2104,5,0)</f>
        <v>Grubstones Ridge</v>
      </c>
    </row>
    <row r="4959">
      <c r="A4959" s="3">
        <v>2372.0</v>
      </c>
      <c r="B4959" s="3">
        <v>14.0</v>
      </c>
      <c r="C4959" s="3">
        <v>1.0</v>
      </c>
      <c r="D4959" t="str">
        <f>VLOOKUP(B4959,ERA_MOTIF_TYPES.csv!$A$1:$C$119,2,1)</f>
        <v>Multi Ring + cup</v>
      </c>
      <c r="E4959" t="str">
        <f>VLOOKUP(A4959,Panels!$A$1:$E$2104,5,0)</f>
        <v>Grubstones Ridge</v>
      </c>
    </row>
    <row r="4960">
      <c r="A4960" s="3">
        <v>2372.0</v>
      </c>
      <c r="B4960" s="3">
        <v>25.0</v>
      </c>
      <c r="C4960" s="3">
        <v>3.0</v>
      </c>
      <c r="D4960" t="str">
        <f>VLOOKUP(B4960,ERA_MOTIF_TYPES.csv!$A$1:$C$119,2,1)</f>
        <v>Linear</v>
      </c>
      <c r="E4960" t="str">
        <f>VLOOKUP(A4960,Panels!$A$1:$E$2104,5,0)</f>
        <v>Grubstones Ridge</v>
      </c>
    </row>
    <row r="4961">
      <c r="A4961" s="3">
        <v>2373.0</v>
      </c>
      <c r="B4961" s="3">
        <v>1.0</v>
      </c>
      <c r="C4961" s="3">
        <v>2.0</v>
      </c>
      <c r="D4961" t="str">
        <f>VLOOKUP(B4961,ERA_MOTIF_TYPES.csv!$A$1:$C$119,2,1)</f>
        <v>Cups Single</v>
      </c>
      <c r="E4961" t="str">
        <f>VLOOKUP(A4961,Panels!$A$1:$E$2104,5,0)</f>
        <v>Craven Hall Hill</v>
      </c>
    </row>
    <row r="4962">
      <c r="A4962" s="3">
        <v>2373.0</v>
      </c>
      <c r="B4962" s="3">
        <v>25.0</v>
      </c>
      <c r="C4962" s="3">
        <v>6.0</v>
      </c>
      <c r="D4962" t="str">
        <f>VLOOKUP(B4962,ERA_MOTIF_TYPES.csv!$A$1:$C$119,2,1)</f>
        <v>Linear</v>
      </c>
      <c r="E4962" t="str">
        <f>VLOOKUP(A4962,Panels!$A$1:$E$2104,5,0)</f>
        <v>Craven Hall Hill</v>
      </c>
    </row>
    <row r="4963">
      <c r="A4963" s="3">
        <v>2374.0</v>
      </c>
      <c r="B4963" s="3">
        <v>1.0</v>
      </c>
      <c r="C4963" s="3">
        <v>8.0</v>
      </c>
      <c r="D4963" t="str">
        <f>VLOOKUP(B4963,ERA_MOTIF_TYPES.csv!$A$1:$C$119,2,1)</f>
        <v>Cups Single</v>
      </c>
      <c r="E4963" t="str">
        <f>VLOOKUP(A4963,Panels!$A$1:$E$2104,5,0)</f>
        <v>Stocks Hill</v>
      </c>
    </row>
    <row r="4964">
      <c r="A4964" s="3">
        <v>2375.0</v>
      </c>
      <c r="B4964" s="3">
        <v>1.0</v>
      </c>
      <c r="C4964" s="3">
        <v>5.0</v>
      </c>
      <c r="D4964" t="str">
        <f>VLOOKUP(B4964,ERA_MOTIF_TYPES.csv!$A$1:$C$119,2,1)</f>
        <v>Cups Single</v>
      </c>
      <c r="E4964" t="str">
        <f>VLOOKUP(A4964,Panels!$A$1:$E$2104,5,0)</f>
        <v>Low Plain</v>
      </c>
    </row>
    <row r="4965">
      <c r="A4965" s="3">
        <v>2375.0</v>
      </c>
      <c r="B4965" s="3">
        <v>6.0</v>
      </c>
      <c r="C4965" s="3">
        <v>3.0</v>
      </c>
      <c r="D4965" t="str">
        <f>VLOOKUP(B4965,ERA_MOTIF_TYPES.csv!$A$1:$C$119,2,1)</f>
        <v>curved or straight line</v>
      </c>
      <c r="E4965" t="str">
        <f>VLOOKUP(A4965,Panels!$A$1:$E$2104,5,0)</f>
        <v>Low Plain</v>
      </c>
    </row>
    <row r="4966">
      <c r="A4966" s="3">
        <v>2381.0</v>
      </c>
      <c r="B4966" s="3">
        <v>1.0</v>
      </c>
      <c r="C4966" s="3">
        <v>2.0</v>
      </c>
      <c r="D4966" t="str">
        <f>VLOOKUP(B4966,ERA_MOTIF_TYPES.csv!$A$1:$C$119,2,1)</f>
        <v>Cups Single</v>
      </c>
      <c r="E4966" t="str">
        <f>VLOOKUP(A4966,Panels!$A$1:$E$2104,5,0)</f>
        <v>Loadpit Beck</v>
      </c>
    </row>
    <row r="4967">
      <c r="A4967" s="3">
        <v>2382.0</v>
      </c>
      <c r="B4967" s="3">
        <v>1.0</v>
      </c>
      <c r="C4967" s="3">
        <v>1.0</v>
      </c>
      <c r="D4967" t="str">
        <f>VLOOKUP(B4967,ERA_MOTIF_TYPES.csv!$A$1:$C$119,2,1)</f>
        <v>Cups Single</v>
      </c>
      <c r="E4967" t="str">
        <f>VLOOKUP(A4967,Panels!$A$1:$E$2104,5,0)</f>
        <v>Loadpit Beck</v>
      </c>
    </row>
    <row r="4968">
      <c r="A4968" s="3">
        <v>2383.0</v>
      </c>
      <c r="B4968" s="3">
        <v>2.0</v>
      </c>
      <c r="C4968" s="3">
        <v>1.0</v>
      </c>
      <c r="D4968" t="str">
        <f>VLOOKUP(B4968,ERA_MOTIF_TYPES.csv!$A$1:$C$119,2,1)</f>
        <v>Random Cluster</v>
      </c>
      <c r="E4968" t="str">
        <f>VLOOKUP(A4968,Panels!$A$1:$E$2104,5,0)</f>
        <v>Coldstone Beck</v>
      </c>
    </row>
    <row r="4969">
      <c r="A4969" s="3">
        <v>2384.0</v>
      </c>
      <c r="B4969" s="3">
        <v>1.0</v>
      </c>
      <c r="C4969" s="3">
        <v>2.0</v>
      </c>
      <c r="D4969" t="str">
        <f>VLOOKUP(B4969,ERA_MOTIF_TYPES.csv!$A$1:$C$119,2,1)</f>
        <v>Cups Single</v>
      </c>
      <c r="E4969" t="str">
        <f>VLOOKUP(A4969,Panels!$A$1:$E$2104,5,0)</f>
        <v>Coldstone Beck</v>
      </c>
    </row>
    <row r="4970">
      <c r="A4970" s="3">
        <v>2385.0</v>
      </c>
      <c r="B4970" s="3">
        <v>25.0</v>
      </c>
      <c r="C4970" s="3">
        <v>1.0</v>
      </c>
      <c r="D4970" t="str">
        <f>VLOOKUP(B4970,ERA_MOTIF_TYPES.csv!$A$1:$C$119,2,1)</f>
        <v>Linear</v>
      </c>
      <c r="E4970" t="str">
        <f>VLOOKUP(A4970,Panels!$A$1:$E$2104,5,0)</f>
        <v>Glovershaw</v>
      </c>
    </row>
    <row r="4971">
      <c r="A4971" s="3">
        <v>2385.0</v>
      </c>
      <c r="B4971" s="3">
        <v>27.0</v>
      </c>
      <c r="C4971" s="3">
        <v>1.0</v>
      </c>
      <c r="D4971" t="str">
        <f>VLOOKUP(B4971,ERA_MOTIF_TYPES.csv!$A$1:$C$119,2,1)</f>
        <v>Serpentine</v>
      </c>
      <c r="E4971" t="str">
        <f>VLOOKUP(A4971,Panels!$A$1:$E$2104,5,0)</f>
        <v>Glovershaw</v>
      </c>
    </row>
    <row r="4972">
      <c r="A4972" s="3">
        <v>2386.0</v>
      </c>
      <c r="B4972" s="3">
        <v>1.0</v>
      </c>
      <c r="C4972" s="3">
        <v>20.0</v>
      </c>
      <c r="D4972" t="str">
        <f>VLOOKUP(B4972,ERA_MOTIF_TYPES.csv!$A$1:$C$119,2,1)</f>
        <v>Cups Single</v>
      </c>
      <c r="E4972" t="str">
        <f>VLOOKUP(A4972,Panels!$A$1:$E$2104,5,0)</f>
        <v>Dene Hole</v>
      </c>
    </row>
    <row r="4973">
      <c r="A4973" s="3">
        <v>2386.0</v>
      </c>
      <c r="B4973" s="3">
        <v>25.0</v>
      </c>
      <c r="C4973" s="3">
        <v>1.0</v>
      </c>
      <c r="D4973" t="str">
        <f>VLOOKUP(B4973,ERA_MOTIF_TYPES.csv!$A$1:$C$119,2,1)</f>
        <v>Linear</v>
      </c>
      <c r="E4973" t="str">
        <f>VLOOKUP(A4973,Panels!$A$1:$E$2104,5,0)</f>
        <v>Dene Hole</v>
      </c>
    </row>
    <row r="4974">
      <c r="A4974" s="3">
        <v>2386.0</v>
      </c>
      <c r="B4974" s="3">
        <v>27.0</v>
      </c>
      <c r="C4974" s="3">
        <v>1.0</v>
      </c>
      <c r="D4974" t="str">
        <f>VLOOKUP(B4974,ERA_MOTIF_TYPES.csv!$A$1:$C$119,2,1)</f>
        <v>Serpentine</v>
      </c>
      <c r="E4974" t="str">
        <f>VLOOKUP(A4974,Panels!$A$1:$E$2104,5,0)</f>
        <v>Dene Hole</v>
      </c>
    </row>
    <row r="4975">
      <c r="A4975" s="3">
        <v>2387.0</v>
      </c>
      <c r="B4975" s="3">
        <v>1.0</v>
      </c>
      <c r="C4975" s="3">
        <v>1.0</v>
      </c>
      <c r="D4975" t="str">
        <f>VLOOKUP(B4975,ERA_MOTIF_TYPES.csv!$A$1:$C$119,2,1)</f>
        <v>Cups Single</v>
      </c>
      <c r="E4975" t="str">
        <f>VLOOKUP(A4975,Panels!$A$1:$E$2104,5,0)</f>
        <v>Dene Hole</v>
      </c>
    </row>
    <row r="4976">
      <c r="A4976" s="3">
        <v>2388.0</v>
      </c>
      <c r="B4976" s="3">
        <v>1.0</v>
      </c>
      <c r="C4976" s="3">
        <v>3.0</v>
      </c>
      <c r="D4976" t="str">
        <f>VLOOKUP(B4976,ERA_MOTIF_TYPES.csv!$A$1:$C$119,2,1)</f>
        <v>Cups Single</v>
      </c>
      <c r="E4976" t="str">
        <f>VLOOKUP(A4976,Panels!$A$1:$E$2104,5,0)</f>
        <v>Dene Hole</v>
      </c>
    </row>
    <row r="4977">
      <c r="A4977" s="3">
        <v>2388.0</v>
      </c>
      <c r="B4977" s="3">
        <v>13.0</v>
      </c>
      <c r="C4977" s="3">
        <v>1.0</v>
      </c>
      <c r="D4977" t="str">
        <f>VLOOKUP(B4977,ERA_MOTIF_TYPES.csv!$A$1:$C$119,2,1)</f>
        <v>Single Ring + cup</v>
      </c>
      <c r="E4977" t="str">
        <f>VLOOKUP(A4977,Panels!$A$1:$E$2104,5,0)</f>
        <v>Dene Hole</v>
      </c>
    </row>
    <row r="4978">
      <c r="A4978" s="3">
        <v>2388.0</v>
      </c>
      <c r="B4978" s="3">
        <v>117.0</v>
      </c>
      <c r="C4978" s="3">
        <v>1.0</v>
      </c>
      <c r="D4978" t="str">
        <f>VLOOKUP(B4978,ERA_MOTIF_TYPES.csv!$A$1:$C$119,2,1)</f>
        <v>Dumb-bell</v>
      </c>
      <c r="E4978" t="str">
        <f>VLOOKUP(A4978,Panels!$A$1:$E$2104,5,0)</f>
        <v>Dene Hole</v>
      </c>
    </row>
    <row r="4979">
      <c r="A4979" s="3">
        <v>2389.0</v>
      </c>
      <c r="B4979" s="3">
        <v>1.0</v>
      </c>
      <c r="C4979" s="3">
        <v>4.0</v>
      </c>
      <c r="D4979" t="str">
        <f>VLOOKUP(B4979,ERA_MOTIF_TYPES.csv!$A$1:$C$119,2,1)</f>
        <v>Cups Single</v>
      </c>
      <c r="E4979" t="str">
        <f>VLOOKUP(A4979,Panels!$A$1:$E$2104,5,0)</f>
        <v>Dene Hole</v>
      </c>
    </row>
    <row r="4980">
      <c r="A4980" s="3">
        <v>2389.0</v>
      </c>
      <c r="B4980" s="3">
        <v>2.0</v>
      </c>
      <c r="C4980" s="1"/>
      <c r="D4980" t="str">
        <f>VLOOKUP(B4980,ERA_MOTIF_TYPES.csv!$A$1:$C$119,2,1)</f>
        <v>Random Cluster</v>
      </c>
      <c r="E4980" t="str">
        <f>VLOOKUP(A4980,Panels!$A$1:$E$2104,5,0)</f>
        <v>Dene Hole</v>
      </c>
    </row>
    <row r="4981">
      <c r="A4981" s="3">
        <v>2389.0</v>
      </c>
      <c r="B4981" s="3">
        <v>13.0</v>
      </c>
      <c r="C4981" s="3">
        <v>2.0</v>
      </c>
      <c r="D4981" t="str">
        <f>VLOOKUP(B4981,ERA_MOTIF_TYPES.csv!$A$1:$C$119,2,1)</f>
        <v>Single Ring + cup</v>
      </c>
      <c r="E4981" t="str">
        <f>VLOOKUP(A4981,Panels!$A$1:$E$2104,5,0)</f>
        <v>Dene Hole</v>
      </c>
    </row>
    <row r="4982">
      <c r="A4982" s="3">
        <v>2389.0</v>
      </c>
      <c r="B4982" s="3">
        <v>25.0</v>
      </c>
      <c r="C4982" s="3">
        <v>3.0</v>
      </c>
      <c r="D4982" t="str">
        <f>VLOOKUP(B4982,ERA_MOTIF_TYPES.csv!$A$1:$C$119,2,1)</f>
        <v>Linear</v>
      </c>
      <c r="E4982" t="str">
        <f>VLOOKUP(A4982,Panels!$A$1:$E$2104,5,0)</f>
        <v>Dene Hole</v>
      </c>
    </row>
    <row r="4983">
      <c r="A4983" s="3">
        <v>2389.0</v>
      </c>
      <c r="B4983" s="3">
        <v>27.0</v>
      </c>
      <c r="C4983" s="1"/>
      <c r="D4983" t="str">
        <f>VLOOKUP(B4983,ERA_MOTIF_TYPES.csv!$A$1:$C$119,2,1)</f>
        <v>Serpentine</v>
      </c>
      <c r="E4983" t="str">
        <f>VLOOKUP(A4983,Panels!$A$1:$E$2104,5,0)</f>
        <v>Dene Hole</v>
      </c>
    </row>
    <row r="4984">
      <c r="A4984" s="3">
        <v>2389.0</v>
      </c>
      <c r="B4984" s="3">
        <v>46.0</v>
      </c>
      <c r="C4984" s="3">
        <v>3.0</v>
      </c>
      <c r="D4984" t="str">
        <f>VLOOKUP(B4984,ERA_MOTIF_TYPES.csv!$A$1:$C$119,2,1)</f>
        <v>Groove and cups</v>
      </c>
      <c r="E4984" t="str">
        <f>VLOOKUP(A4984,Panels!$A$1:$E$2104,5,0)</f>
        <v>Dene Hole</v>
      </c>
    </row>
    <row r="4985">
      <c r="A4985" s="3">
        <v>2389.0</v>
      </c>
      <c r="B4985" s="3">
        <v>117.0</v>
      </c>
      <c r="C4985" s="3">
        <v>4.0</v>
      </c>
      <c r="D4985" t="str">
        <f>VLOOKUP(B4985,ERA_MOTIF_TYPES.csv!$A$1:$C$119,2,1)</f>
        <v>Dumb-bell</v>
      </c>
      <c r="E4985" t="str">
        <f>VLOOKUP(A4985,Panels!$A$1:$E$2104,5,0)</f>
        <v>Dene Hole</v>
      </c>
    </row>
    <row r="4986">
      <c r="A4986" s="3">
        <v>2390.0</v>
      </c>
      <c r="B4986" s="3">
        <v>1.0</v>
      </c>
      <c r="C4986" s="3">
        <v>2.0</v>
      </c>
      <c r="D4986" t="str">
        <f>VLOOKUP(B4986,ERA_MOTIF_TYPES.csv!$A$1:$C$119,2,1)</f>
        <v>Cups Single</v>
      </c>
      <c r="E4986" t="str">
        <f>VLOOKUP(A4986,Panels!$A$1:$E$2104,5,0)</f>
        <v>Green Hill Wood</v>
      </c>
    </row>
    <row r="4987">
      <c r="A4987" s="3">
        <v>2390.0</v>
      </c>
      <c r="B4987" s="3">
        <v>32.0</v>
      </c>
      <c r="C4987" s="3">
        <v>1.0</v>
      </c>
      <c r="D4987" t="str">
        <f>VLOOKUP(B4987,ERA_MOTIF_TYPES.csv!$A$1:$C$119,2,1)</f>
        <v>Cup Groove and single ring</v>
      </c>
      <c r="E4987" t="str">
        <f>VLOOKUP(A4987,Panels!$A$1:$E$2104,5,0)</f>
        <v>Green Hill Wood</v>
      </c>
    </row>
    <row r="4988">
      <c r="A4988" s="3">
        <v>2392.0</v>
      </c>
      <c r="B4988" s="3">
        <v>1.0</v>
      </c>
      <c r="C4988" s="3">
        <v>18.0</v>
      </c>
      <c r="D4988" t="str">
        <f>VLOOKUP(B4988,ERA_MOTIF_TYPES.csv!$A$1:$C$119,2,1)</f>
        <v>Cups Single</v>
      </c>
      <c r="E4988" t="str">
        <f>VLOOKUP(A4988,Panels!$A$1:$E$2104,5,0)</f>
        <v>Fenny Shaw</v>
      </c>
    </row>
    <row r="4989">
      <c r="A4989" s="3">
        <v>2393.0</v>
      </c>
      <c r="B4989" s="3">
        <v>1.0</v>
      </c>
      <c r="C4989" s="3">
        <v>2.0</v>
      </c>
      <c r="D4989" t="str">
        <f>VLOOKUP(B4989,ERA_MOTIF_TYPES.csv!$A$1:$C$119,2,1)</f>
        <v>Cups Single</v>
      </c>
      <c r="E4989" t="str">
        <f>VLOOKUP(A4989,Panels!$A$1:$E$2104,5,0)</f>
        <v>Fenny Shaw</v>
      </c>
    </row>
    <row r="4990">
      <c r="A4990" s="3">
        <v>2394.0</v>
      </c>
      <c r="B4990" s="3">
        <v>1.0</v>
      </c>
      <c r="C4990" s="3">
        <v>2.0</v>
      </c>
      <c r="D4990" t="str">
        <f>VLOOKUP(B4990,ERA_MOTIF_TYPES.csv!$A$1:$C$119,2,1)</f>
        <v>Cups Single</v>
      </c>
      <c r="E4990" t="str">
        <f>VLOOKUP(A4990,Panels!$A$1:$E$2104,5,0)</f>
        <v>Carr Lane</v>
      </c>
    </row>
    <row r="4991">
      <c r="A4991" s="3">
        <v>2395.0</v>
      </c>
      <c r="B4991" s="3">
        <v>1.0</v>
      </c>
      <c r="C4991" s="3">
        <v>1.0</v>
      </c>
      <c r="D4991" t="str">
        <f>VLOOKUP(B4991,ERA_MOTIF_TYPES.csv!$A$1:$C$119,2,1)</f>
        <v>Cups Single</v>
      </c>
      <c r="E4991" t="str">
        <f>VLOOKUP(A4991,Panels!$A$1:$E$2104,5,0)</f>
        <v>Cabin Hill</v>
      </c>
    </row>
    <row r="4992">
      <c r="A4992" s="3">
        <v>2395.0</v>
      </c>
      <c r="B4992" s="3">
        <v>32.0</v>
      </c>
      <c r="C4992" s="3">
        <v>1.0</v>
      </c>
      <c r="D4992" t="str">
        <f>VLOOKUP(B4992,ERA_MOTIF_TYPES.csv!$A$1:$C$119,2,1)</f>
        <v>Cup Groove and single ring</v>
      </c>
      <c r="E4992" t="str">
        <f>VLOOKUP(A4992,Panels!$A$1:$E$2104,5,0)</f>
        <v>Cabin Hill</v>
      </c>
    </row>
    <row r="4993">
      <c r="A4993" s="3">
        <v>2396.0</v>
      </c>
      <c r="B4993" s="3">
        <v>1.0</v>
      </c>
      <c r="C4993" s="3">
        <v>12.0</v>
      </c>
      <c r="D4993" t="str">
        <f>VLOOKUP(B4993,ERA_MOTIF_TYPES.csv!$A$1:$C$119,2,1)</f>
        <v>Cups Single</v>
      </c>
      <c r="E4993" t="str">
        <f>VLOOKUP(A4993,Panels!$A$1:$E$2104,5,0)</f>
        <v>Glovershaw</v>
      </c>
    </row>
    <row r="4994">
      <c r="A4994" s="3">
        <v>2396.0</v>
      </c>
      <c r="B4994" s="3">
        <v>25.0</v>
      </c>
      <c r="C4994" s="3">
        <v>3.0</v>
      </c>
      <c r="D4994" t="str">
        <f>VLOOKUP(B4994,ERA_MOTIF_TYPES.csv!$A$1:$C$119,2,1)</f>
        <v>Linear</v>
      </c>
      <c r="E4994" t="str">
        <f>VLOOKUP(A4994,Panels!$A$1:$E$2104,5,0)</f>
        <v>Glovershaw</v>
      </c>
    </row>
    <row r="4995">
      <c r="A4995" s="3">
        <v>2396.0</v>
      </c>
      <c r="B4995" s="3">
        <v>31.0</v>
      </c>
      <c r="C4995" s="3">
        <v>2.0</v>
      </c>
      <c r="D4995" t="str">
        <f>VLOOKUP(B4995,ERA_MOTIF_TYPES.csv!$A$1:$C$119,2,1)</f>
        <v>Cup and Groove</v>
      </c>
      <c r="E4995" t="str">
        <f>VLOOKUP(A4995,Panels!$A$1:$E$2104,5,0)</f>
        <v>Glovershaw</v>
      </c>
    </row>
    <row r="4996">
      <c r="A4996" s="3">
        <v>2397.0</v>
      </c>
      <c r="B4996" s="3">
        <v>1.0</v>
      </c>
      <c r="C4996" s="3">
        <v>1.0</v>
      </c>
      <c r="D4996" t="str">
        <f>VLOOKUP(B4996,ERA_MOTIF_TYPES.csv!$A$1:$C$119,2,1)</f>
        <v>Cups Single</v>
      </c>
      <c r="E4996" t="str">
        <f>VLOOKUP(A4996,Panels!$A$1:$E$2104,5,0)</f>
        <v>Glovershaw</v>
      </c>
    </row>
    <row r="4997">
      <c r="A4997" s="3">
        <v>2398.0</v>
      </c>
      <c r="B4997" s="3">
        <v>1.0</v>
      </c>
      <c r="C4997" s="3">
        <v>1.0</v>
      </c>
      <c r="D4997" t="str">
        <f>VLOOKUP(B4997,ERA_MOTIF_TYPES.csv!$A$1:$C$119,2,1)</f>
        <v>Cups Single</v>
      </c>
      <c r="E4997" t="str">
        <f>VLOOKUP(A4997,Panels!$A$1:$E$2104,5,0)</f>
        <v>Glovershaw</v>
      </c>
    </row>
    <row r="4998">
      <c r="A4998" s="3">
        <v>2399.0</v>
      </c>
      <c r="B4998" s="3">
        <v>1.0</v>
      </c>
      <c r="C4998" s="3">
        <v>1.0</v>
      </c>
      <c r="D4998" t="str">
        <f>VLOOKUP(B4998,ERA_MOTIF_TYPES.csv!$A$1:$C$119,2,1)</f>
        <v>Cups Single</v>
      </c>
      <c r="E4998" t="str">
        <f>VLOOKUP(A4998,Panels!$A$1:$E$2104,5,0)</f>
        <v>Glovershaw</v>
      </c>
    </row>
    <row r="4999">
      <c r="A4999" s="3">
        <v>2400.0</v>
      </c>
      <c r="B4999" s="3">
        <v>6.0</v>
      </c>
      <c r="C4999" s="3">
        <v>1.0</v>
      </c>
      <c r="D4999" t="str">
        <f>VLOOKUP(B4999,ERA_MOTIF_TYPES.csv!$A$1:$C$119,2,1)</f>
        <v>curved or straight line</v>
      </c>
      <c r="E4999" t="str">
        <f>VLOOKUP(A4999,Panels!$A$1:$E$2104,5,0)</f>
        <v>Glovershaw</v>
      </c>
    </row>
    <row r="5000">
      <c r="A5000" s="3">
        <v>2401.0</v>
      </c>
      <c r="B5000" s="3">
        <v>1.0</v>
      </c>
      <c r="C5000" s="3">
        <v>8.0</v>
      </c>
      <c r="D5000" t="str">
        <f>VLOOKUP(B5000,ERA_MOTIF_TYPES.csv!$A$1:$C$119,2,1)</f>
        <v>Cups Single</v>
      </c>
      <c r="E5000" t="str">
        <f>VLOOKUP(A5000,Panels!$A$1:$E$2104,5,0)</f>
        <v>Glovershaw</v>
      </c>
    </row>
    <row r="5001">
      <c r="A5001" s="3">
        <v>2402.0</v>
      </c>
      <c r="B5001" s="3">
        <v>1.0</v>
      </c>
      <c r="C5001" s="3">
        <v>1.0</v>
      </c>
      <c r="D5001" t="str">
        <f>VLOOKUP(B5001,ERA_MOTIF_TYPES.csv!$A$1:$C$119,2,1)</f>
        <v>Cups Single</v>
      </c>
      <c r="E5001" t="str">
        <f>VLOOKUP(A5001,Panels!$A$1:$E$2104,5,0)</f>
        <v>Low Plain</v>
      </c>
    </row>
    <row r="5002">
      <c r="A5002" s="3">
        <v>2403.0</v>
      </c>
      <c r="B5002" s="3">
        <v>1.0</v>
      </c>
      <c r="C5002" s="3">
        <v>3.0</v>
      </c>
      <c r="D5002" t="str">
        <f>VLOOKUP(B5002,ERA_MOTIF_TYPES.csv!$A$1:$C$119,2,1)</f>
        <v>Cups Single</v>
      </c>
      <c r="E5002" t="str">
        <f>VLOOKUP(A5002,Panels!$A$1:$E$2104,5,0)</f>
        <v>Low Plain</v>
      </c>
    </row>
    <row r="5003">
      <c r="A5003" s="3">
        <v>2404.0</v>
      </c>
      <c r="B5003" s="3">
        <v>1.0</v>
      </c>
      <c r="C5003" s="3">
        <v>2.0</v>
      </c>
      <c r="D5003" t="str">
        <f>VLOOKUP(B5003,ERA_MOTIF_TYPES.csv!$A$1:$C$119,2,1)</f>
        <v>Cups Single</v>
      </c>
      <c r="E5003" t="str">
        <f>VLOOKUP(A5003,Panels!$A$1:$E$2104,5,0)</f>
        <v>Low Plain</v>
      </c>
    </row>
    <row r="5004">
      <c r="A5004" s="3">
        <v>2405.0</v>
      </c>
      <c r="B5004" s="3">
        <v>1.0</v>
      </c>
      <c r="C5004" s="3">
        <v>8.0</v>
      </c>
      <c r="D5004" t="str">
        <f>VLOOKUP(B5004,ERA_MOTIF_TYPES.csv!$A$1:$C$119,2,1)</f>
        <v>Cups Single</v>
      </c>
      <c r="E5004" t="str">
        <f>VLOOKUP(A5004,Panels!$A$1:$E$2104,5,0)</f>
        <v>Low Plain</v>
      </c>
    </row>
    <row r="5005">
      <c r="A5005" s="3">
        <v>2405.0</v>
      </c>
      <c r="B5005" s="3">
        <v>6.0</v>
      </c>
      <c r="C5005" s="3">
        <v>1.0</v>
      </c>
      <c r="D5005" t="str">
        <f>VLOOKUP(B5005,ERA_MOTIF_TYPES.csv!$A$1:$C$119,2,1)</f>
        <v>curved or straight line</v>
      </c>
      <c r="E5005" t="str">
        <f>VLOOKUP(A5005,Panels!$A$1:$E$2104,5,0)</f>
        <v>Low Plain</v>
      </c>
    </row>
    <row r="5006">
      <c r="A5006" s="3">
        <v>2405.0</v>
      </c>
      <c r="B5006" s="3">
        <v>25.0</v>
      </c>
      <c r="C5006" s="3">
        <v>1.0</v>
      </c>
      <c r="D5006" t="str">
        <f>VLOOKUP(B5006,ERA_MOTIF_TYPES.csv!$A$1:$C$119,2,1)</f>
        <v>Linear</v>
      </c>
      <c r="E5006" t="str">
        <f>VLOOKUP(A5006,Panels!$A$1:$E$2104,5,0)</f>
        <v>Low Plain</v>
      </c>
    </row>
    <row r="5007">
      <c r="A5007" s="3">
        <v>2405.0</v>
      </c>
      <c r="B5007" s="3">
        <v>31.0</v>
      </c>
      <c r="C5007" s="3">
        <v>4.0</v>
      </c>
      <c r="D5007" t="str">
        <f>VLOOKUP(B5007,ERA_MOTIF_TYPES.csv!$A$1:$C$119,2,1)</f>
        <v>Cup and Groove</v>
      </c>
      <c r="E5007" t="str">
        <f>VLOOKUP(A5007,Panels!$A$1:$E$2104,5,0)</f>
        <v>Low Plain</v>
      </c>
    </row>
    <row r="5008">
      <c r="A5008" s="3">
        <v>2405.0</v>
      </c>
      <c r="B5008" s="3">
        <v>117.0</v>
      </c>
      <c r="C5008" s="3">
        <v>3.0</v>
      </c>
      <c r="D5008" t="str">
        <f>VLOOKUP(B5008,ERA_MOTIF_TYPES.csv!$A$1:$C$119,2,1)</f>
        <v>Dumb-bell</v>
      </c>
      <c r="E5008" t="str">
        <f>VLOOKUP(A5008,Panels!$A$1:$E$2104,5,0)</f>
        <v>Low Plain</v>
      </c>
    </row>
    <row r="5009">
      <c r="A5009" s="3">
        <v>2406.0</v>
      </c>
      <c r="B5009" s="3">
        <v>1.0</v>
      </c>
      <c r="C5009" s="3">
        <v>10.0</v>
      </c>
      <c r="D5009" t="str">
        <f>VLOOKUP(B5009,ERA_MOTIF_TYPES.csv!$A$1:$C$119,2,1)</f>
        <v>Cups Single</v>
      </c>
      <c r="E5009" t="str">
        <f>VLOOKUP(A5009,Panels!$A$1:$E$2104,5,0)</f>
        <v>Low Plain</v>
      </c>
    </row>
    <row r="5010">
      <c r="A5010" s="3">
        <v>2406.0</v>
      </c>
      <c r="B5010" s="3">
        <v>13.0</v>
      </c>
      <c r="C5010" s="3">
        <v>1.0</v>
      </c>
      <c r="D5010" t="str">
        <f>VLOOKUP(B5010,ERA_MOTIF_TYPES.csv!$A$1:$C$119,2,1)</f>
        <v>Single Ring + cup</v>
      </c>
      <c r="E5010" t="str">
        <f>VLOOKUP(A5010,Panels!$A$1:$E$2104,5,0)</f>
        <v>Low Plain</v>
      </c>
    </row>
    <row r="5011">
      <c r="A5011" s="3">
        <v>2406.0</v>
      </c>
      <c r="B5011" s="3">
        <v>27.0</v>
      </c>
      <c r="C5011" s="3">
        <v>2.0</v>
      </c>
      <c r="D5011" t="str">
        <f>VLOOKUP(B5011,ERA_MOTIF_TYPES.csv!$A$1:$C$119,2,1)</f>
        <v>Serpentine</v>
      </c>
      <c r="E5011" t="str">
        <f>VLOOKUP(A5011,Panels!$A$1:$E$2104,5,0)</f>
        <v>Low Plain</v>
      </c>
    </row>
    <row r="5012">
      <c r="A5012" s="3">
        <v>2406.0</v>
      </c>
      <c r="B5012" s="3">
        <v>31.0</v>
      </c>
      <c r="C5012" s="3">
        <v>1.0</v>
      </c>
      <c r="D5012" t="str">
        <f>VLOOKUP(B5012,ERA_MOTIF_TYPES.csv!$A$1:$C$119,2,1)</f>
        <v>Cup and Groove</v>
      </c>
      <c r="E5012" t="str">
        <f>VLOOKUP(A5012,Panels!$A$1:$E$2104,5,0)</f>
        <v>Low Plain</v>
      </c>
    </row>
    <row r="5013">
      <c r="A5013" s="3">
        <v>2407.0</v>
      </c>
      <c r="B5013" s="3">
        <v>1.0</v>
      </c>
      <c r="C5013" s="3">
        <v>13.0</v>
      </c>
      <c r="D5013" t="str">
        <f>VLOOKUP(B5013,ERA_MOTIF_TYPES.csv!$A$1:$C$119,2,1)</f>
        <v>Cups Single</v>
      </c>
      <c r="E5013" t="str">
        <f>VLOOKUP(A5013,Panels!$A$1:$E$2104,5,0)</f>
        <v>Low Plain</v>
      </c>
    </row>
    <row r="5014">
      <c r="A5014" s="3">
        <v>2408.0</v>
      </c>
      <c r="B5014" s="3">
        <v>1.0</v>
      </c>
      <c r="C5014" s="3">
        <v>12.0</v>
      </c>
      <c r="D5014" t="str">
        <f>VLOOKUP(B5014,ERA_MOTIF_TYPES.csv!$A$1:$C$119,2,1)</f>
        <v>Cups Single</v>
      </c>
      <c r="E5014" t="str">
        <f>VLOOKUP(A5014,Panels!$A$1:$E$2104,5,0)</f>
        <v>Low Plain</v>
      </c>
    </row>
    <row r="5015">
      <c r="A5015" s="3">
        <v>2408.0</v>
      </c>
      <c r="B5015" s="3">
        <v>117.0</v>
      </c>
      <c r="C5015" s="3">
        <v>1.0</v>
      </c>
      <c r="D5015" t="str">
        <f>VLOOKUP(B5015,ERA_MOTIF_TYPES.csv!$A$1:$C$119,2,1)</f>
        <v>Dumb-bell</v>
      </c>
      <c r="E5015" t="str">
        <f>VLOOKUP(A5015,Panels!$A$1:$E$2104,5,0)</f>
        <v>Low Plain</v>
      </c>
    </row>
    <row r="5016">
      <c r="A5016" s="3">
        <v>2409.0</v>
      </c>
      <c r="B5016" s="3">
        <v>1.0</v>
      </c>
      <c r="C5016" s="3">
        <v>1.0</v>
      </c>
      <c r="D5016" t="str">
        <f>VLOOKUP(B5016,ERA_MOTIF_TYPES.csv!$A$1:$C$119,2,1)</f>
        <v>Cups Single</v>
      </c>
      <c r="E5016" t="str">
        <f>VLOOKUP(A5016,Panels!$A$1:$E$2104,5,0)</f>
        <v>Low Plain</v>
      </c>
    </row>
    <row r="5017">
      <c r="A5017" s="3">
        <v>2410.0</v>
      </c>
      <c r="B5017" s="3">
        <v>1.0</v>
      </c>
      <c r="C5017" s="3">
        <v>2.0</v>
      </c>
      <c r="D5017" t="str">
        <f>VLOOKUP(B5017,ERA_MOTIF_TYPES.csv!$A$1:$C$119,2,1)</f>
        <v>Cups Single</v>
      </c>
      <c r="E5017" t="str">
        <f>VLOOKUP(A5017,Panels!$A$1:$E$2104,5,0)</f>
        <v>Low Plain</v>
      </c>
    </row>
    <row r="5018">
      <c r="A5018" s="3">
        <v>2410.0</v>
      </c>
      <c r="B5018" s="3">
        <v>25.0</v>
      </c>
      <c r="C5018" s="3">
        <v>1.0</v>
      </c>
      <c r="D5018" t="str">
        <f>VLOOKUP(B5018,ERA_MOTIF_TYPES.csv!$A$1:$C$119,2,1)</f>
        <v>Linear</v>
      </c>
      <c r="E5018" t="str">
        <f>VLOOKUP(A5018,Panels!$A$1:$E$2104,5,0)</f>
        <v>Low Plain</v>
      </c>
    </row>
    <row r="5019">
      <c r="A5019" s="3">
        <v>2410.0</v>
      </c>
      <c r="B5019" s="3">
        <v>27.0</v>
      </c>
      <c r="C5019" s="1"/>
      <c r="D5019" t="str">
        <f>VLOOKUP(B5019,ERA_MOTIF_TYPES.csv!$A$1:$C$119,2,1)</f>
        <v>Serpentine</v>
      </c>
      <c r="E5019" t="str">
        <f>VLOOKUP(A5019,Panels!$A$1:$E$2104,5,0)</f>
        <v>Low Plain</v>
      </c>
    </row>
    <row r="5020">
      <c r="A5020" s="3">
        <v>2411.0</v>
      </c>
      <c r="B5020" s="3">
        <v>1.0</v>
      </c>
      <c r="C5020" s="3">
        <v>7.0</v>
      </c>
      <c r="D5020" t="str">
        <f>VLOOKUP(B5020,ERA_MOTIF_TYPES.csv!$A$1:$C$119,2,1)</f>
        <v>Cups Single</v>
      </c>
      <c r="E5020" t="str">
        <f>VLOOKUP(A5020,Panels!$A$1:$E$2104,5,0)</f>
        <v>Low Plain</v>
      </c>
    </row>
    <row r="5021">
      <c r="A5021" s="3">
        <v>2411.0</v>
      </c>
      <c r="B5021" s="3">
        <v>25.0</v>
      </c>
      <c r="C5021" s="3">
        <v>2.0</v>
      </c>
      <c r="D5021" t="str">
        <f>VLOOKUP(B5021,ERA_MOTIF_TYPES.csv!$A$1:$C$119,2,1)</f>
        <v>Linear</v>
      </c>
      <c r="E5021" t="str">
        <f>VLOOKUP(A5021,Panels!$A$1:$E$2104,5,0)</f>
        <v>Low Plain</v>
      </c>
    </row>
    <row r="5022">
      <c r="A5022" s="3">
        <v>2411.0</v>
      </c>
      <c r="B5022" s="3">
        <v>27.0</v>
      </c>
      <c r="C5022" s="3">
        <v>2.0</v>
      </c>
      <c r="D5022" t="str">
        <f>VLOOKUP(B5022,ERA_MOTIF_TYPES.csv!$A$1:$C$119,2,1)</f>
        <v>Serpentine</v>
      </c>
      <c r="E5022" t="str">
        <f>VLOOKUP(A5022,Panels!$A$1:$E$2104,5,0)</f>
        <v>Low Plain</v>
      </c>
    </row>
    <row r="5023">
      <c r="A5023" s="3">
        <v>2411.0</v>
      </c>
      <c r="B5023" s="3">
        <v>31.0</v>
      </c>
      <c r="C5023" s="3">
        <v>1.0</v>
      </c>
      <c r="D5023" t="str">
        <f>VLOOKUP(B5023,ERA_MOTIF_TYPES.csv!$A$1:$C$119,2,1)</f>
        <v>Cup and Groove</v>
      </c>
      <c r="E5023" t="str">
        <f>VLOOKUP(A5023,Panels!$A$1:$E$2104,5,0)</f>
        <v>Low Plain</v>
      </c>
    </row>
    <row r="5024">
      <c r="A5024" s="3">
        <v>2411.0</v>
      </c>
      <c r="B5024" s="3">
        <v>117.0</v>
      </c>
      <c r="C5024" s="3">
        <v>2.0</v>
      </c>
      <c r="D5024" t="str">
        <f>VLOOKUP(B5024,ERA_MOTIF_TYPES.csv!$A$1:$C$119,2,1)</f>
        <v>Dumb-bell</v>
      </c>
      <c r="E5024" t="str">
        <f>VLOOKUP(A5024,Panels!$A$1:$E$2104,5,0)</f>
        <v>Low Plain</v>
      </c>
    </row>
    <row r="5025">
      <c r="A5025" s="3">
        <v>2412.0</v>
      </c>
      <c r="B5025" s="3">
        <v>1.0</v>
      </c>
      <c r="C5025" s="3">
        <v>4.0</v>
      </c>
      <c r="D5025" t="str">
        <f>VLOOKUP(B5025,ERA_MOTIF_TYPES.csv!$A$1:$C$119,2,1)</f>
        <v>Cups Single</v>
      </c>
      <c r="E5025" t="str">
        <f>VLOOKUP(A5025,Panels!$A$1:$E$2104,5,0)</f>
        <v>Low Plain</v>
      </c>
    </row>
    <row r="5026">
      <c r="A5026" s="3">
        <v>2413.0</v>
      </c>
      <c r="B5026" s="3">
        <v>1.0</v>
      </c>
      <c r="C5026" s="3">
        <v>4.0</v>
      </c>
      <c r="D5026" t="str">
        <f>VLOOKUP(B5026,ERA_MOTIF_TYPES.csv!$A$1:$C$119,2,1)</f>
        <v>Cups Single</v>
      </c>
      <c r="E5026" t="str">
        <f>VLOOKUP(A5026,Panels!$A$1:$E$2104,5,0)</f>
        <v>Low Plain</v>
      </c>
    </row>
    <row r="5027">
      <c r="A5027" s="3">
        <v>2413.0</v>
      </c>
      <c r="B5027" s="3">
        <v>27.0</v>
      </c>
      <c r="C5027" s="3">
        <v>1.0</v>
      </c>
      <c r="D5027" t="str">
        <f>VLOOKUP(B5027,ERA_MOTIF_TYPES.csv!$A$1:$C$119,2,1)</f>
        <v>Serpentine</v>
      </c>
      <c r="E5027" t="str">
        <f>VLOOKUP(A5027,Panels!$A$1:$E$2104,5,0)</f>
        <v>Low Plain</v>
      </c>
    </row>
    <row r="5028">
      <c r="A5028" s="3">
        <v>2413.0</v>
      </c>
      <c r="B5028" s="3">
        <v>31.0</v>
      </c>
      <c r="C5028" s="3">
        <v>1.0</v>
      </c>
      <c r="D5028" t="str">
        <f>VLOOKUP(B5028,ERA_MOTIF_TYPES.csv!$A$1:$C$119,2,1)</f>
        <v>Cup and Groove</v>
      </c>
      <c r="E5028" t="str">
        <f>VLOOKUP(A5028,Panels!$A$1:$E$2104,5,0)</f>
        <v>Low Plain</v>
      </c>
    </row>
    <row r="5029">
      <c r="A5029" s="3">
        <v>2414.0</v>
      </c>
      <c r="B5029" s="3">
        <v>1.0</v>
      </c>
      <c r="C5029" s="3">
        <v>3.0</v>
      </c>
      <c r="D5029" t="str">
        <f>VLOOKUP(B5029,ERA_MOTIF_TYPES.csv!$A$1:$C$119,2,1)</f>
        <v>Cups Single</v>
      </c>
      <c r="E5029" t="str">
        <f>VLOOKUP(A5029,Panels!$A$1:$E$2104,5,0)</f>
        <v>Low Plain</v>
      </c>
    </row>
    <row r="5030">
      <c r="A5030" s="3">
        <v>2414.0</v>
      </c>
      <c r="B5030" s="3">
        <v>25.0</v>
      </c>
      <c r="C5030" s="3">
        <v>2.0</v>
      </c>
      <c r="D5030" t="str">
        <f>VLOOKUP(B5030,ERA_MOTIF_TYPES.csv!$A$1:$C$119,2,1)</f>
        <v>Linear</v>
      </c>
      <c r="E5030" t="str">
        <f>VLOOKUP(A5030,Panels!$A$1:$E$2104,5,0)</f>
        <v>Low Plain</v>
      </c>
    </row>
    <row r="5031">
      <c r="A5031" s="3">
        <v>2414.0</v>
      </c>
      <c r="B5031" s="3">
        <v>31.0</v>
      </c>
      <c r="C5031" s="3">
        <v>1.0</v>
      </c>
      <c r="D5031" t="str">
        <f>VLOOKUP(B5031,ERA_MOTIF_TYPES.csv!$A$1:$C$119,2,1)</f>
        <v>Cup and Groove</v>
      </c>
      <c r="E5031" t="str">
        <f>VLOOKUP(A5031,Panels!$A$1:$E$2104,5,0)</f>
        <v>Low Plain</v>
      </c>
    </row>
    <row r="5032">
      <c r="A5032" s="3">
        <v>2415.0</v>
      </c>
      <c r="B5032" s="3">
        <v>1.0</v>
      </c>
      <c r="C5032" s="3">
        <v>15.0</v>
      </c>
      <c r="D5032" t="str">
        <f>VLOOKUP(B5032,ERA_MOTIF_TYPES.csv!$A$1:$C$119,2,1)</f>
        <v>Cups Single</v>
      </c>
      <c r="E5032" t="str">
        <f>VLOOKUP(A5032,Panels!$A$1:$E$2104,5,0)</f>
        <v>Low Plain</v>
      </c>
    </row>
    <row r="5033">
      <c r="A5033" s="3">
        <v>2415.0</v>
      </c>
      <c r="B5033" s="3">
        <v>117.0</v>
      </c>
      <c r="C5033" s="3">
        <v>1.0</v>
      </c>
      <c r="D5033" t="str">
        <f>VLOOKUP(B5033,ERA_MOTIF_TYPES.csv!$A$1:$C$119,2,1)</f>
        <v>Dumb-bell</v>
      </c>
      <c r="E5033" t="str">
        <f>VLOOKUP(A5033,Panels!$A$1:$E$2104,5,0)</f>
        <v>Low Plain</v>
      </c>
    </row>
    <row r="5034">
      <c r="A5034" s="3">
        <v>2416.0</v>
      </c>
      <c r="B5034" s="3">
        <v>6.0</v>
      </c>
      <c r="C5034" s="3">
        <v>1.0</v>
      </c>
      <c r="D5034" t="str">
        <f>VLOOKUP(B5034,ERA_MOTIF_TYPES.csv!$A$1:$C$119,2,1)</f>
        <v>curved or straight line</v>
      </c>
      <c r="E5034" t="str">
        <f>VLOOKUP(A5034,Panels!$A$1:$E$2104,5,0)</f>
        <v>Low Plain</v>
      </c>
    </row>
    <row r="5035">
      <c r="A5035" s="3">
        <v>2417.0</v>
      </c>
      <c r="B5035" s="3">
        <v>1.0</v>
      </c>
      <c r="C5035" s="3">
        <v>4.0</v>
      </c>
      <c r="D5035" t="str">
        <f>VLOOKUP(B5035,ERA_MOTIF_TYPES.csv!$A$1:$C$119,2,1)</f>
        <v>Cups Single</v>
      </c>
      <c r="E5035" t="str">
        <f>VLOOKUP(A5035,Panels!$A$1:$E$2104,5,0)</f>
        <v>Low Plain</v>
      </c>
    </row>
    <row r="5036">
      <c r="A5036" s="3">
        <v>2417.0</v>
      </c>
      <c r="B5036" s="3">
        <v>16.0</v>
      </c>
      <c r="C5036" s="3">
        <v>5.0</v>
      </c>
      <c r="D5036" t="str">
        <f>VLOOKUP(B5036,ERA_MOTIF_TYPES.csv!$A$1:$C$119,2,1)</f>
        <v>Single Arc + cup</v>
      </c>
      <c r="E5036" t="str">
        <f>VLOOKUP(A5036,Panels!$A$1:$E$2104,5,0)</f>
        <v>Low Plain</v>
      </c>
    </row>
    <row r="5037">
      <c r="A5037" s="3">
        <v>2418.0</v>
      </c>
      <c r="B5037" s="3">
        <v>1.0</v>
      </c>
      <c r="C5037" s="3">
        <v>1.0</v>
      </c>
      <c r="D5037" t="str">
        <f>VLOOKUP(B5037,ERA_MOTIF_TYPES.csv!$A$1:$C$119,2,1)</f>
        <v>Cups Single</v>
      </c>
      <c r="E5037" t="str">
        <f>VLOOKUP(A5037,Panels!$A$1:$E$2104,5,0)</f>
        <v>Low Plain</v>
      </c>
    </row>
    <row r="5038">
      <c r="A5038" s="3">
        <v>2419.0</v>
      </c>
      <c r="B5038" s="3">
        <v>1.0</v>
      </c>
      <c r="C5038" s="3">
        <v>3.0</v>
      </c>
      <c r="D5038" t="str">
        <f>VLOOKUP(B5038,ERA_MOTIF_TYPES.csv!$A$1:$C$119,2,1)</f>
        <v>Cups Single</v>
      </c>
      <c r="E5038" t="str">
        <f>VLOOKUP(A5038,Panels!$A$1:$E$2104,5,0)</f>
        <v>Low Plain</v>
      </c>
    </row>
    <row r="5039">
      <c r="A5039" s="3">
        <v>2420.0</v>
      </c>
      <c r="B5039" s="3">
        <v>10.0</v>
      </c>
      <c r="C5039" s="3">
        <v>1.0</v>
      </c>
      <c r="D5039" t="str">
        <f>VLOOKUP(B5039,ERA_MOTIF_TYPES.csv!$A$1:$C$119,2,1)</f>
        <v>Single Arc</v>
      </c>
      <c r="E5039" t="str">
        <f>VLOOKUP(A5039,Panels!$A$1:$E$2104,5,0)</f>
        <v>Low Plain</v>
      </c>
    </row>
    <row r="5040">
      <c r="A5040" s="3">
        <v>2420.0</v>
      </c>
      <c r="B5040" s="3">
        <v>117.0</v>
      </c>
      <c r="C5040" s="3">
        <v>1.0</v>
      </c>
      <c r="D5040" t="str">
        <f>VLOOKUP(B5040,ERA_MOTIF_TYPES.csv!$A$1:$C$119,2,1)</f>
        <v>Dumb-bell</v>
      </c>
      <c r="E5040" t="str">
        <f>VLOOKUP(A5040,Panels!$A$1:$E$2104,5,0)</f>
        <v>Low Plain</v>
      </c>
    </row>
    <row r="5041">
      <c r="A5041" s="3">
        <v>2421.0</v>
      </c>
      <c r="B5041" s="3">
        <v>1.0</v>
      </c>
      <c r="C5041" s="3">
        <v>2.0</v>
      </c>
      <c r="D5041" t="str">
        <f>VLOOKUP(B5041,ERA_MOTIF_TYPES.csv!$A$1:$C$119,2,1)</f>
        <v>Cups Single</v>
      </c>
      <c r="E5041" t="str">
        <f>VLOOKUP(A5041,Panels!$A$1:$E$2104,5,0)</f>
        <v>Low Plain</v>
      </c>
    </row>
    <row r="5042">
      <c r="A5042" s="3">
        <v>2422.0</v>
      </c>
      <c r="B5042" s="3">
        <v>1.0</v>
      </c>
      <c r="C5042" s="3">
        <v>1.0</v>
      </c>
      <c r="D5042" t="str">
        <f>VLOOKUP(B5042,ERA_MOTIF_TYPES.csv!$A$1:$C$119,2,1)</f>
        <v>Cups Single</v>
      </c>
      <c r="E5042" t="str">
        <f>VLOOKUP(A5042,Panels!$A$1:$E$2104,5,0)</f>
        <v>Low Plain</v>
      </c>
    </row>
    <row r="5043">
      <c r="A5043" s="3">
        <v>2423.0</v>
      </c>
      <c r="B5043" s="3">
        <v>1.0</v>
      </c>
      <c r="C5043" s="3">
        <v>2.0</v>
      </c>
      <c r="D5043" t="str">
        <f>VLOOKUP(B5043,ERA_MOTIF_TYPES.csv!$A$1:$C$119,2,1)</f>
        <v>Cups Single</v>
      </c>
      <c r="E5043" t="str">
        <f>VLOOKUP(A5043,Panels!$A$1:$E$2104,5,0)</f>
        <v>Low Plain</v>
      </c>
    </row>
    <row r="5044">
      <c r="A5044" s="3">
        <v>2424.0</v>
      </c>
      <c r="B5044" s="3">
        <v>1.0</v>
      </c>
      <c r="C5044" s="3">
        <v>3.0</v>
      </c>
      <c r="D5044" t="str">
        <f>VLOOKUP(B5044,ERA_MOTIF_TYPES.csv!$A$1:$C$119,2,1)</f>
        <v>Cups Single</v>
      </c>
      <c r="E5044" t="str">
        <f>VLOOKUP(A5044,Panels!$A$1:$E$2104,5,0)</f>
        <v>Low Plain</v>
      </c>
    </row>
    <row r="5045">
      <c r="A5045" s="3">
        <v>2424.0</v>
      </c>
      <c r="B5045" s="3">
        <v>16.0</v>
      </c>
      <c r="C5045" s="3">
        <v>1.0</v>
      </c>
      <c r="D5045" t="str">
        <f>VLOOKUP(B5045,ERA_MOTIF_TYPES.csv!$A$1:$C$119,2,1)</f>
        <v>Single Arc + cup</v>
      </c>
      <c r="E5045" t="str">
        <f>VLOOKUP(A5045,Panels!$A$1:$E$2104,5,0)</f>
        <v>Low Plain</v>
      </c>
    </row>
    <row r="5046">
      <c r="A5046" s="3">
        <v>2424.0</v>
      </c>
      <c r="B5046" s="3">
        <v>25.0</v>
      </c>
      <c r="C5046" s="3">
        <v>2.0</v>
      </c>
      <c r="D5046" t="str">
        <f>VLOOKUP(B5046,ERA_MOTIF_TYPES.csv!$A$1:$C$119,2,1)</f>
        <v>Linear</v>
      </c>
      <c r="E5046" t="str">
        <f>VLOOKUP(A5046,Panels!$A$1:$E$2104,5,0)</f>
        <v>Low Plain</v>
      </c>
    </row>
    <row r="5047">
      <c r="A5047" s="3">
        <v>2425.0</v>
      </c>
      <c r="B5047" s="3">
        <v>1.0</v>
      </c>
      <c r="C5047" s="3">
        <v>1.0</v>
      </c>
      <c r="D5047" t="str">
        <f>VLOOKUP(B5047,ERA_MOTIF_TYPES.csv!$A$1:$C$119,2,1)</f>
        <v>Cups Single</v>
      </c>
      <c r="E5047" t="str">
        <f>VLOOKUP(A5047,Panels!$A$1:$E$2104,5,0)</f>
        <v>Cow and Calf</v>
      </c>
    </row>
    <row r="5048">
      <c r="A5048" s="3">
        <v>2426.0</v>
      </c>
      <c r="B5048" s="3">
        <v>1.0</v>
      </c>
      <c r="C5048" s="3">
        <v>2.0</v>
      </c>
      <c r="D5048" t="str">
        <f>VLOOKUP(B5048,ERA_MOTIF_TYPES.csv!$A$1:$C$119,2,1)</f>
        <v>Cups Single</v>
      </c>
      <c r="E5048" t="str">
        <f>VLOOKUP(A5048,Panels!$A$1:$E$2104,5,0)</f>
        <v>Cow and Calf</v>
      </c>
    </row>
    <row r="5049">
      <c r="A5049" s="3">
        <v>2427.0</v>
      </c>
      <c r="B5049" s="3">
        <v>1.0</v>
      </c>
      <c r="C5049" s="3">
        <v>1.0</v>
      </c>
      <c r="D5049" t="str">
        <f>VLOOKUP(B5049,ERA_MOTIF_TYPES.csv!$A$1:$C$119,2,1)</f>
        <v>Cups Single</v>
      </c>
      <c r="E5049" t="str">
        <f>VLOOKUP(A5049,Panels!$A$1:$E$2104,5,0)</f>
        <v>Cow and Calf</v>
      </c>
    </row>
    <row r="5050">
      <c r="A5050" s="3">
        <v>2428.0</v>
      </c>
      <c r="B5050" s="3">
        <v>5.0</v>
      </c>
      <c r="C5050" s="3">
        <v>1.0</v>
      </c>
      <c r="D5050" t="str">
        <f>VLOOKUP(B5050,ERA_MOTIF_TYPES.csv!$A$1:$C$119,2,1)</f>
        <v>Rosette</v>
      </c>
      <c r="E5050" t="str">
        <f>VLOOKUP(A5050,Panels!$A$1:$E$2104,5,0)</f>
        <v>Cow and Calf</v>
      </c>
    </row>
    <row r="5051">
      <c r="A5051" s="3">
        <v>2429.0</v>
      </c>
      <c r="B5051" s="3">
        <v>6.0</v>
      </c>
      <c r="C5051" s="3">
        <v>3.0</v>
      </c>
      <c r="D5051" t="str">
        <f>VLOOKUP(B5051,ERA_MOTIF_TYPES.csv!$A$1:$C$119,2,1)</f>
        <v>curved or straight line</v>
      </c>
      <c r="E5051" t="str">
        <f>VLOOKUP(A5051,Panels!$A$1:$E$2104,5,0)</f>
        <v>Cow and Calf</v>
      </c>
    </row>
    <row r="5052">
      <c r="A5052" s="3">
        <v>2430.0</v>
      </c>
      <c r="B5052" s="3">
        <v>1.0</v>
      </c>
      <c r="C5052" s="3">
        <v>3.0</v>
      </c>
      <c r="D5052" t="str">
        <f>VLOOKUP(B5052,ERA_MOTIF_TYPES.csv!$A$1:$C$119,2,1)</f>
        <v>Cups Single</v>
      </c>
      <c r="E5052" t="str">
        <f>VLOOKUP(A5052,Panels!$A$1:$E$2104,5,0)</f>
        <v>Cow and Calf</v>
      </c>
    </row>
    <row r="5053">
      <c r="A5053" s="3">
        <v>2431.0</v>
      </c>
      <c r="B5053" s="3">
        <v>1.0</v>
      </c>
      <c r="C5053" s="3">
        <v>1.0</v>
      </c>
      <c r="D5053" t="str">
        <f>VLOOKUP(B5053,ERA_MOTIF_TYPES.csv!$A$1:$C$119,2,1)</f>
        <v>Cups Single</v>
      </c>
      <c r="E5053" t="str">
        <f>VLOOKUP(A5053,Panels!$A$1:$E$2104,5,0)</f>
        <v>Cow and Calf</v>
      </c>
    </row>
    <row r="5054">
      <c r="A5054" s="3">
        <v>2432.0</v>
      </c>
      <c r="B5054" s="3">
        <v>1.0</v>
      </c>
      <c r="C5054" s="3">
        <v>3.0</v>
      </c>
      <c r="D5054" t="str">
        <f>VLOOKUP(B5054,ERA_MOTIF_TYPES.csv!$A$1:$C$119,2,1)</f>
        <v>Cups Single</v>
      </c>
      <c r="E5054" t="str">
        <f>VLOOKUP(A5054,Panels!$A$1:$E$2104,5,0)</f>
        <v>Cow and Calf</v>
      </c>
    </row>
    <row r="5055">
      <c r="A5055" s="3">
        <v>2433.0</v>
      </c>
      <c r="B5055" s="3">
        <v>1.0</v>
      </c>
      <c r="C5055" s="3">
        <v>1.0</v>
      </c>
      <c r="D5055" t="str">
        <f>VLOOKUP(B5055,ERA_MOTIF_TYPES.csv!$A$1:$C$119,2,1)</f>
        <v>Cups Single</v>
      </c>
      <c r="E5055" t="str">
        <f>VLOOKUP(A5055,Panels!$A$1:$E$2104,5,0)</f>
        <v>Cow and Calf</v>
      </c>
    </row>
    <row r="5056">
      <c r="A5056" s="3">
        <v>2433.0</v>
      </c>
      <c r="B5056" s="3">
        <v>25.0</v>
      </c>
      <c r="C5056" s="3">
        <v>1.0</v>
      </c>
      <c r="D5056" t="str">
        <f>VLOOKUP(B5056,ERA_MOTIF_TYPES.csv!$A$1:$C$119,2,1)</f>
        <v>Linear</v>
      </c>
      <c r="E5056" t="str">
        <f>VLOOKUP(A5056,Panels!$A$1:$E$2104,5,0)</f>
        <v>Cow and Calf</v>
      </c>
    </row>
    <row r="5057">
      <c r="A5057" s="3">
        <v>2434.0</v>
      </c>
      <c r="B5057" s="3">
        <v>1.0</v>
      </c>
      <c r="C5057" s="3">
        <v>3.0</v>
      </c>
      <c r="D5057" t="str">
        <f>VLOOKUP(B5057,ERA_MOTIF_TYPES.csv!$A$1:$C$119,2,1)</f>
        <v>Cups Single</v>
      </c>
      <c r="E5057" t="str">
        <f>VLOOKUP(A5057,Panels!$A$1:$E$2104,5,0)</f>
        <v>Cow and Calf</v>
      </c>
    </row>
    <row r="5058">
      <c r="A5058" s="3">
        <v>2434.0</v>
      </c>
      <c r="B5058" s="3">
        <v>10.0</v>
      </c>
      <c r="C5058" s="3">
        <v>1.0</v>
      </c>
      <c r="D5058" t="str">
        <f>VLOOKUP(B5058,ERA_MOTIF_TYPES.csv!$A$1:$C$119,2,1)</f>
        <v>Single Arc</v>
      </c>
      <c r="E5058" t="str">
        <f>VLOOKUP(A5058,Panels!$A$1:$E$2104,5,0)</f>
        <v>Cow and Calf</v>
      </c>
    </row>
    <row r="5059">
      <c r="A5059" s="3">
        <v>2434.0</v>
      </c>
      <c r="B5059" s="3">
        <v>25.0</v>
      </c>
      <c r="C5059" s="3">
        <v>1.0</v>
      </c>
      <c r="D5059" t="str">
        <f>VLOOKUP(B5059,ERA_MOTIF_TYPES.csv!$A$1:$C$119,2,1)</f>
        <v>Linear</v>
      </c>
      <c r="E5059" t="str">
        <f>VLOOKUP(A5059,Panels!$A$1:$E$2104,5,0)</f>
        <v>Cow and Calf</v>
      </c>
    </row>
    <row r="5060">
      <c r="A5060" s="3">
        <v>2434.0</v>
      </c>
      <c r="B5060" s="3">
        <v>36.0</v>
      </c>
      <c r="C5060" s="1"/>
      <c r="D5060" t="str">
        <f>VLOOKUP(B5060,ERA_MOTIF_TYPES.csv!$A$1:$C$119,2,1)</f>
        <v>Cup Groove and arc</v>
      </c>
      <c r="E5060" t="str">
        <f>VLOOKUP(A5060,Panels!$A$1:$E$2104,5,0)</f>
        <v>Cow and Calf</v>
      </c>
    </row>
    <row r="5061">
      <c r="A5061" s="3">
        <v>2435.0</v>
      </c>
      <c r="B5061" s="3">
        <v>1.0</v>
      </c>
      <c r="C5061" s="3">
        <v>13.0</v>
      </c>
      <c r="D5061" t="str">
        <f>VLOOKUP(B5061,ERA_MOTIF_TYPES.csv!$A$1:$C$119,2,1)</f>
        <v>Cups Single</v>
      </c>
      <c r="E5061" t="str">
        <f>VLOOKUP(A5061,Panels!$A$1:$E$2104,5,0)</f>
        <v>Green Crag</v>
      </c>
    </row>
    <row r="5062">
      <c r="A5062" s="3">
        <v>2436.0</v>
      </c>
      <c r="B5062" s="3">
        <v>1.0</v>
      </c>
      <c r="C5062" s="3">
        <v>1.0</v>
      </c>
      <c r="D5062" t="str">
        <f>VLOOKUP(B5062,ERA_MOTIF_TYPES.csv!$A$1:$C$119,2,1)</f>
        <v>Cups Single</v>
      </c>
      <c r="E5062" t="str">
        <f>VLOOKUP(A5062,Panels!$A$1:$E$2104,5,0)</f>
        <v>Green Crag</v>
      </c>
    </row>
    <row r="5063">
      <c r="A5063" s="3">
        <v>2437.0</v>
      </c>
      <c r="B5063" s="3">
        <v>1.0</v>
      </c>
      <c r="C5063" s="3">
        <v>2.0</v>
      </c>
      <c r="D5063" t="str">
        <f>VLOOKUP(B5063,ERA_MOTIF_TYPES.csv!$A$1:$C$119,2,1)</f>
        <v>Cups Single</v>
      </c>
      <c r="E5063" t="str">
        <f>VLOOKUP(A5063,Panels!$A$1:$E$2104,5,0)</f>
        <v>Green Crag</v>
      </c>
    </row>
    <row r="5064">
      <c r="A5064" s="3">
        <v>2438.0</v>
      </c>
      <c r="B5064" s="3">
        <v>1.0</v>
      </c>
      <c r="C5064" s="3">
        <v>3.0</v>
      </c>
      <c r="D5064" t="str">
        <f>VLOOKUP(B5064,ERA_MOTIF_TYPES.csv!$A$1:$C$119,2,1)</f>
        <v>Cups Single</v>
      </c>
      <c r="E5064" t="str">
        <f>VLOOKUP(A5064,Panels!$A$1:$E$2104,5,0)</f>
        <v>Green Crag</v>
      </c>
    </row>
    <row r="5065">
      <c r="A5065" s="3">
        <v>2439.0</v>
      </c>
      <c r="B5065" s="3">
        <v>1.0</v>
      </c>
      <c r="C5065" s="3">
        <v>17.0</v>
      </c>
      <c r="D5065" t="str">
        <f>VLOOKUP(B5065,ERA_MOTIF_TYPES.csv!$A$1:$C$119,2,1)</f>
        <v>Cups Single</v>
      </c>
      <c r="E5065" t="str">
        <f>VLOOKUP(A5065,Panels!$A$1:$E$2104,5,0)</f>
        <v>Green Crag</v>
      </c>
    </row>
    <row r="5066">
      <c r="A5066" s="3">
        <v>2439.0</v>
      </c>
      <c r="B5066" s="3">
        <v>6.0</v>
      </c>
      <c r="C5066" s="1"/>
      <c r="D5066" t="str">
        <f>VLOOKUP(B5066,ERA_MOTIF_TYPES.csv!$A$1:$C$119,2,1)</f>
        <v>curved or straight line</v>
      </c>
      <c r="E5066" t="str">
        <f>VLOOKUP(A5066,Panels!$A$1:$E$2104,5,0)</f>
        <v>Green Crag</v>
      </c>
    </row>
    <row r="5067">
      <c r="A5067" s="3">
        <v>2439.0</v>
      </c>
      <c r="B5067" s="3">
        <v>25.0</v>
      </c>
      <c r="C5067" s="3">
        <v>1.0</v>
      </c>
      <c r="D5067" t="str">
        <f>VLOOKUP(B5067,ERA_MOTIF_TYPES.csv!$A$1:$C$119,2,1)</f>
        <v>Linear</v>
      </c>
      <c r="E5067" t="str">
        <f>VLOOKUP(A5067,Panels!$A$1:$E$2104,5,0)</f>
        <v>Green Crag</v>
      </c>
    </row>
    <row r="5068">
      <c r="A5068" s="3">
        <v>2439.0</v>
      </c>
      <c r="B5068" s="3">
        <v>26.0</v>
      </c>
      <c r="C5068" s="3">
        <v>7.0</v>
      </c>
      <c r="D5068" t="str">
        <f>VLOOKUP(B5068,ERA_MOTIF_TYPES.csv!$A$1:$C$119,2,1)</f>
        <v>Parallel</v>
      </c>
      <c r="E5068" t="str">
        <f>VLOOKUP(A5068,Panels!$A$1:$E$2104,5,0)</f>
        <v>Green Crag</v>
      </c>
    </row>
    <row r="5069">
      <c r="A5069" s="3">
        <v>2440.0</v>
      </c>
      <c r="B5069" s="3">
        <v>1.0</v>
      </c>
      <c r="C5069" s="3">
        <v>7.0</v>
      </c>
      <c r="D5069" t="str">
        <f>VLOOKUP(B5069,ERA_MOTIF_TYPES.csv!$A$1:$C$119,2,1)</f>
        <v>Cups Single</v>
      </c>
      <c r="E5069" t="str">
        <f>VLOOKUP(A5069,Panels!$A$1:$E$2104,5,0)</f>
        <v>Green Crag</v>
      </c>
    </row>
    <row r="5070">
      <c r="A5070" s="3">
        <v>2440.0</v>
      </c>
      <c r="B5070" s="3">
        <v>25.0</v>
      </c>
      <c r="C5070" s="3">
        <v>1.0</v>
      </c>
      <c r="D5070" t="str">
        <f>VLOOKUP(B5070,ERA_MOTIF_TYPES.csv!$A$1:$C$119,2,1)</f>
        <v>Linear</v>
      </c>
      <c r="E5070" t="str">
        <f>VLOOKUP(A5070,Panels!$A$1:$E$2104,5,0)</f>
        <v>Green Crag</v>
      </c>
    </row>
    <row r="5071">
      <c r="A5071" s="3">
        <v>2441.0</v>
      </c>
      <c r="B5071" s="3">
        <v>1.0</v>
      </c>
      <c r="C5071" s="3">
        <v>1.0</v>
      </c>
      <c r="D5071" t="str">
        <f>VLOOKUP(B5071,ERA_MOTIF_TYPES.csv!$A$1:$C$119,2,1)</f>
        <v>Cups Single</v>
      </c>
      <c r="E5071" t="str">
        <f>VLOOKUP(A5071,Panels!$A$1:$E$2104,5,0)</f>
        <v>Green Grag</v>
      </c>
    </row>
    <row r="5072">
      <c r="A5072" s="3">
        <v>2442.0</v>
      </c>
      <c r="B5072" s="3">
        <v>46.0</v>
      </c>
      <c r="C5072" s="3">
        <v>1.0</v>
      </c>
      <c r="D5072" t="str">
        <f>VLOOKUP(B5072,ERA_MOTIF_TYPES.csv!$A$1:$C$119,2,1)</f>
        <v>Groove and cups</v>
      </c>
      <c r="E5072" t="str">
        <f>VLOOKUP(A5072,Panels!$A$1:$E$2104,5,0)</f>
        <v>Green Crag</v>
      </c>
    </row>
    <row r="5073">
      <c r="A5073" s="3">
        <v>2443.0</v>
      </c>
      <c r="B5073" s="3">
        <v>1.0</v>
      </c>
      <c r="C5073" s="3">
        <v>2.0</v>
      </c>
      <c r="D5073" t="str">
        <f>VLOOKUP(B5073,ERA_MOTIF_TYPES.csv!$A$1:$C$119,2,1)</f>
        <v>Cups Single</v>
      </c>
      <c r="E5073" t="str">
        <f>VLOOKUP(A5073,Panels!$A$1:$E$2104,5,0)</f>
        <v>Green Crag</v>
      </c>
    </row>
    <row r="5074">
      <c r="A5074" s="3">
        <v>2443.0</v>
      </c>
      <c r="B5074" s="3">
        <v>18.0</v>
      </c>
      <c r="C5074" s="3">
        <v>1.0</v>
      </c>
      <c r="D5074" t="str">
        <f>VLOOKUP(B5074,ERA_MOTIF_TYPES.csv!$A$1:$C$119,2,1)</f>
        <v>Multi Arc + cup</v>
      </c>
      <c r="E5074" t="str">
        <f>VLOOKUP(A5074,Panels!$A$1:$E$2104,5,0)</f>
        <v>Green Crag</v>
      </c>
    </row>
    <row r="5075">
      <c r="A5075" s="3">
        <v>2443.0</v>
      </c>
      <c r="B5075" s="3">
        <v>25.0</v>
      </c>
      <c r="C5075" s="3">
        <v>2.0</v>
      </c>
      <c r="D5075" t="str">
        <f>VLOOKUP(B5075,ERA_MOTIF_TYPES.csv!$A$1:$C$119,2,1)</f>
        <v>Linear</v>
      </c>
      <c r="E5075" t="str">
        <f>VLOOKUP(A5075,Panels!$A$1:$E$2104,5,0)</f>
        <v>Green Crag</v>
      </c>
    </row>
    <row r="5076">
      <c r="A5076" s="3">
        <v>2443.0</v>
      </c>
      <c r="B5076" s="3">
        <v>31.0</v>
      </c>
      <c r="C5076" s="3">
        <v>2.0</v>
      </c>
      <c r="D5076" t="str">
        <f>VLOOKUP(B5076,ERA_MOTIF_TYPES.csv!$A$1:$C$119,2,1)</f>
        <v>Cup and Groove</v>
      </c>
      <c r="E5076" t="str">
        <f>VLOOKUP(A5076,Panels!$A$1:$E$2104,5,0)</f>
        <v>Green Crag</v>
      </c>
    </row>
    <row r="5077">
      <c r="A5077" s="3">
        <v>2444.0</v>
      </c>
      <c r="B5077" s="3">
        <v>1.0</v>
      </c>
      <c r="C5077" s="3">
        <v>1.0</v>
      </c>
      <c r="D5077" t="str">
        <f>VLOOKUP(B5077,ERA_MOTIF_TYPES.csv!$A$1:$C$119,2,1)</f>
        <v>Cups Single</v>
      </c>
      <c r="E5077" t="str">
        <f>VLOOKUP(A5077,Panels!$A$1:$E$2104,5,0)</f>
        <v>Green Crag</v>
      </c>
    </row>
    <row r="5078">
      <c r="A5078" s="3">
        <v>2445.0</v>
      </c>
      <c r="B5078" s="3">
        <v>1.0</v>
      </c>
      <c r="C5078" s="3">
        <v>25.0</v>
      </c>
      <c r="D5078" t="str">
        <f>VLOOKUP(B5078,ERA_MOTIF_TYPES.csv!$A$1:$C$119,2,1)</f>
        <v>Cups Single</v>
      </c>
      <c r="E5078" t="str">
        <f>VLOOKUP(A5078,Panels!$A$1:$E$2104,5,0)</f>
        <v>Green Crag</v>
      </c>
    </row>
    <row r="5079">
      <c r="A5079" s="3">
        <v>2446.0</v>
      </c>
      <c r="B5079" s="3">
        <v>1.0</v>
      </c>
      <c r="C5079" s="3">
        <v>6.0</v>
      </c>
      <c r="D5079" t="str">
        <f>VLOOKUP(B5079,ERA_MOTIF_TYPES.csv!$A$1:$C$119,2,1)</f>
        <v>Cups Single</v>
      </c>
      <c r="E5079" t="str">
        <f>VLOOKUP(A5079,Panels!$A$1:$E$2104,5,0)</f>
        <v>Green Crag</v>
      </c>
    </row>
    <row r="5080">
      <c r="A5080" s="3">
        <v>2446.0</v>
      </c>
      <c r="B5080" s="3">
        <v>25.0</v>
      </c>
      <c r="C5080" s="3">
        <v>2.0</v>
      </c>
      <c r="D5080" t="str">
        <f>VLOOKUP(B5080,ERA_MOTIF_TYPES.csv!$A$1:$C$119,2,1)</f>
        <v>Linear</v>
      </c>
      <c r="E5080" t="str">
        <f>VLOOKUP(A5080,Panels!$A$1:$E$2104,5,0)</f>
        <v>Green Crag</v>
      </c>
    </row>
    <row r="5081">
      <c r="A5081" s="3">
        <v>2448.0</v>
      </c>
      <c r="B5081" s="3">
        <v>14.0</v>
      </c>
      <c r="C5081" s="3">
        <v>1.0</v>
      </c>
      <c r="D5081" t="str">
        <f>VLOOKUP(B5081,ERA_MOTIF_TYPES.csv!$A$1:$C$119,2,1)</f>
        <v>Multi Ring + cup</v>
      </c>
      <c r="E5081" t="str">
        <f>VLOOKUP(A5081,Panels!$A$1:$E$2104,5,0)</f>
        <v>Baildon Hill</v>
      </c>
    </row>
    <row r="5082">
      <c r="A5082" s="3">
        <v>2449.0</v>
      </c>
      <c r="B5082" s="3">
        <v>1.0</v>
      </c>
      <c r="C5082" s="3">
        <v>1.0</v>
      </c>
      <c r="D5082" t="str">
        <f>VLOOKUP(B5082,ERA_MOTIF_TYPES.csv!$A$1:$C$119,2,1)</f>
        <v>Cups Single</v>
      </c>
      <c r="E5082" t="str">
        <f>VLOOKUP(A5082,Panels!$A$1:$E$2104,5,0)</f>
        <v>Baildon Green</v>
      </c>
    </row>
    <row r="5083">
      <c r="A5083" s="3">
        <v>2450.0</v>
      </c>
      <c r="B5083" s="3">
        <v>1.0</v>
      </c>
      <c r="C5083" s="3">
        <v>3.0</v>
      </c>
      <c r="D5083" t="str">
        <f>VLOOKUP(B5083,ERA_MOTIF_TYPES.csv!$A$1:$C$119,2,1)</f>
        <v>Cups Single</v>
      </c>
      <c r="E5083" t="str">
        <f>VLOOKUP(A5083,Panels!$A$1:$E$2104,5,0)</f>
        <v>Baildon Green</v>
      </c>
    </row>
    <row r="5084">
      <c r="A5084" s="3">
        <v>2451.0</v>
      </c>
      <c r="B5084" s="3">
        <v>46.0</v>
      </c>
      <c r="C5084" s="3">
        <v>1.0</v>
      </c>
      <c r="D5084" t="str">
        <f>VLOOKUP(B5084,ERA_MOTIF_TYPES.csv!$A$1:$C$119,2,1)</f>
        <v>Groove and cups</v>
      </c>
      <c r="E5084" t="str">
        <f>VLOOKUP(A5084,Panels!$A$1:$E$2104,5,0)</f>
        <v>Bracken Hall Crag</v>
      </c>
    </row>
    <row r="5085">
      <c r="A5085" s="3">
        <v>2451.0</v>
      </c>
      <c r="B5085" s="3">
        <v>49.0</v>
      </c>
      <c r="C5085" s="1"/>
      <c r="D5085" t="str">
        <f>VLOOKUP(B5085,ERA_MOTIF_TYPES.csv!$A$1:$C$119,2,1)</f>
        <v>Multi Square Groove and cups</v>
      </c>
      <c r="E5085" t="str">
        <f>VLOOKUP(A5085,Panels!$A$1:$E$2104,5,0)</f>
        <v>Bracken Hall Crag</v>
      </c>
    </row>
    <row r="5086">
      <c r="A5086" s="3">
        <v>2452.0</v>
      </c>
      <c r="B5086" s="3">
        <v>1.0</v>
      </c>
      <c r="C5086" s="3">
        <v>1.0</v>
      </c>
      <c r="D5086" t="str">
        <f>VLOOKUP(B5086,ERA_MOTIF_TYPES.csv!$A$1:$C$119,2,1)</f>
        <v>Cups Single</v>
      </c>
      <c r="E5086" t="str">
        <f>VLOOKUP(A5086,Panels!$A$1:$E$2104,5,0)</f>
        <v>Catten Stones</v>
      </c>
    </row>
    <row r="5087">
      <c r="A5087" s="3">
        <v>2453.0</v>
      </c>
      <c r="B5087" s="3">
        <v>1.0</v>
      </c>
      <c r="C5087" s="3">
        <v>1.0</v>
      </c>
      <c r="D5087" t="str">
        <f>VLOOKUP(B5087,ERA_MOTIF_TYPES.csv!$A$1:$C$119,2,1)</f>
        <v>Cups Single</v>
      </c>
      <c r="E5087" t="str">
        <f>VLOOKUP(A5087,Panels!$A$1:$E$2104,5,0)</f>
        <v>Catten Stones</v>
      </c>
    </row>
    <row r="5088">
      <c r="A5088" s="3">
        <v>2454.0</v>
      </c>
      <c r="B5088" s="3">
        <v>1.0</v>
      </c>
      <c r="C5088" s="3">
        <v>3.0</v>
      </c>
      <c r="D5088" t="str">
        <f>VLOOKUP(B5088,ERA_MOTIF_TYPES.csv!$A$1:$C$119,2,1)</f>
        <v>Cups Single</v>
      </c>
      <c r="E5088" t="str">
        <f>VLOOKUP(A5088,Panels!$A$1:$E$2104,5,0)</f>
        <v>Catten Stones</v>
      </c>
    </row>
    <row r="5089">
      <c r="A5089" s="3">
        <v>2456.0</v>
      </c>
      <c r="B5089" s="3">
        <v>48.0</v>
      </c>
      <c r="C5089" s="3">
        <v>1.0</v>
      </c>
      <c r="D5089" t="str">
        <f>VLOOKUP(B5089,ERA_MOTIF_TYPES.csv!$A$1:$C$119,2,1)</f>
        <v>Square Groove and cups</v>
      </c>
      <c r="E5089" t="str">
        <f>VLOOKUP(A5089,Panels!$A$1:$E$2104,5,0)</f>
        <v>Catten Stones</v>
      </c>
    </row>
    <row r="5090">
      <c r="A5090" s="3">
        <v>2457.0</v>
      </c>
      <c r="B5090" s="3">
        <v>1.0</v>
      </c>
      <c r="C5090" s="3">
        <v>1.0</v>
      </c>
      <c r="D5090" t="str">
        <f>VLOOKUP(B5090,ERA_MOTIF_TYPES.csv!$A$1:$C$119,2,1)</f>
        <v>Cups Single</v>
      </c>
      <c r="E5090" t="str">
        <f>VLOOKUP(A5090,Panels!$A$1:$E$2104,5,0)</f>
        <v>Catten Stones</v>
      </c>
    </row>
    <row r="5091">
      <c r="A5091" s="3">
        <v>2458.0</v>
      </c>
      <c r="B5091" s="3">
        <v>1.0</v>
      </c>
      <c r="C5091" s="3">
        <v>2.0</v>
      </c>
      <c r="D5091" t="str">
        <f>VLOOKUP(B5091,ERA_MOTIF_TYPES.csv!$A$1:$C$119,2,1)</f>
        <v>Cups Single</v>
      </c>
      <c r="E5091" t="str">
        <f>VLOOKUP(A5091,Panels!$A$1:$E$2104,5,0)</f>
        <v>Catten Stones</v>
      </c>
    </row>
    <row r="5092">
      <c r="A5092" s="3">
        <v>2458.0</v>
      </c>
      <c r="B5092" s="3">
        <v>118.0</v>
      </c>
      <c r="C5092" s="1"/>
      <c r="D5092" t="str">
        <f>VLOOKUP(B5092,ERA_MOTIF_TYPES.csv!$A$1:$C$119,2,1)</f>
        <v>Random peck marks</v>
      </c>
      <c r="E5092" t="str">
        <f>VLOOKUP(A5092,Panels!$A$1:$E$2104,5,0)</f>
        <v>Catten Stones</v>
      </c>
    </row>
    <row r="5093">
      <c r="A5093" s="3">
        <v>2459.0</v>
      </c>
      <c r="B5093" s="3">
        <v>1.0</v>
      </c>
      <c r="C5093" s="3">
        <v>1.0</v>
      </c>
      <c r="D5093" t="str">
        <f>VLOOKUP(B5093,ERA_MOTIF_TYPES.csv!$A$1:$C$119,2,1)</f>
        <v>Cups Single</v>
      </c>
      <c r="E5093" t="str">
        <f>VLOOKUP(A5093,Panels!$A$1:$E$2104,5,0)</f>
        <v>Catten Stones</v>
      </c>
    </row>
    <row r="5094">
      <c r="A5094" s="3">
        <v>2460.0</v>
      </c>
      <c r="B5094" s="3">
        <v>1.0</v>
      </c>
      <c r="C5094" s="3">
        <v>5.0</v>
      </c>
      <c r="D5094" t="str">
        <f>VLOOKUP(B5094,ERA_MOTIF_TYPES.csv!$A$1:$C$119,2,1)</f>
        <v>Cups Single</v>
      </c>
      <c r="E5094" t="str">
        <f>VLOOKUP(A5094,Panels!$A$1:$E$2104,5,0)</f>
        <v>Catten Stones</v>
      </c>
    </row>
    <row r="5095">
      <c r="A5095" s="3">
        <v>2463.0</v>
      </c>
      <c r="B5095" s="3">
        <v>1.0</v>
      </c>
      <c r="C5095" s="3">
        <v>18.0</v>
      </c>
      <c r="D5095" t="str">
        <f>VLOOKUP(B5095,ERA_MOTIF_TYPES.csv!$A$1:$C$119,2,1)</f>
        <v>Cups Single</v>
      </c>
      <c r="E5095" t="str">
        <f>VLOOKUP(A5095,Panels!$A$1:$E$2104,5,0)</f>
        <v>Dobrudden (South)</v>
      </c>
    </row>
    <row r="5096">
      <c r="A5096" s="3">
        <v>2463.0</v>
      </c>
      <c r="B5096" s="3">
        <v>13.0</v>
      </c>
      <c r="C5096" s="3">
        <v>3.0</v>
      </c>
      <c r="D5096" t="str">
        <f>VLOOKUP(B5096,ERA_MOTIF_TYPES.csv!$A$1:$C$119,2,1)</f>
        <v>Single Ring + cup</v>
      </c>
      <c r="E5096" t="str">
        <f>VLOOKUP(A5096,Panels!$A$1:$E$2104,5,0)</f>
        <v>Dobrudden (South)</v>
      </c>
    </row>
    <row r="5097">
      <c r="A5097" s="3">
        <v>2463.0</v>
      </c>
      <c r="B5097" s="3">
        <v>14.0</v>
      </c>
      <c r="C5097" s="3">
        <v>1.0</v>
      </c>
      <c r="D5097" t="str">
        <f>VLOOKUP(B5097,ERA_MOTIF_TYPES.csv!$A$1:$C$119,2,1)</f>
        <v>Multi Ring + cup</v>
      </c>
      <c r="E5097" t="str">
        <f>VLOOKUP(A5097,Panels!$A$1:$E$2104,5,0)</f>
        <v>Dobrudden (South)</v>
      </c>
    </row>
    <row r="5098">
      <c r="A5098" s="3">
        <v>2463.0</v>
      </c>
      <c r="B5098" s="3">
        <v>16.0</v>
      </c>
      <c r="C5098" s="3">
        <v>1.0</v>
      </c>
      <c r="D5098" t="str">
        <f>VLOOKUP(B5098,ERA_MOTIF_TYPES.csv!$A$1:$C$119,2,1)</f>
        <v>Single Arc + cup</v>
      </c>
      <c r="E5098" t="str">
        <f>VLOOKUP(A5098,Panels!$A$1:$E$2104,5,0)</f>
        <v>Dobrudden (South)</v>
      </c>
    </row>
    <row r="5099">
      <c r="A5099" s="3">
        <v>2463.0</v>
      </c>
      <c r="B5099" s="3">
        <v>25.0</v>
      </c>
      <c r="C5099" s="3">
        <v>2.0</v>
      </c>
      <c r="D5099" t="str">
        <f>VLOOKUP(B5099,ERA_MOTIF_TYPES.csv!$A$1:$C$119,2,1)</f>
        <v>Linear</v>
      </c>
      <c r="E5099" t="str">
        <f>VLOOKUP(A5099,Panels!$A$1:$E$2104,5,0)</f>
        <v>Dobrudden (South)</v>
      </c>
    </row>
    <row r="5100">
      <c r="A5100" s="3">
        <v>2463.0</v>
      </c>
      <c r="B5100" s="3">
        <v>27.0</v>
      </c>
      <c r="C5100" s="3">
        <v>1.0</v>
      </c>
      <c r="D5100" t="str">
        <f>VLOOKUP(B5100,ERA_MOTIF_TYPES.csv!$A$1:$C$119,2,1)</f>
        <v>Serpentine</v>
      </c>
      <c r="E5100" t="str">
        <f>VLOOKUP(A5100,Panels!$A$1:$E$2104,5,0)</f>
        <v>Dobrudden (South)</v>
      </c>
    </row>
    <row r="5101">
      <c r="A5101" s="3">
        <v>2465.0</v>
      </c>
      <c r="B5101" s="3">
        <v>1.0</v>
      </c>
      <c r="C5101" s="3">
        <v>7.0</v>
      </c>
      <c r="D5101" t="str">
        <f>VLOOKUP(B5101,ERA_MOTIF_TYPES.csv!$A$1:$C$119,2,1)</f>
        <v>Cups Single</v>
      </c>
      <c r="E5101" t="str">
        <f>VLOOKUP(A5101,Panels!$A$1:$E$2104,5,0)</f>
        <v>Soldier's Trench</v>
      </c>
    </row>
    <row r="5102">
      <c r="A5102" s="3">
        <v>2465.0</v>
      </c>
      <c r="B5102" s="3">
        <v>118.0</v>
      </c>
      <c r="C5102" s="3">
        <v>1.0</v>
      </c>
      <c r="D5102" t="str">
        <f>VLOOKUP(B5102,ERA_MOTIF_TYPES.csv!$A$1:$C$119,2,1)</f>
        <v>Random peck marks</v>
      </c>
      <c r="E5102" t="str">
        <f>VLOOKUP(A5102,Panels!$A$1:$E$2104,5,0)</f>
        <v>Soldier's Trench</v>
      </c>
    </row>
    <row r="5103">
      <c r="A5103" s="3">
        <v>2466.0</v>
      </c>
      <c r="B5103" s="3">
        <v>1.0</v>
      </c>
      <c r="C5103" s="3">
        <v>1.0</v>
      </c>
      <c r="D5103" t="str">
        <f>VLOOKUP(B5103,ERA_MOTIF_TYPES.csv!$A$1:$C$119,2,1)</f>
        <v>Cups Single</v>
      </c>
      <c r="E5103" t="str">
        <f>VLOOKUP(A5103,Panels!$A$1:$E$2104,5,0)</f>
        <v>Soldier's Trench</v>
      </c>
    </row>
    <row r="5104">
      <c r="A5104" s="3">
        <v>2468.0</v>
      </c>
      <c r="B5104" s="3">
        <v>1.0</v>
      </c>
      <c r="C5104" s="3">
        <v>4.0</v>
      </c>
      <c r="D5104" t="str">
        <f>VLOOKUP(B5104,ERA_MOTIF_TYPES.csv!$A$1:$C$119,2,1)</f>
        <v>Cups Single</v>
      </c>
      <c r="E5104" t="str">
        <f>VLOOKUP(A5104,Panels!$A$1:$E$2104,5,0)</f>
        <v>Green Crag</v>
      </c>
    </row>
    <row r="5105">
      <c r="A5105" s="3">
        <v>2469.0</v>
      </c>
      <c r="B5105" s="3">
        <v>1.0</v>
      </c>
      <c r="C5105" s="3">
        <v>11.0</v>
      </c>
      <c r="D5105" t="str">
        <f>VLOOKUP(B5105,ERA_MOTIF_TYPES.csv!$A$1:$C$119,2,1)</f>
        <v>Cups Single</v>
      </c>
      <c r="E5105" t="str">
        <f>VLOOKUP(A5105,Panels!$A$1:$E$2104,5,0)</f>
        <v>Green Grag</v>
      </c>
    </row>
    <row r="5106">
      <c r="A5106" s="3">
        <v>2469.0</v>
      </c>
      <c r="B5106" s="3">
        <v>13.0</v>
      </c>
      <c r="C5106" s="3">
        <v>1.0</v>
      </c>
      <c r="D5106" t="str">
        <f>VLOOKUP(B5106,ERA_MOTIF_TYPES.csv!$A$1:$C$119,2,1)</f>
        <v>Single Ring + cup</v>
      </c>
      <c r="E5106" t="str">
        <f>VLOOKUP(A5106,Panels!$A$1:$E$2104,5,0)</f>
        <v>Green Grag</v>
      </c>
    </row>
    <row r="5107">
      <c r="A5107" s="3">
        <v>2469.0</v>
      </c>
      <c r="B5107" s="3">
        <v>25.0</v>
      </c>
      <c r="C5107" s="1"/>
      <c r="D5107" t="str">
        <f>VLOOKUP(B5107,ERA_MOTIF_TYPES.csv!$A$1:$C$119,2,1)</f>
        <v>Linear</v>
      </c>
      <c r="E5107" t="str">
        <f>VLOOKUP(A5107,Panels!$A$1:$E$2104,5,0)</f>
        <v>Green Grag</v>
      </c>
    </row>
    <row r="5108">
      <c r="A5108" s="3">
        <v>2470.0</v>
      </c>
      <c r="B5108" s="3">
        <v>17.0</v>
      </c>
      <c r="C5108" s="3">
        <v>1.0</v>
      </c>
      <c r="D5108" t="str">
        <f>VLOOKUP(B5108,ERA_MOTIF_TYPES.csv!$A$1:$C$119,2,1)</f>
        <v>Single Penannular + cup</v>
      </c>
      <c r="E5108" t="str">
        <f>VLOOKUP(A5108,Panels!$A$1:$E$2104,5,0)</f>
        <v>Bracken Hall Farm</v>
      </c>
    </row>
    <row r="5109">
      <c r="A5109" s="3">
        <v>2471.0</v>
      </c>
      <c r="B5109" s="3">
        <v>1.0</v>
      </c>
      <c r="C5109" s="3">
        <v>2.0</v>
      </c>
      <c r="D5109" t="str">
        <f>VLOOKUP(B5109,ERA_MOTIF_TYPES.csv!$A$1:$C$119,2,1)</f>
        <v>Cups Single</v>
      </c>
      <c r="E5109" t="str">
        <f>VLOOKUP(A5109,Panels!$A$1:$E$2104,5,0)</f>
        <v>Westwood Drive</v>
      </c>
    </row>
    <row r="5110">
      <c r="A5110" s="3">
        <v>2471.0</v>
      </c>
      <c r="B5110" s="3">
        <v>118.0</v>
      </c>
      <c r="C5110" s="3">
        <v>0.0</v>
      </c>
      <c r="D5110" t="str">
        <f>VLOOKUP(B5110,ERA_MOTIF_TYPES.csv!$A$1:$C$119,2,1)</f>
        <v>Random peck marks</v>
      </c>
      <c r="E5110" t="str">
        <f>VLOOKUP(A5110,Panels!$A$1:$E$2104,5,0)</f>
        <v>Westwood Drive</v>
      </c>
    </row>
    <row r="5111">
      <c r="A5111" s="3">
        <v>2472.0</v>
      </c>
      <c r="B5111" s="3">
        <v>1.0</v>
      </c>
      <c r="C5111" s="3">
        <v>1.0</v>
      </c>
      <c r="D5111" t="str">
        <f>VLOOKUP(B5111,ERA_MOTIF_TYPES.csv!$A$1:$C$119,2,1)</f>
        <v>Cups Single</v>
      </c>
      <c r="E5111" t="str">
        <f>VLOOKUP(A5111,Panels!$A$1:$E$2104,5,0)</f>
        <v>Green Crag</v>
      </c>
    </row>
    <row r="5112">
      <c r="A5112" s="3">
        <v>2472.0</v>
      </c>
      <c r="B5112" s="3">
        <v>32.0</v>
      </c>
      <c r="C5112" s="1"/>
      <c r="D5112" t="str">
        <f>VLOOKUP(B5112,ERA_MOTIF_TYPES.csv!$A$1:$C$119,2,1)</f>
        <v>Cup Groove and single ring</v>
      </c>
      <c r="E5112" t="str">
        <f>VLOOKUP(A5112,Panels!$A$1:$E$2104,5,0)</f>
        <v>Green Crag</v>
      </c>
    </row>
    <row r="5113">
      <c r="A5113" s="3">
        <v>2473.0</v>
      </c>
      <c r="B5113" s="3">
        <v>1.0</v>
      </c>
      <c r="C5113" s="3">
        <v>6.0</v>
      </c>
      <c r="D5113" t="str">
        <f>VLOOKUP(B5113,ERA_MOTIF_TYPES.csv!$A$1:$C$119,2,1)</f>
        <v>Cups Single</v>
      </c>
      <c r="E5113" t="str">
        <f>VLOOKUP(A5113,Panels!$A$1:$E$2104,5,0)</f>
        <v>How Beck</v>
      </c>
    </row>
    <row r="5114">
      <c r="A5114" s="3">
        <v>2473.0</v>
      </c>
      <c r="B5114" s="3">
        <v>25.0</v>
      </c>
      <c r="C5114" s="3">
        <v>1.0</v>
      </c>
      <c r="D5114" t="str">
        <f>VLOOKUP(B5114,ERA_MOTIF_TYPES.csv!$A$1:$C$119,2,1)</f>
        <v>Linear</v>
      </c>
      <c r="E5114" t="str">
        <f>VLOOKUP(A5114,Panels!$A$1:$E$2104,5,0)</f>
        <v>How Beck</v>
      </c>
    </row>
    <row r="5115">
      <c r="A5115" s="3">
        <v>2473.0</v>
      </c>
      <c r="B5115" s="3">
        <v>26.0</v>
      </c>
      <c r="C5115" s="3">
        <v>1.0</v>
      </c>
      <c r="D5115" t="str">
        <f>VLOOKUP(B5115,ERA_MOTIF_TYPES.csv!$A$1:$C$119,2,1)</f>
        <v>Parallel</v>
      </c>
      <c r="E5115" t="str">
        <f>VLOOKUP(A5115,Panels!$A$1:$E$2104,5,0)</f>
        <v>How Beck</v>
      </c>
    </row>
    <row r="5116">
      <c r="A5116" s="3">
        <v>2474.0</v>
      </c>
      <c r="B5116" s="3">
        <v>1.0</v>
      </c>
      <c r="C5116" s="3">
        <v>8.0</v>
      </c>
      <c r="D5116" t="str">
        <f>VLOOKUP(B5116,ERA_MOTIF_TYPES.csv!$A$1:$C$119,2,1)</f>
        <v>Cups Single</v>
      </c>
      <c r="E5116" t="str">
        <f>VLOOKUP(A5116,Panels!$A$1:$E$2104,5,0)</f>
        <v>Doubler Stones (S)</v>
      </c>
    </row>
    <row r="5117">
      <c r="A5117" s="3">
        <v>2474.0</v>
      </c>
      <c r="B5117" s="3">
        <v>2.0</v>
      </c>
      <c r="C5117" s="3">
        <v>2.0</v>
      </c>
      <c r="D5117" t="str">
        <f>VLOOKUP(B5117,ERA_MOTIF_TYPES.csv!$A$1:$C$119,2,1)</f>
        <v>Random Cluster</v>
      </c>
      <c r="E5117" t="str">
        <f>VLOOKUP(A5117,Panels!$A$1:$E$2104,5,0)</f>
        <v>Doubler Stones (S)</v>
      </c>
    </row>
    <row r="5118">
      <c r="A5118" s="3">
        <v>2474.0</v>
      </c>
      <c r="B5118" s="3">
        <v>25.0</v>
      </c>
      <c r="C5118" s="3">
        <v>3.0</v>
      </c>
      <c r="D5118" t="str">
        <f>VLOOKUP(B5118,ERA_MOTIF_TYPES.csv!$A$1:$C$119,2,1)</f>
        <v>Linear</v>
      </c>
      <c r="E5118" t="str">
        <f>VLOOKUP(A5118,Panels!$A$1:$E$2104,5,0)</f>
        <v>Doubler Stones (S)</v>
      </c>
    </row>
    <row r="5119">
      <c r="A5119" s="3">
        <v>2474.0</v>
      </c>
      <c r="B5119" s="3">
        <v>31.0</v>
      </c>
      <c r="C5119" s="3">
        <v>2.0</v>
      </c>
      <c r="D5119" t="str">
        <f>VLOOKUP(B5119,ERA_MOTIF_TYPES.csv!$A$1:$C$119,2,1)</f>
        <v>Cup and Groove</v>
      </c>
      <c r="E5119" t="str">
        <f>VLOOKUP(A5119,Panels!$A$1:$E$2104,5,0)</f>
        <v>Doubler Stones (S)</v>
      </c>
    </row>
    <row r="5120">
      <c r="A5120" s="3">
        <v>2475.0</v>
      </c>
      <c r="B5120" s="3">
        <v>1.0</v>
      </c>
      <c r="C5120" s="3">
        <v>6.0</v>
      </c>
      <c r="D5120" t="str">
        <f>VLOOKUP(B5120,ERA_MOTIF_TYPES.csv!$A$1:$C$119,2,1)</f>
        <v>Cups Single</v>
      </c>
      <c r="E5120" t="str">
        <f>VLOOKUP(A5120,Panels!$A$1:$E$2104,5,0)</f>
        <v>Doubler Stones Allotment</v>
      </c>
    </row>
    <row r="5121">
      <c r="A5121" s="3">
        <v>2475.0</v>
      </c>
      <c r="B5121" s="3">
        <v>118.0</v>
      </c>
      <c r="C5121" s="1"/>
      <c r="D5121" t="str">
        <f>VLOOKUP(B5121,ERA_MOTIF_TYPES.csv!$A$1:$C$119,2,1)</f>
        <v>Random peck marks</v>
      </c>
      <c r="E5121" t="str">
        <f>VLOOKUP(A5121,Panels!$A$1:$E$2104,5,0)</f>
        <v>Doubler Stones Allotment</v>
      </c>
    </row>
    <row r="5122">
      <c r="A5122" s="3">
        <v>2477.0</v>
      </c>
      <c r="B5122" s="3">
        <v>1.0</v>
      </c>
      <c r="C5122" s="3">
        <v>7.0</v>
      </c>
      <c r="D5122" t="str">
        <f>VLOOKUP(B5122,ERA_MOTIF_TYPES.csv!$A$1:$C$119,2,1)</f>
        <v>Cups Single</v>
      </c>
      <c r="E5122" t="str">
        <f>VLOOKUP(A5122,Panels!$A$1:$E$2104,5,0)</f>
        <v>Doubler Stones Allotment</v>
      </c>
    </row>
    <row r="5123">
      <c r="A5123" s="3">
        <v>2477.0</v>
      </c>
      <c r="B5123" s="3">
        <v>36.0</v>
      </c>
      <c r="C5123" s="3">
        <v>2.0</v>
      </c>
      <c r="D5123" t="str">
        <f>VLOOKUP(B5123,ERA_MOTIF_TYPES.csv!$A$1:$C$119,2,1)</f>
        <v>Cup Groove and arc</v>
      </c>
      <c r="E5123" t="str">
        <f>VLOOKUP(A5123,Panels!$A$1:$E$2104,5,0)</f>
        <v>Doubler Stones Allotment</v>
      </c>
    </row>
    <row r="5124">
      <c r="A5124" s="3">
        <v>2478.0</v>
      </c>
      <c r="B5124" s="3">
        <v>13.0</v>
      </c>
      <c r="C5124" s="3">
        <v>1.0</v>
      </c>
      <c r="D5124" t="str">
        <f>VLOOKUP(B5124,ERA_MOTIF_TYPES.csv!$A$1:$C$119,2,1)</f>
        <v>Single Ring + cup</v>
      </c>
      <c r="E5124" t="str">
        <f>VLOOKUP(A5124,Panels!$A$1:$E$2104,5,0)</f>
        <v>Low Fold Farm</v>
      </c>
    </row>
    <row r="5125">
      <c r="A5125" s="3">
        <v>2479.0</v>
      </c>
      <c r="B5125" s="3">
        <v>1.0</v>
      </c>
      <c r="C5125" s="3">
        <v>3.0</v>
      </c>
      <c r="D5125" t="str">
        <f>VLOOKUP(B5125,ERA_MOTIF_TYPES.csv!$A$1:$C$119,2,1)</f>
        <v>Cups Single</v>
      </c>
      <c r="E5125" t="str">
        <f>VLOOKUP(A5125,Panels!$A$1:$E$2104,5,0)</f>
        <v>Green Gates</v>
      </c>
    </row>
    <row r="5126">
      <c r="A5126" s="3">
        <v>2484.0</v>
      </c>
      <c r="B5126" s="3">
        <v>1.0</v>
      </c>
      <c r="C5126" s="3">
        <v>1.0</v>
      </c>
      <c r="D5126" t="str">
        <f>VLOOKUP(B5126,ERA_MOTIF_TYPES.csv!$A$1:$C$119,2,1)</f>
        <v>Cups Single</v>
      </c>
      <c r="E5126" t="str">
        <f>VLOOKUP(A5126,Panels!$A$1:$E$2104,5,0)</f>
        <v>Dobrudden (south)</v>
      </c>
    </row>
    <row r="5127">
      <c r="A5127" s="3">
        <v>2484.0</v>
      </c>
      <c r="B5127" s="3">
        <v>16.0</v>
      </c>
      <c r="C5127" s="3">
        <v>1.0</v>
      </c>
      <c r="D5127" t="str">
        <f>VLOOKUP(B5127,ERA_MOTIF_TYPES.csv!$A$1:$C$119,2,1)</f>
        <v>Single Arc + cup</v>
      </c>
      <c r="E5127" t="str">
        <f>VLOOKUP(A5127,Panels!$A$1:$E$2104,5,0)</f>
        <v>Dobrudden (south)</v>
      </c>
    </row>
    <row r="5128">
      <c r="A5128" s="3">
        <v>2485.0</v>
      </c>
      <c r="B5128" s="3">
        <v>1.0</v>
      </c>
      <c r="C5128" s="3">
        <v>1.0</v>
      </c>
      <c r="D5128" t="str">
        <f>VLOOKUP(B5128,ERA_MOTIF_TYPES.csv!$A$1:$C$119,2,1)</f>
        <v>Cups Single</v>
      </c>
      <c r="E5128" t="str">
        <f>VLOOKUP(A5128,Panels!$A$1:$E$2104,5,0)</f>
        <v>Dobrudden (South)</v>
      </c>
    </row>
    <row r="5129">
      <c r="A5129" s="3">
        <v>2486.0</v>
      </c>
      <c r="B5129" s="3">
        <v>1.0</v>
      </c>
      <c r="C5129" s="3">
        <v>20.0</v>
      </c>
      <c r="D5129" t="str">
        <f>VLOOKUP(B5129,ERA_MOTIF_TYPES.csv!$A$1:$C$119,2,1)</f>
        <v>Cups Single</v>
      </c>
      <c r="E5129" t="str">
        <f>VLOOKUP(A5129,Panels!$A$1:$E$2104,5,0)</f>
        <v>Dobrudden (South)</v>
      </c>
    </row>
    <row r="5130">
      <c r="A5130" s="3">
        <v>2486.0</v>
      </c>
      <c r="B5130" s="3">
        <v>25.0</v>
      </c>
      <c r="C5130" s="3">
        <v>1.0</v>
      </c>
      <c r="D5130" t="str">
        <f>VLOOKUP(B5130,ERA_MOTIF_TYPES.csv!$A$1:$C$119,2,1)</f>
        <v>Linear</v>
      </c>
      <c r="E5130" t="str">
        <f>VLOOKUP(A5130,Panels!$A$1:$E$2104,5,0)</f>
        <v>Dobrudden (South)</v>
      </c>
    </row>
    <row r="5131">
      <c r="A5131" s="3">
        <v>2486.0</v>
      </c>
      <c r="B5131" s="3">
        <v>31.0</v>
      </c>
      <c r="C5131" s="3">
        <v>1.0</v>
      </c>
      <c r="D5131" t="str">
        <f>VLOOKUP(B5131,ERA_MOTIF_TYPES.csv!$A$1:$C$119,2,1)</f>
        <v>Cup and Groove</v>
      </c>
      <c r="E5131" t="str">
        <f>VLOOKUP(A5131,Panels!$A$1:$E$2104,5,0)</f>
        <v>Dobrudden (South)</v>
      </c>
    </row>
    <row r="5132">
      <c r="A5132" s="3">
        <v>2486.0</v>
      </c>
      <c r="B5132" s="3">
        <v>117.0</v>
      </c>
      <c r="C5132" s="3">
        <v>2.0</v>
      </c>
      <c r="D5132" t="str">
        <f>VLOOKUP(B5132,ERA_MOTIF_TYPES.csv!$A$1:$C$119,2,1)</f>
        <v>Dumb-bell</v>
      </c>
      <c r="E5132" t="str">
        <f>VLOOKUP(A5132,Panels!$A$1:$E$2104,5,0)</f>
        <v>Dobrudden (South)</v>
      </c>
    </row>
    <row r="5133">
      <c r="A5133" s="3">
        <v>2487.0</v>
      </c>
      <c r="B5133" s="3">
        <v>1.0</v>
      </c>
      <c r="C5133" s="3">
        <v>1.0</v>
      </c>
      <c r="D5133" t="str">
        <f>VLOOKUP(B5133,ERA_MOTIF_TYPES.csv!$A$1:$C$119,2,1)</f>
        <v>Cups Single</v>
      </c>
      <c r="E5133" t="str">
        <f>VLOOKUP(A5133,Panels!$A$1:$E$2104,5,0)</f>
        <v>Dobrudden (South)</v>
      </c>
    </row>
    <row r="5134">
      <c r="A5134" s="3">
        <v>2487.0</v>
      </c>
      <c r="B5134" s="3">
        <v>25.0</v>
      </c>
      <c r="C5134" s="3">
        <v>1.0</v>
      </c>
      <c r="D5134" t="str">
        <f>VLOOKUP(B5134,ERA_MOTIF_TYPES.csv!$A$1:$C$119,2,1)</f>
        <v>Linear</v>
      </c>
      <c r="E5134" t="str">
        <f>VLOOKUP(A5134,Panels!$A$1:$E$2104,5,0)</f>
        <v>Dobrudden (South)</v>
      </c>
    </row>
    <row r="5135">
      <c r="A5135" s="3">
        <v>2488.0</v>
      </c>
      <c r="B5135" s="3">
        <v>1.0</v>
      </c>
      <c r="C5135" s="3">
        <v>35.0</v>
      </c>
      <c r="D5135" t="str">
        <f>VLOOKUP(B5135,ERA_MOTIF_TYPES.csv!$A$1:$C$119,2,1)</f>
        <v>Cups Single</v>
      </c>
      <c r="E5135" t="str">
        <f>VLOOKUP(A5135,Panels!$A$1:$E$2104,5,0)</f>
        <v>Dobrudden (South)</v>
      </c>
    </row>
    <row r="5136">
      <c r="A5136" s="3">
        <v>2488.0</v>
      </c>
      <c r="B5136" s="3">
        <v>13.0</v>
      </c>
      <c r="C5136" s="3">
        <v>1.0</v>
      </c>
      <c r="D5136" t="str">
        <f>VLOOKUP(B5136,ERA_MOTIF_TYPES.csv!$A$1:$C$119,2,1)</f>
        <v>Single Ring + cup</v>
      </c>
      <c r="E5136" t="str">
        <f>VLOOKUP(A5136,Panels!$A$1:$E$2104,5,0)</f>
        <v>Dobrudden (South)</v>
      </c>
    </row>
    <row r="5137">
      <c r="A5137" s="3">
        <v>2488.0</v>
      </c>
      <c r="B5137" s="3">
        <v>16.0</v>
      </c>
      <c r="C5137" s="3">
        <v>1.0</v>
      </c>
      <c r="D5137" t="str">
        <f>VLOOKUP(B5137,ERA_MOTIF_TYPES.csv!$A$1:$C$119,2,1)</f>
        <v>Single Arc + cup</v>
      </c>
      <c r="E5137" t="str">
        <f>VLOOKUP(A5137,Panels!$A$1:$E$2104,5,0)</f>
        <v>Dobrudden (South)</v>
      </c>
    </row>
    <row r="5138">
      <c r="A5138" s="3">
        <v>2488.0</v>
      </c>
      <c r="B5138" s="3">
        <v>31.0</v>
      </c>
      <c r="C5138" s="3">
        <v>4.0</v>
      </c>
      <c r="D5138" t="str">
        <f>VLOOKUP(B5138,ERA_MOTIF_TYPES.csv!$A$1:$C$119,2,1)</f>
        <v>Cup and Groove</v>
      </c>
      <c r="E5138" t="str">
        <f>VLOOKUP(A5138,Panels!$A$1:$E$2104,5,0)</f>
        <v>Dobrudden (South)</v>
      </c>
    </row>
    <row r="5139">
      <c r="A5139" s="3">
        <v>2488.0</v>
      </c>
      <c r="B5139" s="3">
        <v>46.0</v>
      </c>
      <c r="C5139" s="3">
        <v>2.0</v>
      </c>
      <c r="D5139" t="str">
        <f>VLOOKUP(B5139,ERA_MOTIF_TYPES.csv!$A$1:$C$119,2,1)</f>
        <v>Groove and cups</v>
      </c>
      <c r="E5139" t="str">
        <f>VLOOKUP(A5139,Panels!$A$1:$E$2104,5,0)</f>
        <v>Dobrudden (South)</v>
      </c>
    </row>
    <row r="5140">
      <c r="A5140" s="3">
        <v>2488.0</v>
      </c>
      <c r="B5140" s="3">
        <v>117.0</v>
      </c>
      <c r="C5140" s="3">
        <v>1.0</v>
      </c>
      <c r="D5140" t="str">
        <f>VLOOKUP(B5140,ERA_MOTIF_TYPES.csv!$A$1:$C$119,2,1)</f>
        <v>Dumb-bell</v>
      </c>
      <c r="E5140" t="str">
        <f>VLOOKUP(A5140,Panels!$A$1:$E$2104,5,0)</f>
        <v>Dobrudden (South)</v>
      </c>
    </row>
    <row r="5141">
      <c r="A5141" s="3">
        <v>2489.0</v>
      </c>
      <c r="B5141" s="3">
        <v>1.0</v>
      </c>
      <c r="C5141" s="3">
        <v>1.0</v>
      </c>
      <c r="D5141" t="str">
        <f>VLOOKUP(B5141,ERA_MOTIF_TYPES.csv!$A$1:$C$119,2,1)</f>
        <v>Cups Single</v>
      </c>
      <c r="E5141" t="str">
        <f>VLOOKUP(A5141,Panels!$A$1:$E$2104,5,0)</f>
        <v>Dobrudden (South)</v>
      </c>
    </row>
    <row r="5142">
      <c r="A5142" s="3">
        <v>2490.0</v>
      </c>
      <c r="B5142" s="3">
        <v>1.0</v>
      </c>
      <c r="C5142" s="3">
        <v>1.0</v>
      </c>
      <c r="D5142" t="str">
        <f>VLOOKUP(B5142,ERA_MOTIF_TYPES.csv!$A$1:$C$119,2,1)</f>
        <v>Cups Single</v>
      </c>
      <c r="E5142" t="str">
        <f>VLOOKUP(A5142,Panels!$A$1:$E$2104,5,0)</f>
        <v>Dobrudden (South)</v>
      </c>
    </row>
    <row r="5143">
      <c r="A5143" s="3">
        <v>2491.0</v>
      </c>
      <c r="B5143" s="3">
        <v>1.0</v>
      </c>
      <c r="C5143" s="3">
        <v>1.0</v>
      </c>
      <c r="D5143" t="str">
        <f>VLOOKUP(B5143,ERA_MOTIF_TYPES.csv!$A$1:$C$119,2,1)</f>
        <v>Cups Single</v>
      </c>
      <c r="E5143" t="str">
        <f>VLOOKUP(A5143,Panels!$A$1:$E$2104,5,0)</f>
        <v>Dobrudden (South)</v>
      </c>
    </row>
    <row r="5144">
      <c r="A5144" s="3">
        <v>2492.0</v>
      </c>
      <c r="B5144" s="3">
        <v>1.0</v>
      </c>
      <c r="C5144" s="3">
        <v>7.0</v>
      </c>
      <c r="D5144" t="str">
        <f>VLOOKUP(B5144,ERA_MOTIF_TYPES.csv!$A$1:$C$119,2,1)</f>
        <v>Cups Single</v>
      </c>
      <c r="E5144" t="str">
        <f>VLOOKUP(A5144,Panels!$A$1:$E$2104,5,0)</f>
        <v>Dobrudden (South)</v>
      </c>
    </row>
    <row r="5145">
      <c r="A5145" s="3">
        <v>2492.0</v>
      </c>
      <c r="B5145" s="3">
        <v>13.0</v>
      </c>
      <c r="C5145" s="3">
        <v>3.0</v>
      </c>
      <c r="D5145" t="str">
        <f>VLOOKUP(B5145,ERA_MOTIF_TYPES.csv!$A$1:$C$119,2,1)</f>
        <v>Single Ring + cup</v>
      </c>
      <c r="E5145" t="str">
        <f>VLOOKUP(A5145,Panels!$A$1:$E$2104,5,0)</f>
        <v>Dobrudden (South)</v>
      </c>
    </row>
    <row r="5146">
      <c r="A5146" s="3">
        <v>2492.0</v>
      </c>
      <c r="B5146" s="3">
        <v>25.0</v>
      </c>
      <c r="C5146" s="3">
        <v>2.0</v>
      </c>
      <c r="D5146" t="str">
        <f>VLOOKUP(B5146,ERA_MOTIF_TYPES.csv!$A$1:$C$119,2,1)</f>
        <v>Linear</v>
      </c>
      <c r="E5146" t="str">
        <f>VLOOKUP(A5146,Panels!$A$1:$E$2104,5,0)</f>
        <v>Dobrudden (South)</v>
      </c>
    </row>
    <row r="5147">
      <c r="A5147" s="3">
        <v>2492.0</v>
      </c>
      <c r="B5147" s="3">
        <v>31.0</v>
      </c>
      <c r="C5147" s="3">
        <v>4.0</v>
      </c>
      <c r="D5147" t="str">
        <f>VLOOKUP(B5147,ERA_MOTIF_TYPES.csv!$A$1:$C$119,2,1)</f>
        <v>Cup and Groove</v>
      </c>
      <c r="E5147" t="str">
        <f>VLOOKUP(A5147,Panels!$A$1:$E$2104,5,0)</f>
        <v>Dobrudden (South)</v>
      </c>
    </row>
    <row r="5148">
      <c r="A5148" s="3">
        <v>2492.0</v>
      </c>
      <c r="B5148" s="3">
        <v>46.0</v>
      </c>
      <c r="C5148" s="3">
        <v>2.0</v>
      </c>
      <c r="D5148" t="str">
        <f>VLOOKUP(B5148,ERA_MOTIF_TYPES.csv!$A$1:$C$119,2,1)</f>
        <v>Groove and cups</v>
      </c>
      <c r="E5148" t="str">
        <f>VLOOKUP(A5148,Panels!$A$1:$E$2104,5,0)</f>
        <v>Dobrudden (South)</v>
      </c>
    </row>
    <row r="5149">
      <c r="A5149" s="3">
        <v>2492.0</v>
      </c>
      <c r="B5149" s="3">
        <v>117.0</v>
      </c>
      <c r="C5149" s="3">
        <v>1.0</v>
      </c>
      <c r="D5149" t="str">
        <f>VLOOKUP(B5149,ERA_MOTIF_TYPES.csv!$A$1:$C$119,2,1)</f>
        <v>Dumb-bell</v>
      </c>
      <c r="E5149" t="str">
        <f>VLOOKUP(A5149,Panels!$A$1:$E$2104,5,0)</f>
        <v>Dobrudden (South)</v>
      </c>
    </row>
    <row r="5150">
      <c r="A5150" s="3">
        <v>2493.0</v>
      </c>
      <c r="B5150" s="3">
        <v>1.0</v>
      </c>
      <c r="C5150" s="3">
        <v>4.0</v>
      </c>
      <c r="D5150" t="str">
        <f>VLOOKUP(B5150,ERA_MOTIF_TYPES.csv!$A$1:$C$119,2,1)</f>
        <v>Cups Single</v>
      </c>
      <c r="E5150" t="str">
        <f>VLOOKUP(A5150,Panels!$A$1:$E$2104,5,0)</f>
        <v>Dobrudden (South)</v>
      </c>
    </row>
    <row r="5151">
      <c r="A5151" s="3">
        <v>2494.0</v>
      </c>
      <c r="B5151" s="3">
        <v>1.0</v>
      </c>
      <c r="C5151" s="3">
        <v>9.0</v>
      </c>
      <c r="D5151" t="str">
        <f>VLOOKUP(B5151,ERA_MOTIF_TYPES.csv!$A$1:$C$119,2,1)</f>
        <v>Cups Single</v>
      </c>
      <c r="E5151" t="str">
        <f>VLOOKUP(A5151,Panels!$A$1:$E$2104,5,0)</f>
        <v>Dobrudden (South)</v>
      </c>
    </row>
    <row r="5152">
      <c r="A5152" s="3">
        <v>2495.0</v>
      </c>
      <c r="B5152" s="3">
        <v>1.0</v>
      </c>
      <c r="C5152" s="3">
        <v>14.0</v>
      </c>
      <c r="D5152" t="str">
        <f>VLOOKUP(B5152,ERA_MOTIF_TYPES.csv!$A$1:$C$119,2,1)</f>
        <v>Cups Single</v>
      </c>
      <c r="E5152" t="str">
        <f>VLOOKUP(A5152,Panels!$A$1:$E$2104,5,0)</f>
        <v>Low Plain</v>
      </c>
    </row>
    <row r="5153">
      <c r="A5153" s="3">
        <v>2495.0</v>
      </c>
      <c r="B5153" s="3">
        <v>13.0</v>
      </c>
      <c r="C5153" s="3">
        <v>8.0</v>
      </c>
      <c r="D5153" t="str">
        <f>VLOOKUP(B5153,ERA_MOTIF_TYPES.csv!$A$1:$C$119,2,1)</f>
        <v>Single Ring + cup</v>
      </c>
      <c r="E5153" t="str">
        <f>VLOOKUP(A5153,Panels!$A$1:$E$2104,5,0)</f>
        <v>Low Plain</v>
      </c>
    </row>
    <row r="5154">
      <c r="A5154" s="3">
        <v>2495.0</v>
      </c>
      <c r="B5154" s="3">
        <v>16.0</v>
      </c>
      <c r="C5154" s="3">
        <v>2.0</v>
      </c>
      <c r="D5154" t="str">
        <f>VLOOKUP(B5154,ERA_MOTIF_TYPES.csv!$A$1:$C$119,2,1)</f>
        <v>Single Arc + cup</v>
      </c>
      <c r="E5154" t="str">
        <f>VLOOKUP(A5154,Panels!$A$1:$E$2104,5,0)</f>
        <v>Low Plain</v>
      </c>
    </row>
    <row r="5155">
      <c r="A5155" s="3">
        <v>2495.0</v>
      </c>
      <c r="B5155" s="3">
        <v>25.0</v>
      </c>
      <c r="C5155" s="3">
        <v>1.0</v>
      </c>
      <c r="D5155" t="str">
        <f>VLOOKUP(B5155,ERA_MOTIF_TYPES.csv!$A$1:$C$119,2,1)</f>
        <v>Linear</v>
      </c>
      <c r="E5155" t="str">
        <f>VLOOKUP(A5155,Panels!$A$1:$E$2104,5,0)</f>
        <v>Low Plain</v>
      </c>
    </row>
    <row r="5156">
      <c r="A5156" s="3">
        <v>2495.0</v>
      </c>
      <c r="B5156" s="3">
        <v>27.0</v>
      </c>
      <c r="C5156" s="3">
        <v>1.0</v>
      </c>
      <c r="D5156" t="str">
        <f>VLOOKUP(B5156,ERA_MOTIF_TYPES.csv!$A$1:$C$119,2,1)</f>
        <v>Serpentine</v>
      </c>
      <c r="E5156" t="str">
        <f>VLOOKUP(A5156,Panels!$A$1:$E$2104,5,0)</f>
        <v>Low Plain</v>
      </c>
    </row>
    <row r="5157">
      <c r="A5157" s="3">
        <v>2496.0</v>
      </c>
      <c r="B5157" s="3">
        <v>1.0</v>
      </c>
      <c r="C5157" s="3">
        <v>1.0</v>
      </c>
      <c r="D5157" t="str">
        <f>VLOOKUP(B5157,ERA_MOTIF_TYPES.csv!$A$1:$C$119,2,1)</f>
        <v>Cups Single</v>
      </c>
      <c r="E5157" t="str">
        <f>VLOOKUP(A5157,Panels!$A$1:$E$2104,5,0)</f>
        <v>Low Plain</v>
      </c>
    </row>
    <row r="5158">
      <c r="A5158" s="3">
        <v>2496.0</v>
      </c>
      <c r="B5158" s="3">
        <v>13.0</v>
      </c>
      <c r="C5158" s="3">
        <v>2.0</v>
      </c>
      <c r="D5158" t="str">
        <f>VLOOKUP(B5158,ERA_MOTIF_TYPES.csv!$A$1:$C$119,2,1)</f>
        <v>Single Ring + cup</v>
      </c>
      <c r="E5158" t="str">
        <f>VLOOKUP(A5158,Panels!$A$1:$E$2104,5,0)</f>
        <v>Low Plain</v>
      </c>
    </row>
    <row r="5159">
      <c r="A5159" s="3">
        <v>2496.0</v>
      </c>
      <c r="B5159" s="3">
        <v>25.0</v>
      </c>
      <c r="C5159" s="3">
        <v>2.0</v>
      </c>
      <c r="D5159" t="str">
        <f>VLOOKUP(B5159,ERA_MOTIF_TYPES.csv!$A$1:$C$119,2,1)</f>
        <v>Linear</v>
      </c>
      <c r="E5159" t="str">
        <f>VLOOKUP(A5159,Panels!$A$1:$E$2104,5,0)</f>
        <v>Low Plain</v>
      </c>
    </row>
    <row r="5160">
      <c r="A5160" s="3">
        <v>2497.0</v>
      </c>
      <c r="B5160" s="3">
        <v>1.0</v>
      </c>
      <c r="C5160" s="3">
        <v>1.0</v>
      </c>
      <c r="D5160" t="str">
        <f>VLOOKUP(B5160,ERA_MOTIF_TYPES.csv!$A$1:$C$119,2,1)</f>
        <v>Cups Single</v>
      </c>
      <c r="E5160" t="str">
        <f>VLOOKUP(A5160,Panels!$A$1:$E$2104,5,0)</f>
        <v>Low Plain</v>
      </c>
    </row>
    <row r="5161">
      <c r="A5161" s="3">
        <v>2497.0</v>
      </c>
      <c r="B5161" s="3">
        <v>6.0</v>
      </c>
      <c r="C5161" s="3">
        <v>1.0</v>
      </c>
      <c r="D5161" t="str">
        <f>VLOOKUP(B5161,ERA_MOTIF_TYPES.csv!$A$1:$C$119,2,1)</f>
        <v>curved or straight line</v>
      </c>
      <c r="E5161" t="str">
        <f>VLOOKUP(A5161,Panels!$A$1:$E$2104,5,0)</f>
        <v>Low Plain</v>
      </c>
    </row>
    <row r="5162">
      <c r="A5162" s="3">
        <v>2497.0</v>
      </c>
      <c r="B5162" s="3">
        <v>117.0</v>
      </c>
      <c r="C5162" s="3">
        <v>1.0</v>
      </c>
      <c r="D5162" t="str">
        <f>VLOOKUP(B5162,ERA_MOTIF_TYPES.csv!$A$1:$C$119,2,1)</f>
        <v>Dumb-bell</v>
      </c>
      <c r="E5162" t="str">
        <f>VLOOKUP(A5162,Panels!$A$1:$E$2104,5,0)</f>
        <v>Low Plain</v>
      </c>
    </row>
    <row r="5163">
      <c r="A5163" s="3">
        <v>2497.0</v>
      </c>
      <c r="B5163" s="3">
        <v>118.0</v>
      </c>
      <c r="C5163" s="1"/>
      <c r="D5163" t="str">
        <f>VLOOKUP(B5163,ERA_MOTIF_TYPES.csv!$A$1:$C$119,2,1)</f>
        <v>Random peck marks</v>
      </c>
      <c r="E5163" t="str">
        <f>VLOOKUP(A5163,Panels!$A$1:$E$2104,5,0)</f>
        <v>Low Plain</v>
      </c>
    </row>
    <row r="5164">
      <c r="A5164" s="3">
        <v>2498.0</v>
      </c>
      <c r="B5164" s="3">
        <v>1.0</v>
      </c>
      <c r="C5164" s="3">
        <v>2.0</v>
      </c>
      <c r="D5164" t="str">
        <f>VLOOKUP(B5164,ERA_MOTIF_TYPES.csv!$A$1:$C$119,2,1)</f>
        <v>Cups Single</v>
      </c>
      <c r="E5164" t="str">
        <f>VLOOKUP(A5164,Panels!$A$1:$E$2104,5,0)</f>
        <v>Low Plain</v>
      </c>
    </row>
    <row r="5165">
      <c r="A5165" s="3">
        <v>2498.0</v>
      </c>
      <c r="B5165" s="3">
        <v>13.0</v>
      </c>
      <c r="C5165" s="3">
        <v>1.0</v>
      </c>
      <c r="D5165" t="str">
        <f>VLOOKUP(B5165,ERA_MOTIF_TYPES.csv!$A$1:$C$119,2,1)</f>
        <v>Single Ring + cup</v>
      </c>
      <c r="E5165" t="str">
        <f>VLOOKUP(A5165,Panels!$A$1:$E$2104,5,0)</f>
        <v>Low Plain</v>
      </c>
    </row>
    <row r="5166">
      <c r="A5166" s="3">
        <v>2499.0</v>
      </c>
      <c r="B5166" s="3">
        <v>1.0</v>
      </c>
      <c r="C5166" s="3">
        <v>1.0</v>
      </c>
      <c r="D5166" t="str">
        <f>VLOOKUP(B5166,ERA_MOTIF_TYPES.csv!$A$1:$C$119,2,1)</f>
        <v>Cups Single</v>
      </c>
      <c r="E5166" t="str">
        <f>VLOOKUP(A5166,Panels!$A$1:$E$2104,5,0)</f>
        <v>Low Plain</v>
      </c>
    </row>
    <row r="5167">
      <c r="A5167" s="3">
        <v>2500.0</v>
      </c>
      <c r="B5167" s="3">
        <v>1.0</v>
      </c>
      <c r="C5167" s="3">
        <v>1.0</v>
      </c>
      <c r="D5167" t="str">
        <f>VLOOKUP(B5167,ERA_MOTIF_TYPES.csv!$A$1:$C$119,2,1)</f>
        <v>Cups Single</v>
      </c>
      <c r="E5167" t="str">
        <f>VLOOKUP(A5167,Panels!$A$1:$E$2104,5,0)</f>
        <v>Low Plain</v>
      </c>
    </row>
    <row r="5168">
      <c r="A5168" s="3">
        <v>2503.0</v>
      </c>
      <c r="B5168" s="3">
        <v>1.0</v>
      </c>
      <c r="C5168" s="3">
        <v>11.0</v>
      </c>
      <c r="D5168" t="str">
        <f>VLOOKUP(B5168,ERA_MOTIF_TYPES.csv!$A$1:$C$119,2,1)</f>
        <v>Cups Single</v>
      </c>
      <c r="E5168" t="str">
        <f>VLOOKUP(A5168,Panels!$A$1:$E$2104,5,0)</f>
        <v>Green Crag</v>
      </c>
    </row>
    <row r="5169">
      <c r="A5169" s="3">
        <v>2503.0</v>
      </c>
      <c r="B5169" s="3">
        <v>34.0</v>
      </c>
      <c r="C5169" s="3">
        <v>1.0</v>
      </c>
      <c r="D5169" t="str">
        <f>VLOOKUP(B5169,ERA_MOTIF_TYPES.csv!$A$1:$C$119,2,1)</f>
        <v>Cup Groove and penannular</v>
      </c>
      <c r="E5169" t="str">
        <f>VLOOKUP(A5169,Panels!$A$1:$E$2104,5,0)</f>
        <v>Green Crag</v>
      </c>
    </row>
    <row r="5170">
      <c r="A5170" s="3">
        <v>2504.0</v>
      </c>
      <c r="B5170" s="3">
        <v>1.0</v>
      </c>
      <c r="C5170" s="3">
        <v>1.0</v>
      </c>
      <c r="D5170" t="str">
        <f>VLOOKUP(B5170,ERA_MOTIF_TYPES.csv!$A$1:$C$119,2,1)</f>
        <v>Cups Single</v>
      </c>
      <c r="E5170" t="str">
        <f>VLOOKUP(A5170,Panels!$A$1:$E$2104,5,0)</f>
        <v>Green Crag</v>
      </c>
    </row>
    <row r="5171">
      <c r="A5171" s="3">
        <v>2505.0</v>
      </c>
      <c r="B5171" s="3">
        <v>1.0</v>
      </c>
      <c r="C5171" s="3">
        <v>1.0</v>
      </c>
      <c r="D5171" t="str">
        <f>VLOOKUP(B5171,ERA_MOTIF_TYPES.csv!$A$1:$C$119,2,1)</f>
        <v>Cups Single</v>
      </c>
      <c r="E5171" t="str">
        <f>VLOOKUP(A5171,Panels!$A$1:$E$2104,5,0)</f>
        <v>Woofa Bank</v>
      </c>
    </row>
    <row r="5172">
      <c r="A5172" s="3">
        <v>2506.0</v>
      </c>
      <c r="B5172" s="3">
        <v>27.0</v>
      </c>
      <c r="C5172" s="3">
        <v>1.0</v>
      </c>
      <c r="D5172" t="str">
        <f>VLOOKUP(B5172,ERA_MOTIF_TYPES.csv!$A$1:$C$119,2,1)</f>
        <v>Serpentine</v>
      </c>
      <c r="E5172" t="str">
        <f>VLOOKUP(A5172,Panels!$A$1:$E$2104,5,0)</f>
        <v>Pancake Ridge</v>
      </c>
    </row>
    <row r="5173">
      <c r="A5173" s="3">
        <v>2507.0</v>
      </c>
      <c r="B5173" s="3">
        <v>1.0</v>
      </c>
      <c r="C5173" s="3">
        <v>1.0</v>
      </c>
      <c r="D5173" t="str">
        <f>VLOOKUP(B5173,ERA_MOTIF_TYPES.csv!$A$1:$C$119,2,1)</f>
        <v>Cups Single</v>
      </c>
      <c r="E5173" t="str">
        <f>VLOOKUP(A5173,Panels!$A$1:$E$2104,5,0)</f>
        <v>Pancake Ridge</v>
      </c>
    </row>
    <row r="5174">
      <c r="A5174" s="3">
        <v>2508.0</v>
      </c>
      <c r="B5174" s="3">
        <v>1.0</v>
      </c>
      <c r="C5174" s="3">
        <v>2.0</v>
      </c>
      <c r="D5174" t="str">
        <f>VLOOKUP(B5174,ERA_MOTIF_TYPES.csv!$A$1:$C$119,2,1)</f>
        <v>Cups Single</v>
      </c>
      <c r="E5174" t="str">
        <f>VLOOKUP(A5174,Panels!$A$1:$E$2104,5,0)</f>
        <v>Burley Moor</v>
      </c>
    </row>
    <row r="5175">
      <c r="A5175" s="3">
        <v>2509.0</v>
      </c>
      <c r="B5175" s="3">
        <v>1.0</v>
      </c>
      <c r="C5175" s="3">
        <v>2.0</v>
      </c>
      <c r="D5175" t="str">
        <f>VLOOKUP(B5175,ERA_MOTIF_TYPES.csv!$A$1:$C$119,2,1)</f>
        <v>Cups Single</v>
      </c>
      <c r="E5175" t="str">
        <f>VLOOKUP(A5175,Panels!$A$1:$E$2104,5,0)</f>
        <v>Burley Moor</v>
      </c>
    </row>
    <row r="5176">
      <c r="A5176" s="3">
        <v>2510.0</v>
      </c>
      <c r="B5176" s="3">
        <v>1.0</v>
      </c>
      <c r="C5176" s="3">
        <v>1.0</v>
      </c>
      <c r="D5176" t="str">
        <f>VLOOKUP(B5176,ERA_MOTIF_TYPES.csv!$A$1:$C$119,2,1)</f>
        <v>Cups Single</v>
      </c>
      <c r="E5176" t="str">
        <f>VLOOKUP(A5176,Panels!$A$1:$E$2104,5,0)</f>
        <v>Burley Moor</v>
      </c>
    </row>
    <row r="5177">
      <c r="A5177" s="3">
        <v>2515.0</v>
      </c>
      <c r="B5177" s="3">
        <v>1.0</v>
      </c>
      <c r="C5177" s="3">
        <v>5.0</v>
      </c>
      <c r="D5177" t="str">
        <f>VLOOKUP(B5177,ERA_MOTIF_TYPES.csv!$A$1:$C$119,2,1)</f>
        <v>Cups Single</v>
      </c>
      <c r="E5177" t="str">
        <f>VLOOKUP(A5177,Panels!$A$1:$E$2104,5,0)</f>
        <v>East Buck Stones</v>
      </c>
    </row>
    <row r="5178">
      <c r="A5178" s="3">
        <v>2515.0</v>
      </c>
      <c r="B5178" s="3">
        <v>25.0</v>
      </c>
      <c r="C5178" s="3">
        <v>2.0</v>
      </c>
      <c r="D5178" t="str">
        <f>VLOOKUP(B5178,ERA_MOTIF_TYPES.csv!$A$1:$C$119,2,1)</f>
        <v>Linear</v>
      </c>
      <c r="E5178" t="str">
        <f>VLOOKUP(A5178,Panels!$A$1:$E$2104,5,0)</f>
        <v>East Buck Stones</v>
      </c>
    </row>
    <row r="5179">
      <c r="A5179" s="3">
        <v>2516.0</v>
      </c>
      <c r="B5179" s="3">
        <v>1.0</v>
      </c>
      <c r="C5179" s="3">
        <v>4.0</v>
      </c>
      <c r="D5179" t="str">
        <f>VLOOKUP(B5179,ERA_MOTIF_TYPES.csv!$A$1:$C$119,2,1)</f>
        <v>Cups Single</v>
      </c>
      <c r="E5179" t="str">
        <f>VLOOKUP(A5179,Panels!$A$1:$E$2104,5,0)</f>
        <v>East Buck Stones</v>
      </c>
    </row>
    <row r="5180">
      <c r="A5180" s="3">
        <v>2517.0</v>
      </c>
      <c r="B5180" s="3">
        <v>1.0</v>
      </c>
      <c r="C5180" s="3">
        <v>1.0</v>
      </c>
      <c r="D5180" t="str">
        <f>VLOOKUP(B5180,ERA_MOTIF_TYPES.csv!$A$1:$C$119,2,1)</f>
        <v>Cups Single</v>
      </c>
      <c r="E5180" t="str">
        <f>VLOOKUP(A5180,Panels!$A$1:$E$2104,5,0)</f>
        <v>Whetstone Gate</v>
      </c>
    </row>
    <row r="5181">
      <c r="A5181" s="3">
        <v>2518.0</v>
      </c>
      <c r="B5181" s="3">
        <v>1.0</v>
      </c>
      <c r="C5181" s="3">
        <v>2.0</v>
      </c>
      <c r="D5181" t="str">
        <f>VLOOKUP(B5181,ERA_MOTIF_TYPES.csv!$A$1:$C$119,2,1)</f>
        <v>Cups Single</v>
      </c>
      <c r="E5181" t="str">
        <f>VLOOKUP(A5181,Panels!$A$1:$E$2104,5,0)</f>
        <v>Whetstone Gate</v>
      </c>
    </row>
    <row r="5182">
      <c r="A5182" s="3">
        <v>2519.0</v>
      </c>
      <c r="B5182" s="3">
        <v>1.0</v>
      </c>
      <c r="C5182" s="3">
        <v>15.0</v>
      </c>
      <c r="D5182" t="str">
        <f>VLOOKUP(B5182,ERA_MOTIF_TYPES.csv!$A$1:$C$119,2,1)</f>
        <v>Cups Single</v>
      </c>
      <c r="E5182" t="str">
        <f>VLOOKUP(A5182,Panels!$A$1:$E$2104,5,0)</f>
        <v>Whetstone Gate</v>
      </c>
    </row>
    <row r="5183">
      <c r="A5183" s="3">
        <v>2520.0</v>
      </c>
      <c r="B5183" s="3">
        <v>1.0</v>
      </c>
      <c r="C5183" s="3">
        <v>1.0</v>
      </c>
      <c r="D5183" t="str">
        <f>VLOOKUP(B5183,ERA_MOTIF_TYPES.csv!$A$1:$C$119,2,1)</f>
        <v>Cups Single</v>
      </c>
      <c r="E5183" t="str">
        <f>VLOOKUP(A5183,Panels!$A$1:$E$2104,5,0)</f>
        <v>White Crag Moss</v>
      </c>
    </row>
    <row r="5184">
      <c r="A5184" s="3">
        <v>2521.0</v>
      </c>
      <c r="B5184" s="3">
        <v>1.0</v>
      </c>
      <c r="C5184" s="3">
        <v>1.0</v>
      </c>
      <c r="D5184" t="str">
        <f>VLOOKUP(B5184,ERA_MOTIF_TYPES.csv!$A$1:$C$119,2,1)</f>
        <v>Cups Single</v>
      </c>
      <c r="E5184" t="str">
        <f>VLOOKUP(A5184,Panels!$A$1:$E$2104,5,0)</f>
        <v>White Crag Moss</v>
      </c>
    </row>
    <row r="5185">
      <c r="A5185" s="3">
        <v>2523.0</v>
      </c>
      <c r="B5185" s="3">
        <v>1.0</v>
      </c>
      <c r="C5185" s="3">
        <v>17.0</v>
      </c>
      <c r="D5185" t="str">
        <f>VLOOKUP(B5185,ERA_MOTIF_TYPES.csv!$A$1:$C$119,2,1)</f>
        <v>Cups Single</v>
      </c>
      <c r="E5185" t="str">
        <f>VLOOKUP(A5185,Panels!$A$1:$E$2104,5,0)</f>
        <v>Todmor Stones</v>
      </c>
    </row>
    <row r="5186">
      <c r="A5186" s="3">
        <v>2523.0</v>
      </c>
      <c r="B5186" s="3">
        <v>27.0</v>
      </c>
      <c r="C5186" s="3">
        <v>2.0</v>
      </c>
      <c r="D5186" t="str">
        <f>VLOOKUP(B5186,ERA_MOTIF_TYPES.csv!$A$1:$C$119,2,1)</f>
        <v>Serpentine</v>
      </c>
      <c r="E5186" t="str">
        <f>VLOOKUP(A5186,Panels!$A$1:$E$2104,5,0)</f>
        <v>Todmor Stones</v>
      </c>
    </row>
    <row r="5187">
      <c r="A5187" s="3">
        <v>2523.0</v>
      </c>
      <c r="B5187" s="3">
        <v>117.0</v>
      </c>
      <c r="C5187" s="3">
        <v>2.0</v>
      </c>
      <c r="D5187" t="str">
        <f>VLOOKUP(B5187,ERA_MOTIF_TYPES.csv!$A$1:$C$119,2,1)</f>
        <v>Dumb-bell</v>
      </c>
      <c r="E5187" t="str">
        <f>VLOOKUP(A5187,Panels!$A$1:$E$2104,5,0)</f>
        <v>Todmor Stones</v>
      </c>
    </row>
    <row r="5188">
      <c r="A5188" s="3">
        <v>2524.0</v>
      </c>
      <c r="B5188" s="3">
        <v>1.0</v>
      </c>
      <c r="C5188" s="3">
        <v>1.0</v>
      </c>
      <c r="D5188" t="str">
        <f>VLOOKUP(B5188,ERA_MOTIF_TYPES.csv!$A$1:$C$119,2,1)</f>
        <v>Cups Single</v>
      </c>
      <c r="E5188" t="str">
        <f>VLOOKUP(A5188,Panels!$A$1:$E$2104,5,0)</f>
        <v>Todmor Stones</v>
      </c>
    </row>
    <row r="5189">
      <c r="A5189" s="3">
        <v>2524.0</v>
      </c>
      <c r="B5189" s="3">
        <v>118.0</v>
      </c>
      <c r="C5189" s="1"/>
      <c r="D5189" t="str">
        <f>VLOOKUP(B5189,ERA_MOTIF_TYPES.csv!$A$1:$C$119,2,1)</f>
        <v>Random peck marks</v>
      </c>
      <c r="E5189" t="str">
        <f>VLOOKUP(A5189,Panels!$A$1:$E$2104,5,0)</f>
        <v>Todmor Stones</v>
      </c>
    </row>
    <row r="5190">
      <c r="A5190" s="3">
        <v>2525.0</v>
      </c>
      <c r="B5190" s="3">
        <v>13.0</v>
      </c>
      <c r="C5190" s="3">
        <v>1.0</v>
      </c>
      <c r="D5190" t="str">
        <f>VLOOKUP(B5190,ERA_MOTIF_TYPES.csv!$A$1:$C$119,2,1)</f>
        <v>Single Ring + cup</v>
      </c>
      <c r="E5190" t="str">
        <f>VLOOKUP(A5190,Panels!$A$1:$E$2104,5,0)</f>
        <v>Todmor Stones</v>
      </c>
    </row>
    <row r="5191">
      <c r="A5191" s="3">
        <v>2526.0</v>
      </c>
      <c r="B5191" s="3">
        <v>1.0</v>
      </c>
      <c r="C5191" s="3">
        <v>1.0</v>
      </c>
      <c r="D5191" t="str">
        <f>VLOOKUP(B5191,ERA_MOTIF_TYPES.csv!$A$1:$C$119,2,1)</f>
        <v>Cups Single</v>
      </c>
      <c r="E5191" t="str">
        <f>VLOOKUP(A5191,Panels!$A$1:$E$2104,5,0)</f>
        <v>Todmor Stones</v>
      </c>
    </row>
    <row r="5192">
      <c r="A5192" s="3">
        <v>2527.0</v>
      </c>
      <c r="B5192" s="3">
        <v>1.0</v>
      </c>
      <c r="C5192" s="3">
        <v>1.0</v>
      </c>
      <c r="D5192" t="str">
        <f>VLOOKUP(B5192,ERA_MOTIF_TYPES.csv!$A$1:$C$119,2,1)</f>
        <v>Cups Single</v>
      </c>
      <c r="E5192" t="str">
        <f>VLOOKUP(A5192,Panels!$A$1:$E$2104,5,0)</f>
        <v>Todmor Stones</v>
      </c>
    </row>
    <row r="5193">
      <c r="A5193" s="3">
        <v>2527.0</v>
      </c>
      <c r="B5193" s="3">
        <v>16.0</v>
      </c>
      <c r="C5193" s="3">
        <v>3.0</v>
      </c>
      <c r="D5193" t="str">
        <f>VLOOKUP(B5193,ERA_MOTIF_TYPES.csv!$A$1:$C$119,2,1)</f>
        <v>Single Arc + cup</v>
      </c>
      <c r="E5193" t="str">
        <f>VLOOKUP(A5193,Panels!$A$1:$E$2104,5,0)</f>
        <v>Todmor Stones</v>
      </c>
    </row>
    <row r="5194">
      <c r="A5194" s="3">
        <v>2527.0</v>
      </c>
      <c r="B5194" s="3">
        <v>25.0</v>
      </c>
      <c r="C5194" s="3">
        <v>1.0</v>
      </c>
      <c r="D5194" t="str">
        <f>VLOOKUP(B5194,ERA_MOTIF_TYPES.csv!$A$1:$C$119,2,1)</f>
        <v>Linear</v>
      </c>
      <c r="E5194" t="str">
        <f>VLOOKUP(A5194,Panels!$A$1:$E$2104,5,0)</f>
        <v>Todmor Stones</v>
      </c>
    </row>
    <row r="5195">
      <c r="A5195" s="3">
        <v>2528.0</v>
      </c>
      <c r="B5195" s="3">
        <v>1.0</v>
      </c>
      <c r="C5195" s="3">
        <v>1.0</v>
      </c>
      <c r="D5195" t="str">
        <f>VLOOKUP(B5195,ERA_MOTIF_TYPES.csv!$A$1:$C$119,2,1)</f>
        <v>Cups Single</v>
      </c>
      <c r="E5195" t="str">
        <f>VLOOKUP(A5195,Panels!$A$1:$E$2104,5,0)</f>
        <v>Stanbury Hill</v>
      </c>
    </row>
    <row r="5196">
      <c r="A5196" s="3">
        <v>2528.0</v>
      </c>
      <c r="B5196" s="3">
        <v>25.0</v>
      </c>
      <c r="C5196" s="3">
        <v>1.0</v>
      </c>
      <c r="D5196" t="str">
        <f>VLOOKUP(B5196,ERA_MOTIF_TYPES.csv!$A$1:$C$119,2,1)</f>
        <v>Linear</v>
      </c>
      <c r="E5196" t="str">
        <f>VLOOKUP(A5196,Panels!$A$1:$E$2104,5,0)</f>
        <v>Stanbury Hill</v>
      </c>
    </row>
    <row r="5197">
      <c r="A5197" s="3">
        <v>2528.0</v>
      </c>
      <c r="B5197" s="3">
        <v>32.0</v>
      </c>
      <c r="C5197" s="3">
        <v>1.0</v>
      </c>
      <c r="D5197" t="str">
        <f>VLOOKUP(B5197,ERA_MOTIF_TYPES.csv!$A$1:$C$119,2,1)</f>
        <v>Cup Groove and single ring</v>
      </c>
      <c r="E5197" t="str">
        <f>VLOOKUP(A5197,Panels!$A$1:$E$2104,5,0)</f>
        <v>Stanbury Hill</v>
      </c>
    </row>
    <row r="5198">
      <c r="A5198" s="3">
        <v>2529.0</v>
      </c>
      <c r="B5198" s="3">
        <v>13.0</v>
      </c>
      <c r="C5198" s="3">
        <v>1.0</v>
      </c>
      <c r="D5198" t="str">
        <f>VLOOKUP(B5198,ERA_MOTIF_TYPES.csv!$A$1:$C$119,2,1)</f>
        <v>Single Ring + cup</v>
      </c>
      <c r="E5198" t="str">
        <f>VLOOKUP(A5198,Panels!$A$1:$E$2104,5,0)</f>
        <v>Stanbury Hill</v>
      </c>
    </row>
    <row r="5199">
      <c r="A5199" s="3">
        <v>2529.0</v>
      </c>
      <c r="B5199" s="3">
        <v>16.0</v>
      </c>
      <c r="C5199" s="3">
        <v>1.0</v>
      </c>
      <c r="D5199" t="str">
        <f>VLOOKUP(B5199,ERA_MOTIF_TYPES.csv!$A$1:$C$119,2,1)</f>
        <v>Single Arc + cup</v>
      </c>
      <c r="E5199" t="str">
        <f>VLOOKUP(A5199,Panels!$A$1:$E$2104,5,0)</f>
        <v>Stanbury Hill</v>
      </c>
    </row>
    <row r="5200">
      <c r="A5200" s="3">
        <v>2529.0</v>
      </c>
      <c r="B5200" s="3">
        <v>25.0</v>
      </c>
      <c r="C5200" s="3">
        <v>1.0</v>
      </c>
      <c r="D5200" t="str">
        <f>VLOOKUP(B5200,ERA_MOTIF_TYPES.csv!$A$1:$C$119,2,1)</f>
        <v>Linear</v>
      </c>
      <c r="E5200" t="str">
        <f>VLOOKUP(A5200,Panels!$A$1:$E$2104,5,0)</f>
        <v>Stanbury Hill</v>
      </c>
    </row>
    <row r="5201">
      <c r="A5201" s="3">
        <v>2530.0</v>
      </c>
      <c r="B5201" s="3">
        <v>31.0</v>
      </c>
      <c r="C5201" s="3">
        <v>1.0</v>
      </c>
      <c r="D5201" t="str">
        <f>VLOOKUP(B5201,ERA_MOTIF_TYPES.csv!$A$1:$C$119,2,1)</f>
        <v>Cup and Groove</v>
      </c>
      <c r="E5201" t="str">
        <f>VLOOKUP(A5201,Panels!$A$1:$E$2104,5,0)</f>
        <v>Stanbury Hill</v>
      </c>
    </row>
    <row r="5202">
      <c r="A5202" s="3">
        <v>2531.0</v>
      </c>
      <c r="B5202" s="3">
        <v>1.0</v>
      </c>
      <c r="C5202" s="3">
        <v>2.0</v>
      </c>
      <c r="D5202" t="str">
        <f>VLOOKUP(B5202,ERA_MOTIF_TYPES.csv!$A$1:$C$119,2,1)</f>
        <v>Cups Single</v>
      </c>
      <c r="E5202" t="str">
        <f>VLOOKUP(A5202,Panels!$A$1:$E$2104,5,0)</f>
        <v>Stanbury Hill</v>
      </c>
    </row>
    <row r="5203">
      <c r="A5203" s="3">
        <v>2531.0</v>
      </c>
      <c r="B5203" s="3">
        <v>17.0</v>
      </c>
      <c r="C5203" s="3">
        <v>1.0</v>
      </c>
      <c r="D5203" t="str">
        <f>VLOOKUP(B5203,ERA_MOTIF_TYPES.csv!$A$1:$C$119,2,1)</f>
        <v>Single Penannular + cup</v>
      </c>
      <c r="E5203" t="str">
        <f>VLOOKUP(A5203,Panels!$A$1:$E$2104,5,0)</f>
        <v>Stanbury Hill</v>
      </c>
    </row>
    <row r="5204">
      <c r="A5204" s="3">
        <v>2531.0</v>
      </c>
      <c r="B5204" s="3">
        <v>25.0</v>
      </c>
      <c r="C5204" s="3">
        <v>2.0</v>
      </c>
      <c r="D5204" t="str">
        <f>VLOOKUP(B5204,ERA_MOTIF_TYPES.csv!$A$1:$C$119,2,1)</f>
        <v>Linear</v>
      </c>
      <c r="E5204" t="str">
        <f>VLOOKUP(A5204,Panels!$A$1:$E$2104,5,0)</f>
        <v>Stanbury Hill</v>
      </c>
    </row>
    <row r="5205">
      <c r="A5205" s="3">
        <v>2531.0</v>
      </c>
      <c r="B5205" s="3">
        <v>27.0</v>
      </c>
      <c r="C5205" s="3">
        <v>1.0</v>
      </c>
      <c r="D5205" t="str">
        <f>VLOOKUP(B5205,ERA_MOTIF_TYPES.csv!$A$1:$C$119,2,1)</f>
        <v>Serpentine</v>
      </c>
      <c r="E5205" t="str">
        <f>VLOOKUP(A5205,Panels!$A$1:$E$2104,5,0)</f>
        <v>Stanbury Hill</v>
      </c>
    </row>
    <row r="5206">
      <c r="A5206" s="3">
        <v>2531.0</v>
      </c>
      <c r="B5206" s="3">
        <v>118.0</v>
      </c>
      <c r="C5206" s="1"/>
      <c r="D5206" t="str">
        <f>VLOOKUP(B5206,ERA_MOTIF_TYPES.csv!$A$1:$C$119,2,1)</f>
        <v>Random peck marks</v>
      </c>
      <c r="E5206" t="str">
        <f>VLOOKUP(A5206,Panels!$A$1:$E$2104,5,0)</f>
        <v>Stanbury Hill</v>
      </c>
    </row>
    <row r="5207">
      <c r="A5207" s="3">
        <v>2532.0</v>
      </c>
      <c r="B5207" s="3">
        <v>1.0</v>
      </c>
      <c r="C5207" s="3">
        <v>7.0</v>
      </c>
      <c r="D5207" t="str">
        <f>VLOOKUP(B5207,ERA_MOTIF_TYPES.csv!$A$1:$C$119,2,1)</f>
        <v>Cups Single</v>
      </c>
      <c r="E5207" t="str">
        <f>VLOOKUP(A5207,Panels!$A$1:$E$2104,5,0)</f>
        <v>Stanbury Hill</v>
      </c>
    </row>
    <row r="5208">
      <c r="A5208" s="3">
        <v>2533.0</v>
      </c>
      <c r="B5208" s="3">
        <v>1.0</v>
      </c>
      <c r="C5208" s="3">
        <v>5.0</v>
      </c>
      <c r="D5208" t="str">
        <f>VLOOKUP(B5208,ERA_MOTIF_TYPES.csv!$A$1:$C$119,2,1)</f>
        <v>Cups Single</v>
      </c>
      <c r="E5208" t="str">
        <f>VLOOKUP(A5208,Panels!$A$1:$E$2104,5,0)</f>
        <v>Stanbury Hill</v>
      </c>
    </row>
    <row r="5209">
      <c r="A5209" s="3">
        <v>2533.0</v>
      </c>
      <c r="B5209" s="3">
        <v>17.0</v>
      </c>
      <c r="C5209" s="3">
        <v>1.0</v>
      </c>
      <c r="D5209" t="str">
        <f>VLOOKUP(B5209,ERA_MOTIF_TYPES.csv!$A$1:$C$119,2,1)</f>
        <v>Single Penannular + cup</v>
      </c>
      <c r="E5209" t="str">
        <f>VLOOKUP(A5209,Panels!$A$1:$E$2104,5,0)</f>
        <v>Stanbury Hill</v>
      </c>
    </row>
    <row r="5210">
      <c r="A5210" s="3">
        <v>2533.0</v>
      </c>
      <c r="B5210" s="3">
        <v>25.0</v>
      </c>
      <c r="C5210" s="3">
        <v>2.0</v>
      </c>
      <c r="D5210" t="str">
        <f>VLOOKUP(B5210,ERA_MOTIF_TYPES.csv!$A$1:$C$119,2,1)</f>
        <v>Linear</v>
      </c>
      <c r="E5210" t="str">
        <f>VLOOKUP(A5210,Panels!$A$1:$E$2104,5,0)</f>
        <v>Stanbury Hill</v>
      </c>
    </row>
    <row r="5211">
      <c r="A5211" s="3">
        <v>2534.0</v>
      </c>
      <c r="B5211" s="3">
        <v>1.0</v>
      </c>
      <c r="C5211" s="3">
        <v>14.0</v>
      </c>
      <c r="D5211" t="str">
        <f>VLOOKUP(B5211,ERA_MOTIF_TYPES.csv!$A$1:$C$119,2,1)</f>
        <v>Cups Single</v>
      </c>
      <c r="E5211" t="str">
        <f>VLOOKUP(A5211,Panels!$A$1:$E$2104,5,0)</f>
        <v>Stanbury Hill</v>
      </c>
    </row>
    <row r="5212">
      <c r="A5212" s="3">
        <v>2534.0</v>
      </c>
      <c r="B5212" s="3">
        <v>13.0</v>
      </c>
      <c r="C5212" s="3">
        <v>2.0</v>
      </c>
      <c r="D5212" t="str">
        <f>VLOOKUP(B5212,ERA_MOTIF_TYPES.csv!$A$1:$C$119,2,1)</f>
        <v>Single Ring + cup</v>
      </c>
      <c r="E5212" t="str">
        <f>VLOOKUP(A5212,Panels!$A$1:$E$2104,5,0)</f>
        <v>Stanbury Hill</v>
      </c>
    </row>
    <row r="5213">
      <c r="A5213" s="3">
        <v>2534.0</v>
      </c>
      <c r="B5213" s="3">
        <v>16.0</v>
      </c>
      <c r="C5213" s="3">
        <v>3.0</v>
      </c>
      <c r="D5213" t="str">
        <f>VLOOKUP(B5213,ERA_MOTIF_TYPES.csv!$A$1:$C$119,2,1)</f>
        <v>Single Arc + cup</v>
      </c>
      <c r="E5213" t="str">
        <f>VLOOKUP(A5213,Panels!$A$1:$E$2104,5,0)</f>
        <v>Stanbury Hill</v>
      </c>
    </row>
    <row r="5214">
      <c r="A5214" s="3">
        <v>2534.0</v>
      </c>
      <c r="B5214" s="3">
        <v>25.0</v>
      </c>
      <c r="C5214" s="3">
        <v>4.0</v>
      </c>
      <c r="D5214" t="str">
        <f>VLOOKUP(B5214,ERA_MOTIF_TYPES.csv!$A$1:$C$119,2,1)</f>
        <v>Linear</v>
      </c>
      <c r="E5214" t="str">
        <f>VLOOKUP(A5214,Panels!$A$1:$E$2104,5,0)</f>
        <v>Stanbury Hill</v>
      </c>
    </row>
    <row r="5215">
      <c r="A5215" s="3">
        <v>2534.0</v>
      </c>
      <c r="B5215" s="3">
        <v>31.0</v>
      </c>
      <c r="C5215" s="3">
        <v>1.0</v>
      </c>
      <c r="D5215" t="str">
        <f>VLOOKUP(B5215,ERA_MOTIF_TYPES.csv!$A$1:$C$119,2,1)</f>
        <v>Cup and Groove</v>
      </c>
      <c r="E5215" t="str">
        <f>VLOOKUP(A5215,Panels!$A$1:$E$2104,5,0)</f>
        <v>Stanbury Hill</v>
      </c>
    </row>
    <row r="5216">
      <c r="A5216" s="3">
        <v>2534.0</v>
      </c>
      <c r="B5216" s="3">
        <v>35.0</v>
      </c>
      <c r="C5216" s="3">
        <v>1.0</v>
      </c>
      <c r="D5216" t="str">
        <f>VLOOKUP(B5216,ERA_MOTIF_TYPES.csv!$A$1:$C$119,2,1)</f>
        <v>Cup Groove and multi penannular</v>
      </c>
      <c r="E5216" t="str">
        <f>VLOOKUP(A5216,Panels!$A$1:$E$2104,5,0)</f>
        <v>Stanbury Hill</v>
      </c>
    </row>
    <row r="5217">
      <c r="A5217" s="3">
        <v>2534.0</v>
      </c>
      <c r="B5217" s="3">
        <v>117.0</v>
      </c>
      <c r="C5217" s="3">
        <v>1.0</v>
      </c>
      <c r="D5217" t="str">
        <f>VLOOKUP(B5217,ERA_MOTIF_TYPES.csv!$A$1:$C$119,2,1)</f>
        <v>Dumb-bell</v>
      </c>
      <c r="E5217" t="str">
        <f>VLOOKUP(A5217,Panels!$A$1:$E$2104,5,0)</f>
        <v>Stanbury Hill</v>
      </c>
    </row>
    <row r="5218">
      <c r="A5218" s="3">
        <v>2535.0</v>
      </c>
      <c r="B5218" s="3">
        <v>1.0</v>
      </c>
      <c r="C5218" s="3">
        <v>54.0</v>
      </c>
      <c r="D5218" t="str">
        <f>VLOOKUP(B5218,ERA_MOTIF_TYPES.csv!$A$1:$C$119,2,1)</f>
        <v>Cups Single</v>
      </c>
      <c r="E5218" t="str">
        <f>VLOOKUP(A5218,Panels!$A$1:$E$2104,5,0)</f>
        <v>Stanbury Hill</v>
      </c>
    </row>
    <row r="5219">
      <c r="A5219" s="3">
        <v>2535.0</v>
      </c>
      <c r="B5219" s="3">
        <v>25.0</v>
      </c>
      <c r="C5219" s="3">
        <v>8.0</v>
      </c>
      <c r="D5219" t="str">
        <f>VLOOKUP(B5219,ERA_MOTIF_TYPES.csv!$A$1:$C$119,2,1)</f>
        <v>Linear</v>
      </c>
      <c r="E5219" t="str">
        <f>VLOOKUP(A5219,Panels!$A$1:$E$2104,5,0)</f>
        <v>Stanbury Hill</v>
      </c>
    </row>
    <row r="5220">
      <c r="A5220" s="3">
        <v>2535.0</v>
      </c>
      <c r="B5220" s="3">
        <v>117.0</v>
      </c>
      <c r="C5220" s="3">
        <v>4.0</v>
      </c>
      <c r="D5220" t="str">
        <f>VLOOKUP(B5220,ERA_MOTIF_TYPES.csv!$A$1:$C$119,2,1)</f>
        <v>Dumb-bell</v>
      </c>
      <c r="E5220" t="str">
        <f>VLOOKUP(A5220,Panels!$A$1:$E$2104,5,0)</f>
        <v>Stanbury Hill</v>
      </c>
    </row>
    <row r="5221">
      <c r="A5221" s="3">
        <v>2536.0</v>
      </c>
      <c r="B5221" s="3">
        <v>1.0</v>
      </c>
      <c r="C5221" s="3">
        <v>3.0</v>
      </c>
      <c r="D5221" t="str">
        <f>VLOOKUP(B5221,ERA_MOTIF_TYPES.csv!$A$1:$C$119,2,1)</f>
        <v>Cups Single</v>
      </c>
      <c r="E5221" t="str">
        <f>VLOOKUP(A5221,Panels!$A$1:$E$2104,5,0)</f>
        <v>Stanbury Hill</v>
      </c>
    </row>
    <row r="5222">
      <c r="A5222" s="3">
        <v>2537.0</v>
      </c>
      <c r="B5222" s="3">
        <v>1.0</v>
      </c>
      <c r="C5222" s="3">
        <v>9.0</v>
      </c>
      <c r="D5222" t="str">
        <f>VLOOKUP(B5222,ERA_MOTIF_TYPES.csv!$A$1:$C$119,2,1)</f>
        <v>Cups Single</v>
      </c>
      <c r="E5222" t="str">
        <f>VLOOKUP(A5222,Panels!$A$1:$E$2104,5,0)</f>
        <v>Stanbury Hill</v>
      </c>
    </row>
    <row r="5223">
      <c r="A5223" s="3">
        <v>2538.0</v>
      </c>
      <c r="B5223" s="3">
        <v>1.0</v>
      </c>
      <c r="C5223" s="3">
        <v>4.0</v>
      </c>
      <c r="D5223" t="str">
        <f>VLOOKUP(B5223,ERA_MOTIF_TYPES.csv!$A$1:$C$119,2,1)</f>
        <v>Cups Single</v>
      </c>
      <c r="E5223" t="str">
        <f>VLOOKUP(A5223,Panels!$A$1:$E$2104,5,0)</f>
        <v>Stanbury Hill</v>
      </c>
    </row>
    <row r="5224">
      <c r="A5224" s="3">
        <v>2538.0</v>
      </c>
      <c r="B5224" s="3">
        <v>13.0</v>
      </c>
      <c r="C5224" s="1"/>
      <c r="D5224" t="str">
        <f>VLOOKUP(B5224,ERA_MOTIF_TYPES.csv!$A$1:$C$119,2,1)</f>
        <v>Single Ring + cup</v>
      </c>
      <c r="E5224" t="str">
        <f>VLOOKUP(A5224,Panels!$A$1:$E$2104,5,0)</f>
        <v>Stanbury Hill</v>
      </c>
    </row>
    <row r="5225">
      <c r="A5225" s="3">
        <v>2538.0</v>
      </c>
      <c r="B5225" s="3">
        <v>25.0</v>
      </c>
      <c r="C5225" s="3">
        <v>1.0</v>
      </c>
      <c r="D5225" t="str">
        <f>VLOOKUP(B5225,ERA_MOTIF_TYPES.csv!$A$1:$C$119,2,1)</f>
        <v>Linear</v>
      </c>
      <c r="E5225" t="str">
        <f>VLOOKUP(A5225,Panels!$A$1:$E$2104,5,0)</f>
        <v>Stanbury Hill</v>
      </c>
    </row>
    <row r="5226">
      <c r="A5226" s="3">
        <v>2539.0</v>
      </c>
      <c r="B5226" s="3">
        <v>36.0</v>
      </c>
      <c r="C5226" s="3">
        <v>1.0</v>
      </c>
      <c r="D5226" t="str">
        <f>VLOOKUP(B5226,ERA_MOTIF_TYPES.csv!$A$1:$C$119,2,1)</f>
        <v>Cup Groove and arc</v>
      </c>
      <c r="E5226" t="str">
        <f>VLOOKUP(A5226,Panels!$A$1:$E$2104,5,0)</f>
        <v>Stanbury Hill</v>
      </c>
    </row>
    <row r="5227">
      <c r="A5227" s="3">
        <v>2540.0</v>
      </c>
      <c r="B5227" s="3">
        <v>14.0</v>
      </c>
      <c r="C5227" s="3">
        <v>1.0</v>
      </c>
      <c r="D5227" t="str">
        <f>VLOOKUP(B5227,ERA_MOTIF_TYPES.csv!$A$1:$C$119,2,1)</f>
        <v>Multi Ring + cup</v>
      </c>
      <c r="E5227" t="str">
        <f>VLOOKUP(A5227,Panels!$A$1:$E$2104,5,0)</f>
        <v>Stanbury Hill</v>
      </c>
    </row>
    <row r="5228">
      <c r="A5228" s="3">
        <v>2540.0</v>
      </c>
      <c r="B5228" s="3">
        <v>25.0</v>
      </c>
      <c r="C5228" s="3">
        <v>1.0</v>
      </c>
      <c r="D5228" t="str">
        <f>VLOOKUP(B5228,ERA_MOTIF_TYPES.csv!$A$1:$C$119,2,1)</f>
        <v>Linear</v>
      </c>
      <c r="E5228" t="str">
        <f>VLOOKUP(A5228,Panels!$A$1:$E$2104,5,0)</f>
        <v>Stanbury Hill</v>
      </c>
    </row>
    <row r="5229">
      <c r="A5229" s="3">
        <v>2541.0</v>
      </c>
      <c r="B5229" s="3">
        <v>1.0</v>
      </c>
      <c r="C5229" s="3">
        <v>3.0</v>
      </c>
      <c r="D5229" t="str">
        <f>VLOOKUP(B5229,ERA_MOTIF_TYPES.csv!$A$1:$C$119,2,1)</f>
        <v>Cups Single</v>
      </c>
      <c r="E5229" t="str">
        <f>VLOOKUP(A5229,Panels!$A$1:$E$2104,5,0)</f>
        <v>Stanbury Hill</v>
      </c>
    </row>
    <row r="5230">
      <c r="A5230" s="3">
        <v>2542.0</v>
      </c>
      <c r="B5230" s="3">
        <v>1.0</v>
      </c>
      <c r="C5230" s="3">
        <v>2.0</v>
      </c>
      <c r="D5230" t="str">
        <f>VLOOKUP(B5230,ERA_MOTIF_TYPES.csv!$A$1:$C$119,2,1)</f>
        <v>Cups Single</v>
      </c>
      <c r="E5230" t="str">
        <f>VLOOKUP(A5230,Panels!$A$1:$E$2104,5,0)</f>
        <v>Stanbury Hill</v>
      </c>
    </row>
    <row r="5231">
      <c r="A5231" s="3">
        <v>2543.0</v>
      </c>
      <c r="B5231" s="3">
        <v>1.0</v>
      </c>
      <c r="C5231" s="3">
        <v>2.0</v>
      </c>
      <c r="D5231" t="str">
        <f>VLOOKUP(B5231,ERA_MOTIF_TYPES.csv!$A$1:$C$119,2,1)</f>
        <v>Cups Single</v>
      </c>
      <c r="E5231" t="str">
        <f>VLOOKUP(A5231,Panels!$A$1:$E$2104,5,0)</f>
        <v>Hawksworth Spring</v>
      </c>
    </row>
    <row r="5232">
      <c r="A5232" s="3">
        <v>2543.0</v>
      </c>
      <c r="B5232" s="3">
        <v>117.0</v>
      </c>
      <c r="C5232" s="3">
        <v>1.0</v>
      </c>
      <c r="D5232" t="str">
        <f>VLOOKUP(B5232,ERA_MOTIF_TYPES.csv!$A$1:$C$119,2,1)</f>
        <v>Dumb-bell</v>
      </c>
      <c r="E5232" t="str">
        <f>VLOOKUP(A5232,Panels!$A$1:$E$2104,5,0)</f>
        <v>Hawksworth Spring</v>
      </c>
    </row>
    <row r="5233">
      <c r="A5233" s="3">
        <v>2544.0</v>
      </c>
      <c r="B5233" s="3">
        <v>1.0</v>
      </c>
      <c r="C5233" s="3">
        <v>2.0</v>
      </c>
      <c r="D5233" t="str">
        <f>VLOOKUP(B5233,ERA_MOTIF_TYPES.csv!$A$1:$C$119,2,1)</f>
        <v>Cups Single</v>
      </c>
      <c r="E5233" t="str">
        <f>VLOOKUP(A5233,Panels!$A$1:$E$2104,5,0)</f>
        <v>Hawksworth Spring</v>
      </c>
    </row>
    <row r="5234">
      <c r="A5234" s="3">
        <v>2545.0</v>
      </c>
      <c r="B5234" s="3">
        <v>1.0</v>
      </c>
      <c r="C5234" s="3">
        <v>1.0</v>
      </c>
      <c r="D5234" t="str">
        <f>VLOOKUP(B5234,ERA_MOTIF_TYPES.csv!$A$1:$C$119,2,1)</f>
        <v>Cups Single</v>
      </c>
      <c r="E5234" t="str">
        <f>VLOOKUP(A5234,Panels!$A$1:$E$2104,5,0)</f>
        <v>Browgate</v>
      </c>
    </row>
    <row r="5235">
      <c r="A5235" s="3">
        <v>2546.0</v>
      </c>
      <c r="B5235" s="3">
        <v>1.0</v>
      </c>
      <c r="C5235" s="3">
        <v>4.0</v>
      </c>
      <c r="D5235" t="str">
        <f>VLOOKUP(B5235,ERA_MOTIF_TYPES.csv!$A$1:$C$119,2,1)</f>
        <v>Cups Single</v>
      </c>
      <c r="E5235" t="str">
        <f>VLOOKUP(A5235,Panels!$A$1:$E$2104,5,0)</f>
        <v>Pennythorn Hill</v>
      </c>
    </row>
    <row r="5236">
      <c r="A5236" s="3">
        <v>2546.0</v>
      </c>
      <c r="B5236" s="3">
        <v>10.0</v>
      </c>
      <c r="C5236" s="1"/>
      <c r="D5236" t="str">
        <f>VLOOKUP(B5236,ERA_MOTIF_TYPES.csv!$A$1:$C$119,2,1)</f>
        <v>Single Arc</v>
      </c>
      <c r="E5236" t="str">
        <f>VLOOKUP(A5236,Panels!$A$1:$E$2104,5,0)</f>
        <v>Pennythorn Hill</v>
      </c>
    </row>
    <row r="5237">
      <c r="A5237" s="3">
        <v>2546.0</v>
      </c>
      <c r="B5237" s="3">
        <v>13.0</v>
      </c>
      <c r="C5237" s="3">
        <v>1.0</v>
      </c>
      <c r="D5237" t="str">
        <f>VLOOKUP(B5237,ERA_MOTIF_TYPES.csv!$A$1:$C$119,2,1)</f>
        <v>Single Ring + cup</v>
      </c>
      <c r="E5237" t="str">
        <f>VLOOKUP(A5237,Panels!$A$1:$E$2104,5,0)</f>
        <v>Pennythorn Hill</v>
      </c>
    </row>
    <row r="5238">
      <c r="A5238" s="3">
        <v>2547.0</v>
      </c>
      <c r="B5238" s="3">
        <v>1.0</v>
      </c>
      <c r="C5238" s="3">
        <v>1.0</v>
      </c>
      <c r="D5238" t="str">
        <f>VLOOKUP(B5238,ERA_MOTIF_TYPES.csv!$A$1:$C$119,2,1)</f>
        <v>Cups Single</v>
      </c>
      <c r="E5238" t="str">
        <f>VLOOKUP(A5238,Panels!$A$1:$E$2104,5,0)</f>
        <v>Pennythorn Hill</v>
      </c>
    </row>
    <row r="5239">
      <c r="A5239" s="3">
        <v>2548.0</v>
      </c>
      <c r="B5239" s="3">
        <v>1.0</v>
      </c>
      <c r="C5239" s="3">
        <v>1.0</v>
      </c>
      <c r="D5239" t="str">
        <f>VLOOKUP(B5239,ERA_MOTIF_TYPES.csv!$A$1:$C$119,2,1)</f>
        <v>Cups Single</v>
      </c>
      <c r="E5239" t="str">
        <f>VLOOKUP(A5239,Panels!$A$1:$E$2104,5,0)</f>
        <v>Eaves crag</v>
      </c>
    </row>
    <row r="5240">
      <c r="A5240" s="3">
        <v>2548.0</v>
      </c>
      <c r="B5240" s="3">
        <v>36.0</v>
      </c>
      <c r="C5240" s="3">
        <v>1.0</v>
      </c>
      <c r="D5240" t="str">
        <f>VLOOKUP(B5240,ERA_MOTIF_TYPES.csv!$A$1:$C$119,2,1)</f>
        <v>Cup Groove and arc</v>
      </c>
      <c r="E5240" t="str">
        <f>VLOOKUP(A5240,Panels!$A$1:$E$2104,5,0)</f>
        <v>Eaves crag</v>
      </c>
    </row>
    <row r="5241">
      <c r="A5241" s="3">
        <v>2551.0</v>
      </c>
      <c r="B5241" s="3">
        <v>1.0</v>
      </c>
      <c r="C5241" s="3">
        <v>29.0</v>
      </c>
      <c r="D5241" t="str">
        <f>VLOOKUP(B5241,ERA_MOTIF_TYPES.csv!$A$1:$C$119,2,1)</f>
        <v>Cups Single</v>
      </c>
      <c r="E5241" t="str">
        <f>VLOOKUP(A5241,Panels!$A$1:$E$2104,5,0)</f>
        <v>Hawksworth Spring</v>
      </c>
    </row>
    <row r="5242">
      <c r="A5242" s="3">
        <v>2551.0</v>
      </c>
      <c r="B5242" s="3">
        <v>3.0</v>
      </c>
      <c r="C5242" s="3">
        <v>1.0</v>
      </c>
      <c r="D5242" t="str">
        <f>VLOOKUP(B5242,ERA_MOTIF_TYPES.csv!$A$1:$C$119,2,1)</f>
        <v>Parallel Domino</v>
      </c>
      <c r="E5242" t="str">
        <f>VLOOKUP(A5242,Panels!$A$1:$E$2104,5,0)</f>
        <v>Hawksworth Spring</v>
      </c>
    </row>
    <row r="5243">
      <c r="A5243" s="3">
        <v>2551.0</v>
      </c>
      <c r="B5243" s="3">
        <v>25.0</v>
      </c>
      <c r="C5243" s="3">
        <v>3.0</v>
      </c>
      <c r="D5243" t="str">
        <f>VLOOKUP(B5243,ERA_MOTIF_TYPES.csv!$A$1:$C$119,2,1)</f>
        <v>Linear</v>
      </c>
      <c r="E5243" t="str">
        <f>VLOOKUP(A5243,Panels!$A$1:$E$2104,5,0)</f>
        <v>Hawksworth Spring</v>
      </c>
    </row>
    <row r="5244">
      <c r="A5244" s="3">
        <v>2552.0</v>
      </c>
      <c r="B5244" s="3">
        <v>1.0</v>
      </c>
      <c r="C5244" s="3">
        <v>1.0</v>
      </c>
      <c r="D5244" t="str">
        <f>VLOOKUP(B5244,ERA_MOTIF_TYPES.csv!$A$1:$C$119,2,1)</f>
        <v>Cups Single</v>
      </c>
      <c r="E5244" t="str">
        <f>VLOOKUP(A5244,Panels!$A$1:$E$2104,5,0)</f>
        <v>Birch Close</v>
      </c>
    </row>
    <row r="5245">
      <c r="A5245" s="3">
        <v>2552.0</v>
      </c>
      <c r="B5245" s="3">
        <v>25.0</v>
      </c>
      <c r="C5245" s="3">
        <v>4.0</v>
      </c>
      <c r="D5245" t="str">
        <f>VLOOKUP(B5245,ERA_MOTIF_TYPES.csv!$A$1:$C$119,2,1)</f>
        <v>Linear</v>
      </c>
      <c r="E5245" t="str">
        <f>VLOOKUP(A5245,Panels!$A$1:$E$2104,5,0)</f>
        <v>Birch Close</v>
      </c>
    </row>
    <row r="5246">
      <c r="A5246" s="3">
        <v>2552.0</v>
      </c>
      <c r="B5246" s="3">
        <v>31.0</v>
      </c>
      <c r="C5246" s="3">
        <v>1.0</v>
      </c>
      <c r="D5246" t="str">
        <f>VLOOKUP(B5246,ERA_MOTIF_TYPES.csv!$A$1:$C$119,2,1)</f>
        <v>Cup and Groove</v>
      </c>
      <c r="E5246" t="str">
        <f>VLOOKUP(A5246,Panels!$A$1:$E$2104,5,0)</f>
        <v>Birch Close</v>
      </c>
    </row>
    <row r="5247">
      <c r="A5247" s="3">
        <v>2553.0</v>
      </c>
      <c r="B5247" s="3">
        <v>1.0</v>
      </c>
      <c r="C5247" s="3">
        <v>5.0</v>
      </c>
      <c r="D5247" t="str">
        <f>VLOOKUP(B5247,ERA_MOTIF_TYPES.csv!$A$1:$C$119,2,1)</f>
        <v>Cups Single</v>
      </c>
      <c r="E5247" t="str">
        <f>VLOOKUP(A5247,Panels!$A$1:$E$2104,5,0)</f>
        <v>Faweather Grange</v>
      </c>
    </row>
    <row r="5248">
      <c r="A5248" s="3">
        <v>2553.0</v>
      </c>
      <c r="B5248" s="3">
        <v>13.0</v>
      </c>
      <c r="C5248" s="3">
        <v>1.0</v>
      </c>
      <c r="D5248" t="str">
        <f>VLOOKUP(B5248,ERA_MOTIF_TYPES.csv!$A$1:$C$119,2,1)</f>
        <v>Single Ring + cup</v>
      </c>
      <c r="E5248" t="str">
        <f>VLOOKUP(A5248,Panels!$A$1:$E$2104,5,0)</f>
        <v>Faweather Grange</v>
      </c>
    </row>
    <row r="5249">
      <c r="A5249" s="3">
        <v>2553.0</v>
      </c>
      <c r="B5249" s="3">
        <v>16.0</v>
      </c>
      <c r="C5249" s="3">
        <v>1.0</v>
      </c>
      <c r="D5249" t="str">
        <f>VLOOKUP(B5249,ERA_MOTIF_TYPES.csv!$A$1:$C$119,2,1)</f>
        <v>Single Arc + cup</v>
      </c>
      <c r="E5249" t="str">
        <f>VLOOKUP(A5249,Panels!$A$1:$E$2104,5,0)</f>
        <v>Faweather Grange</v>
      </c>
    </row>
    <row r="5250">
      <c r="A5250" s="3">
        <v>2554.0</v>
      </c>
      <c r="B5250" s="3">
        <v>1.0</v>
      </c>
      <c r="C5250" s="3">
        <v>5.0</v>
      </c>
      <c r="D5250" t="str">
        <f>VLOOKUP(B5250,ERA_MOTIF_TYPES.csv!$A$1:$C$119,2,1)</f>
        <v>Cups Single</v>
      </c>
      <c r="E5250" t="str">
        <f>VLOOKUP(A5250,Panels!$A$1:$E$2104,5,0)</f>
        <v>Faweather Grange</v>
      </c>
    </row>
    <row r="5251">
      <c r="A5251" s="3">
        <v>2554.0</v>
      </c>
      <c r="B5251" s="3">
        <v>16.0</v>
      </c>
      <c r="C5251" s="3">
        <v>1.0</v>
      </c>
      <c r="D5251" t="str">
        <f>VLOOKUP(B5251,ERA_MOTIF_TYPES.csv!$A$1:$C$119,2,1)</f>
        <v>Single Arc + cup</v>
      </c>
      <c r="E5251" t="str">
        <f>VLOOKUP(A5251,Panels!$A$1:$E$2104,5,0)</f>
        <v>Faweather Grange</v>
      </c>
    </row>
    <row r="5252">
      <c r="A5252" s="3">
        <v>2554.0</v>
      </c>
      <c r="B5252" s="3">
        <v>25.0</v>
      </c>
      <c r="C5252" s="3">
        <v>2.0</v>
      </c>
      <c r="D5252" t="str">
        <f>VLOOKUP(B5252,ERA_MOTIF_TYPES.csv!$A$1:$C$119,2,1)</f>
        <v>Linear</v>
      </c>
      <c r="E5252" t="str">
        <f>VLOOKUP(A5252,Panels!$A$1:$E$2104,5,0)</f>
        <v>Faweather Grange</v>
      </c>
    </row>
    <row r="5253">
      <c r="A5253" s="3">
        <v>2554.0</v>
      </c>
      <c r="B5253" s="3">
        <v>27.0</v>
      </c>
      <c r="C5253" s="3">
        <v>1.0</v>
      </c>
      <c r="D5253" t="str">
        <f>VLOOKUP(B5253,ERA_MOTIF_TYPES.csv!$A$1:$C$119,2,1)</f>
        <v>Serpentine</v>
      </c>
      <c r="E5253" t="str">
        <f>VLOOKUP(A5253,Panels!$A$1:$E$2104,5,0)</f>
        <v>Faweather Grange</v>
      </c>
    </row>
    <row r="5254">
      <c r="A5254" s="3">
        <v>2555.0</v>
      </c>
      <c r="B5254" s="3">
        <v>1.0</v>
      </c>
      <c r="C5254" s="3">
        <v>1.0</v>
      </c>
      <c r="D5254" t="str">
        <f>VLOOKUP(B5254,ERA_MOTIF_TYPES.csv!$A$1:$C$119,2,1)</f>
        <v>Cups Single</v>
      </c>
      <c r="E5254" t="str">
        <f>VLOOKUP(A5254,Panels!$A$1:$E$2104,5,0)</f>
        <v>Faweather Grange</v>
      </c>
    </row>
    <row r="5255">
      <c r="A5255" s="3">
        <v>2556.0</v>
      </c>
      <c r="B5255" s="3">
        <v>1.0</v>
      </c>
      <c r="C5255" s="3">
        <v>15.0</v>
      </c>
      <c r="D5255" t="str">
        <f>VLOOKUP(B5255,ERA_MOTIF_TYPES.csv!$A$1:$C$119,2,1)</f>
        <v>Cups Single</v>
      </c>
      <c r="E5255" t="str">
        <f>VLOOKUP(A5255,Panels!$A$1:$E$2104,5,0)</f>
        <v>Faweather Grange</v>
      </c>
    </row>
    <row r="5256">
      <c r="A5256" s="3">
        <v>2556.0</v>
      </c>
      <c r="B5256" s="3">
        <v>25.0</v>
      </c>
      <c r="C5256" s="3">
        <v>6.0</v>
      </c>
      <c r="D5256" t="str">
        <f>VLOOKUP(B5256,ERA_MOTIF_TYPES.csv!$A$1:$C$119,2,1)</f>
        <v>Linear</v>
      </c>
      <c r="E5256" t="str">
        <f>VLOOKUP(A5256,Panels!$A$1:$E$2104,5,0)</f>
        <v>Faweather Grange</v>
      </c>
    </row>
    <row r="5257">
      <c r="A5257" s="3">
        <v>2556.0</v>
      </c>
      <c r="B5257" s="3">
        <v>27.0</v>
      </c>
      <c r="C5257" s="3">
        <v>1.0</v>
      </c>
      <c r="D5257" t="str">
        <f>VLOOKUP(B5257,ERA_MOTIF_TYPES.csv!$A$1:$C$119,2,1)</f>
        <v>Serpentine</v>
      </c>
      <c r="E5257" t="str">
        <f>VLOOKUP(A5257,Panels!$A$1:$E$2104,5,0)</f>
        <v>Faweather Grange</v>
      </c>
    </row>
    <row r="5258">
      <c r="A5258" s="3">
        <v>2556.0</v>
      </c>
      <c r="B5258" s="3">
        <v>31.0</v>
      </c>
      <c r="C5258" s="3">
        <v>1.0</v>
      </c>
      <c r="D5258" t="str">
        <f>VLOOKUP(B5258,ERA_MOTIF_TYPES.csv!$A$1:$C$119,2,1)</f>
        <v>Cup and Groove</v>
      </c>
      <c r="E5258" t="str">
        <f>VLOOKUP(A5258,Panels!$A$1:$E$2104,5,0)</f>
        <v>Faweather Grange</v>
      </c>
    </row>
    <row r="5259">
      <c r="A5259" s="3">
        <v>2556.0</v>
      </c>
      <c r="B5259" s="3">
        <v>117.0</v>
      </c>
      <c r="C5259" s="3">
        <v>2.0</v>
      </c>
      <c r="D5259" t="str">
        <f>VLOOKUP(B5259,ERA_MOTIF_TYPES.csv!$A$1:$C$119,2,1)</f>
        <v>Dumb-bell</v>
      </c>
      <c r="E5259" t="str">
        <f>VLOOKUP(A5259,Panels!$A$1:$E$2104,5,0)</f>
        <v>Faweather Grange</v>
      </c>
    </row>
    <row r="5260">
      <c r="A5260" s="3">
        <v>2557.0</v>
      </c>
      <c r="B5260" s="3">
        <v>1.0</v>
      </c>
      <c r="C5260" s="3">
        <v>1.0</v>
      </c>
      <c r="D5260" t="str">
        <f>VLOOKUP(B5260,ERA_MOTIF_TYPES.csv!$A$1:$C$119,2,1)</f>
        <v>Cups Single</v>
      </c>
      <c r="E5260" t="str">
        <f>VLOOKUP(A5260,Panels!$A$1:$E$2104,5,0)</f>
        <v>Backstone Beck</v>
      </c>
    </row>
    <row r="5261">
      <c r="A5261" s="3">
        <v>2557.0</v>
      </c>
      <c r="B5261" s="3">
        <v>16.0</v>
      </c>
      <c r="C5261" s="3">
        <v>1.0</v>
      </c>
      <c r="D5261" t="str">
        <f>VLOOKUP(B5261,ERA_MOTIF_TYPES.csv!$A$1:$C$119,2,1)</f>
        <v>Single Arc + cup</v>
      </c>
      <c r="E5261" t="str">
        <f>VLOOKUP(A5261,Panels!$A$1:$E$2104,5,0)</f>
        <v>Backstone Beck</v>
      </c>
    </row>
    <row r="5262">
      <c r="A5262" s="3">
        <v>2558.0</v>
      </c>
      <c r="B5262" s="3">
        <v>1.0</v>
      </c>
      <c r="C5262" s="3">
        <v>3.0</v>
      </c>
      <c r="D5262" t="str">
        <f>VLOOKUP(B5262,ERA_MOTIF_TYPES.csv!$A$1:$C$119,2,1)</f>
        <v>Cups Single</v>
      </c>
      <c r="E5262" t="str">
        <f>VLOOKUP(A5262,Panels!$A$1:$E$2104,5,0)</f>
        <v>Backstone Beck</v>
      </c>
    </row>
    <row r="5263">
      <c r="A5263" s="3">
        <v>2558.0</v>
      </c>
      <c r="B5263" s="3">
        <v>13.0</v>
      </c>
      <c r="C5263" s="3">
        <v>1.0</v>
      </c>
      <c r="D5263" t="str">
        <f>VLOOKUP(B5263,ERA_MOTIF_TYPES.csv!$A$1:$C$119,2,1)</f>
        <v>Single Ring + cup</v>
      </c>
      <c r="E5263" t="str">
        <f>VLOOKUP(A5263,Panels!$A$1:$E$2104,5,0)</f>
        <v>Backstone Beck</v>
      </c>
    </row>
    <row r="5264">
      <c r="A5264" s="3">
        <v>2558.0</v>
      </c>
      <c r="B5264" s="3">
        <v>14.0</v>
      </c>
      <c r="C5264" s="3">
        <v>1.0</v>
      </c>
      <c r="D5264" t="str">
        <f>VLOOKUP(B5264,ERA_MOTIF_TYPES.csv!$A$1:$C$119,2,1)</f>
        <v>Multi Ring + cup</v>
      </c>
      <c r="E5264" t="str">
        <f>VLOOKUP(A5264,Panels!$A$1:$E$2104,5,0)</f>
        <v>Backstone Beck</v>
      </c>
    </row>
    <row r="5265">
      <c r="A5265" s="3">
        <v>2558.0</v>
      </c>
      <c r="B5265" s="3">
        <v>15.0</v>
      </c>
      <c r="C5265" s="1"/>
      <c r="D5265" t="str">
        <f>VLOOKUP(B5265,ERA_MOTIF_TYPES.csv!$A$1:$C$119,2,1)</f>
        <v>Multi Penanular + cup</v>
      </c>
      <c r="E5265" t="str">
        <f>VLOOKUP(A5265,Panels!$A$1:$E$2104,5,0)</f>
        <v>Backstone Beck</v>
      </c>
    </row>
    <row r="5266">
      <c r="A5266" s="3">
        <v>2558.0</v>
      </c>
      <c r="B5266" s="3">
        <v>35.0</v>
      </c>
      <c r="C5266" s="3">
        <v>1.0</v>
      </c>
      <c r="D5266" t="str">
        <f>VLOOKUP(B5266,ERA_MOTIF_TYPES.csv!$A$1:$C$119,2,1)</f>
        <v>Cup Groove and multi penannular</v>
      </c>
      <c r="E5266" t="str">
        <f>VLOOKUP(A5266,Panels!$A$1:$E$2104,5,0)</f>
        <v>Backstone Beck</v>
      </c>
    </row>
    <row r="5267">
      <c r="A5267" s="3">
        <v>2559.0</v>
      </c>
      <c r="B5267" s="3">
        <v>1.0</v>
      </c>
      <c r="C5267" s="3">
        <v>30.0</v>
      </c>
      <c r="D5267" t="str">
        <f>VLOOKUP(B5267,ERA_MOTIF_TYPES.csv!$A$1:$C$119,2,1)</f>
        <v>Cups Single</v>
      </c>
      <c r="E5267" t="str">
        <f>VLOOKUP(A5267,Panels!$A$1:$E$2104,5,0)</f>
        <v>Backstone Beck</v>
      </c>
    </row>
    <row r="5268">
      <c r="A5268" s="3">
        <v>2559.0</v>
      </c>
      <c r="B5268" s="3">
        <v>13.0</v>
      </c>
      <c r="C5268" s="3">
        <v>2.0</v>
      </c>
      <c r="D5268" t="str">
        <f>VLOOKUP(B5268,ERA_MOTIF_TYPES.csv!$A$1:$C$119,2,1)</f>
        <v>Single Ring + cup</v>
      </c>
      <c r="E5268" t="str">
        <f>VLOOKUP(A5268,Panels!$A$1:$E$2104,5,0)</f>
        <v>Backstone Beck</v>
      </c>
    </row>
    <row r="5269">
      <c r="A5269" s="3">
        <v>2559.0</v>
      </c>
      <c r="B5269" s="3">
        <v>16.0</v>
      </c>
      <c r="C5269" s="3">
        <v>2.0</v>
      </c>
      <c r="D5269" t="str">
        <f>VLOOKUP(B5269,ERA_MOTIF_TYPES.csv!$A$1:$C$119,2,1)</f>
        <v>Single Arc + cup</v>
      </c>
      <c r="E5269" t="str">
        <f>VLOOKUP(A5269,Panels!$A$1:$E$2104,5,0)</f>
        <v>Backstone Beck</v>
      </c>
    </row>
    <row r="5270">
      <c r="A5270" s="3">
        <v>2559.0</v>
      </c>
      <c r="B5270" s="3">
        <v>25.0</v>
      </c>
      <c r="C5270" s="3">
        <v>10.0</v>
      </c>
      <c r="D5270" t="str">
        <f>VLOOKUP(B5270,ERA_MOTIF_TYPES.csv!$A$1:$C$119,2,1)</f>
        <v>Linear</v>
      </c>
      <c r="E5270" t="str">
        <f>VLOOKUP(A5270,Panels!$A$1:$E$2104,5,0)</f>
        <v>Backstone Beck</v>
      </c>
    </row>
    <row r="5271">
      <c r="A5271" s="3">
        <v>2560.0</v>
      </c>
      <c r="B5271" s="3">
        <v>1.0</v>
      </c>
      <c r="C5271" s="3">
        <v>37.0</v>
      </c>
      <c r="D5271" t="str">
        <f>VLOOKUP(B5271,ERA_MOTIF_TYPES.csv!$A$1:$C$119,2,1)</f>
        <v>Cups Single</v>
      </c>
      <c r="E5271" t="str">
        <f>VLOOKUP(A5271,Panels!$A$1:$E$2104,5,0)</f>
        <v>Backstone Beck</v>
      </c>
    </row>
    <row r="5272">
      <c r="A5272" s="3">
        <v>2560.0</v>
      </c>
      <c r="B5272" s="3">
        <v>13.0</v>
      </c>
      <c r="C5272" s="3">
        <v>2.0</v>
      </c>
      <c r="D5272" t="str">
        <f>VLOOKUP(B5272,ERA_MOTIF_TYPES.csv!$A$1:$C$119,2,1)</f>
        <v>Single Ring + cup</v>
      </c>
      <c r="E5272" t="str">
        <f>VLOOKUP(A5272,Panels!$A$1:$E$2104,5,0)</f>
        <v>Backstone Beck</v>
      </c>
    </row>
    <row r="5273">
      <c r="A5273" s="3">
        <v>2560.0</v>
      </c>
      <c r="B5273" s="3">
        <v>25.0</v>
      </c>
      <c r="C5273" s="3">
        <v>7.0</v>
      </c>
      <c r="D5273" t="str">
        <f>VLOOKUP(B5273,ERA_MOTIF_TYPES.csv!$A$1:$C$119,2,1)</f>
        <v>Linear</v>
      </c>
      <c r="E5273" t="str">
        <f>VLOOKUP(A5273,Panels!$A$1:$E$2104,5,0)</f>
        <v>Backstone Beck</v>
      </c>
    </row>
    <row r="5274">
      <c r="A5274" s="3">
        <v>2560.0</v>
      </c>
      <c r="B5274" s="3">
        <v>46.0</v>
      </c>
      <c r="C5274" s="3">
        <v>1.0</v>
      </c>
      <c r="D5274" t="str">
        <f>VLOOKUP(B5274,ERA_MOTIF_TYPES.csv!$A$1:$C$119,2,1)</f>
        <v>Groove and cups</v>
      </c>
      <c r="E5274" t="str">
        <f>VLOOKUP(A5274,Panels!$A$1:$E$2104,5,0)</f>
        <v>Backstone Beck</v>
      </c>
    </row>
    <row r="5275">
      <c r="A5275" s="3">
        <v>2561.0</v>
      </c>
      <c r="B5275" s="3">
        <v>1.0</v>
      </c>
      <c r="C5275" s="3">
        <v>36.0</v>
      </c>
      <c r="D5275" t="str">
        <f>VLOOKUP(B5275,ERA_MOTIF_TYPES.csv!$A$1:$C$119,2,1)</f>
        <v>Cups Single</v>
      </c>
      <c r="E5275" t="str">
        <f>VLOOKUP(A5275,Panels!$A$1:$E$2104,5,0)</f>
        <v>Backstone Beck</v>
      </c>
    </row>
    <row r="5276">
      <c r="A5276" s="3">
        <v>2561.0</v>
      </c>
      <c r="B5276" s="3">
        <v>5.0</v>
      </c>
      <c r="C5276" s="3">
        <v>1.0</v>
      </c>
      <c r="D5276" t="str">
        <f>VLOOKUP(B5276,ERA_MOTIF_TYPES.csv!$A$1:$C$119,2,1)</f>
        <v>Rosette</v>
      </c>
      <c r="E5276" t="str">
        <f>VLOOKUP(A5276,Panels!$A$1:$E$2104,5,0)</f>
        <v>Backstone Beck</v>
      </c>
    </row>
    <row r="5277">
      <c r="A5277" s="3">
        <v>2561.0</v>
      </c>
      <c r="B5277" s="3">
        <v>16.0</v>
      </c>
      <c r="C5277" s="3">
        <v>2.0</v>
      </c>
      <c r="D5277" t="str">
        <f>VLOOKUP(B5277,ERA_MOTIF_TYPES.csv!$A$1:$C$119,2,1)</f>
        <v>Single Arc + cup</v>
      </c>
      <c r="E5277" t="str">
        <f>VLOOKUP(A5277,Panels!$A$1:$E$2104,5,0)</f>
        <v>Backstone Beck</v>
      </c>
    </row>
    <row r="5278">
      <c r="A5278" s="3">
        <v>2561.0</v>
      </c>
      <c r="B5278" s="3">
        <v>25.0</v>
      </c>
      <c r="C5278" s="3">
        <v>3.0</v>
      </c>
      <c r="D5278" t="str">
        <f>VLOOKUP(B5278,ERA_MOTIF_TYPES.csv!$A$1:$C$119,2,1)</f>
        <v>Linear</v>
      </c>
      <c r="E5278" t="str">
        <f>VLOOKUP(A5278,Panels!$A$1:$E$2104,5,0)</f>
        <v>Backstone Beck</v>
      </c>
    </row>
    <row r="5279">
      <c r="A5279" s="3">
        <v>2561.0</v>
      </c>
      <c r="B5279" s="3">
        <v>27.0</v>
      </c>
      <c r="C5279" s="3">
        <v>3.0</v>
      </c>
      <c r="D5279" t="str">
        <f>VLOOKUP(B5279,ERA_MOTIF_TYPES.csv!$A$1:$C$119,2,1)</f>
        <v>Serpentine</v>
      </c>
      <c r="E5279" t="str">
        <f>VLOOKUP(A5279,Panels!$A$1:$E$2104,5,0)</f>
        <v>Backstone Beck</v>
      </c>
    </row>
    <row r="5280">
      <c r="A5280" s="3">
        <v>2561.0</v>
      </c>
      <c r="B5280" s="3">
        <v>36.0</v>
      </c>
      <c r="C5280" s="3">
        <v>1.0</v>
      </c>
      <c r="D5280" t="str">
        <f>VLOOKUP(B5280,ERA_MOTIF_TYPES.csv!$A$1:$C$119,2,1)</f>
        <v>Cup Groove and arc</v>
      </c>
      <c r="E5280" t="str">
        <f>VLOOKUP(A5280,Panels!$A$1:$E$2104,5,0)</f>
        <v>Backstone Beck</v>
      </c>
    </row>
    <row r="5281">
      <c r="A5281" s="3">
        <v>2563.0</v>
      </c>
      <c r="B5281" s="3">
        <v>1.0</v>
      </c>
      <c r="C5281" s="3">
        <v>11.0</v>
      </c>
      <c r="D5281" t="str">
        <f>VLOOKUP(B5281,ERA_MOTIF_TYPES.csv!$A$1:$C$119,2,1)</f>
        <v>Cups Single</v>
      </c>
      <c r="E5281" t="str">
        <f>VLOOKUP(A5281,Panels!$A$1:$E$2104,5,0)</f>
        <v>Backstone Beck</v>
      </c>
    </row>
    <row r="5282">
      <c r="A5282" s="3">
        <v>2563.0</v>
      </c>
      <c r="B5282" s="3">
        <v>25.0</v>
      </c>
      <c r="C5282" s="3">
        <v>6.0</v>
      </c>
      <c r="D5282" t="str">
        <f>VLOOKUP(B5282,ERA_MOTIF_TYPES.csv!$A$1:$C$119,2,1)</f>
        <v>Linear</v>
      </c>
      <c r="E5282" t="str">
        <f>VLOOKUP(A5282,Panels!$A$1:$E$2104,5,0)</f>
        <v>Backstone Beck</v>
      </c>
    </row>
    <row r="5283">
      <c r="A5283" s="3">
        <v>2564.0</v>
      </c>
      <c r="B5283" s="3">
        <v>1.0</v>
      </c>
      <c r="C5283" s="3">
        <v>3.0</v>
      </c>
      <c r="D5283" t="str">
        <f>VLOOKUP(B5283,ERA_MOTIF_TYPES.csv!$A$1:$C$119,2,1)</f>
        <v>Cups Single</v>
      </c>
      <c r="E5283" t="str">
        <f>VLOOKUP(A5283,Panels!$A$1:$E$2104,5,0)</f>
        <v>Backstone Beck</v>
      </c>
    </row>
    <row r="5284">
      <c r="A5284" s="3">
        <v>2564.0</v>
      </c>
      <c r="B5284" s="3">
        <v>2.0</v>
      </c>
      <c r="C5284" s="3">
        <v>1.0</v>
      </c>
      <c r="D5284" t="str">
        <f>VLOOKUP(B5284,ERA_MOTIF_TYPES.csv!$A$1:$C$119,2,1)</f>
        <v>Random Cluster</v>
      </c>
      <c r="E5284" t="str">
        <f>VLOOKUP(A5284,Panels!$A$1:$E$2104,5,0)</f>
        <v>Backstone Beck</v>
      </c>
    </row>
    <row r="5285">
      <c r="A5285" s="3">
        <v>2564.0</v>
      </c>
      <c r="B5285" s="3">
        <v>6.0</v>
      </c>
      <c r="C5285" s="3">
        <v>2.0</v>
      </c>
      <c r="D5285" t="str">
        <f>VLOOKUP(B5285,ERA_MOTIF_TYPES.csv!$A$1:$C$119,2,1)</f>
        <v>curved or straight line</v>
      </c>
      <c r="E5285" t="str">
        <f>VLOOKUP(A5285,Panels!$A$1:$E$2104,5,0)</f>
        <v>Backstone Beck</v>
      </c>
    </row>
    <row r="5286">
      <c r="A5286" s="3">
        <v>2564.0</v>
      </c>
      <c r="B5286" s="3">
        <v>25.0</v>
      </c>
      <c r="C5286" s="3">
        <v>2.0</v>
      </c>
      <c r="D5286" t="str">
        <f>VLOOKUP(B5286,ERA_MOTIF_TYPES.csv!$A$1:$C$119,2,1)</f>
        <v>Linear</v>
      </c>
      <c r="E5286" t="str">
        <f>VLOOKUP(A5286,Panels!$A$1:$E$2104,5,0)</f>
        <v>Backstone Beck</v>
      </c>
    </row>
    <row r="5287">
      <c r="A5287" s="3">
        <v>2564.0</v>
      </c>
      <c r="B5287" s="3">
        <v>26.0</v>
      </c>
      <c r="C5287" s="3">
        <v>4.0</v>
      </c>
      <c r="D5287" t="str">
        <f>VLOOKUP(B5287,ERA_MOTIF_TYPES.csv!$A$1:$C$119,2,1)</f>
        <v>Parallel</v>
      </c>
      <c r="E5287" t="str">
        <f>VLOOKUP(A5287,Panels!$A$1:$E$2104,5,0)</f>
        <v>Backstone Beck</v>
      </c>
    </row>
    <row r="5288">
      <c r="A5288" s="3">
        <v>2565.0</v>
      </c>
      <c r="B5288" s="3">
        <v>1.0</v>
      </c>
      <c r="C5288" s="3">
        <v>1.0</v>
      </c>
      <c r="D5288" t="str">
        <f>VLOOKUP(B5288,ERA_MOTIF_TYPES.csv!$A$1:$C$119,2,1)</f>
        <v>Cups Single</v>
      </c>
      <c r="E5288" t="str">
        <f>VLOOKUP(A5288,Panels!$A$1:$E$2104,5,0)</f>
        <v>Hawksworth Spring</v>
      </c>
    </row>
    <row r="5289">
      <c r="A5289" s="3">
        <v>2565.0</v>
      </c>
      <c r="B5289" s="3">
        <v>6.0</v>
      </c>
      <c r="C5289" s="3">
        <v>1.0</v>
      </c>
      <c r="D5289" t="str">
        <f>VLOOKUP(B5289,ERA_MOTIF_TYPES.csv!$A$1:$C$119,2,1)</f>
        <v>curved or straight line</v>
      </c>
      <c r="E5289" t="str">
        <f>VLOOKUP(A5289,Panels!$A$1:$E$2104,5,0)</f>
        <v>Hawksworth Spring</v>
      </c>
    </row>
    <row r="5290">
      <c r="A5290" s="3">
        <v>2565.0</v>
      </c>
      <c r="B5290" s="3">
        <v>16.0</v>
      </c>
      <c r="C5290" s="3">
        <v>1.0</v>
      </c>
      <c r="D5290" t="str">
        <f>VLOOKUP(B5290,ERA_MOTIF_TYPES.csv!$A$1:$C$119,2,1)</f>
        <v>Single Arc + cup</v>
      </c>
      <c r="E5290" t="str">
        <f>VLOOKUP(A5290,Panels!$A$1:$E$2104,5,0)</f>
        <v>Hawksworth Spring</v>
      </c>
    </row>
    <row r="5291">
      <c r="A5291" s="3">
        <v>2566.0</v>
      </c>
      <c r="B5291" s="3">
        <v>1.0</v>
      </c>
      <c r="C5291" s="3">
        <v>2.0</v>
      </c>
      <c r="D5291" t="str">
        <f>VLOOKUP(B5291,ERA_MOTIF_TYPES.csv!$A$1:$C$119,2,1)</f>
        <v>Cups Single</v>
      </c>
      <c r="E5291" t="str">
        <f>VLOOKUP(A5291,Panels!$A$1:$E$2104,5,0)</f>
        <v>Cranshaw Thorn Hill</v>
      </c>
    </row>
    <row r="5292">
      <c r="A5292" s="3">
        <v>2566.0</v>
      </c>
      <c r="B5292" s="3">
        <v>16.0</v>
      </c>
      <c r="C5292" s="3">
        <v>1.0</v>
      </c>
      <c r="D5292" t="str">
        <f>VLOOKUP(B5292,ERA_MOTIF_TYPES.csv!$A$1:$C$119,2,1)</f>
        <v>Single Arc + cup</v>
      </c>
      <c r="E5292" t="str">
        <f>VLOOKUP(A5292,Panels!$A$1:$E$2104,5,0)</f>
        <v>Cranshaw Thorn Hill</v>
      </c>
    </row>
    <row r="5293">
      <c r="A5293" s="3">
        <v>2566.0</v>
      </c>
      <c r="B5293" s="3">
        <v>18.0</v>
      </c>
      <c r="C5293" s="3">
        <v>1.0</v>
      </c>
      <c r="D5293" t="str">
        <f>VLOOKUP(B5293,ERA_MOTIF_TYPES.csv!$A$1:$C$119,2,1)</f>
        <v>Multi Arc + cup</v>
      </c>
      <c r="E5293" t="str">
        <f>VLOOKUP(A5293,Panels!$A$1:$E$2104,5,0)</f>
        <v>Cranshaw Thorn Hill</v>
      </c>
    </row>
    <row r="5294">
      <c r="A5294" s="3">
        <v>2568.0</v>
      </c>
      <c r="B5294" s="3">
        <v>1.0</v>
      </c>
      <c r="C5294" s="3">
        <v>1.0</v>
      </c>
      <c r="D5294" t="str">
        <f>VLOOKUP(B5294,ERA_MOTIF_TYPES.csv!$A$1:$C$119,2,1)</f>
        <v>Cups Single</v>
      </c>
      <c r="E5294" t="str">
        <f>VLOOKUP(A5294,Panels!$A$1:$E$2104,5,0)</f>
        <v>Cranshaw Thorn Hill</v>
      </c>
    </row>
    <row r="5295">
      <c r="A5295" s="3">
        <v>2569.0</v>
      </c>
      <c r="B5295" s="3">
        <v>16.0</v>
      </c>
      <c r="C5295" s="3">
        <v>1.0</v>
      </c>
      <c r="D5295" t="str">
        <f>VLOOKUP(B5295,ERA_MOTIF_TYPES.csv!$A$1:$C$119,2,1)</f>
        <v>Single Arc + cup</v>
      </c>
      <c r="E5295" t="str">
        <f>VLOOKUP(A5295,Panels!$A$1:$E$2104,5,0)</f>
        <v>Cranshaw Thorn Hill</v>
      </c>
    </row>
    <row r="5296">
      <c r="A5296" s="3">
        <v>2569.0</v>
      </c>
      <c r="B5296" s="3">
        <v>25.0</v>
      </c>
      <c r="C5296" s="3">
        <v>1.0</v>
      </c>
      <c r="D5296" t="str">
        <f>VLOOKUP(B5296,ERA_MOTIF_TYPES.csv!$A$1:$C$119,2,1)</f>
        <v>Linear</v>
      </c>
      <c r="E5296" t="str">
        <f>VLOOKUP(A5296,Panels!$A$1:$E$2104,5,0)</f>
        <v>Cranshaw Thorn Hill</v>
      </c>
    </row>
    <row r="5297">
      <c r="A5297" s="3">
        <v>2570.0</v>
      </c>
      <c r="B5297" s="3">
        <v>1.0</v>
      </c>
      <c r="C5297" s="3">
        <v>12.0</v>
      </c>
      <c r="D5297" t="str">
        <f>VLOOKUP(B5297,ERA_MOTIF_TYPES.csv!$A$1:$C$119,2,1)</f>
        <v>Cups Single</v>
      </c>
      <c r="E5297" t="str">
        <f>VLOOKUP(A5297,Panels!$A$1:$E$2104,5,0)</f>
        <v>Cranshaw Thorn Hill</v>
      </c>
    </row>
    <row r="5298">
      <c r="A5298" s="3">
        <v>2570.0</v>
      </c>
      <c r="B5298" s="3">
        <v>117.0</v>
      </c>
      <c r="C5298" s="3">
        <v>1.0</v>
      </c>
      <c r="D5298" t="str">
        <f>VLOOKUP(B5298,ERA_MOTIF_TYPES.csv!$A$1:$C$119,2,1)</f>
        <v>Dumb-bell</v>
      </c>
      <c r="E5298" t="str">
        <f>VLOOKUP(A5298,Panels!$A$1:$E$2104,5,0)</f>
        <v>Cranshaw Thorn Hill</v>
      </c>
    </row>
    <row r="5299">
      <c r="A5299" s="3">
        <v>2571.0</v>
      </c>
      <c r="B5299" s="3">
        <v>1.0</v>
      </c>
      <c r="C5299" s="3">
        <v>6.0</v>
      </c>
      <c r="D5299" t="str">
        <f>VLOOKUP(B5299,ERA_MOTIF_TYPES.csv!$A$1:$C$119,2,1)</f>
        <v>Cups Single</v>
      </c>
      <c r="E5299" t="str">
        <f>VLOOKUP(A5299,Panels!$A$1:$E$2104,5,0)</f>
        <v>Cranshaw Thorn Hill</v>
      </c>
    </row>
    <row r="5300">
      <c r="A5300" s="3">
        <v>2575.0</v>
      </c>
      <c r="B5300" s="3">
        <v>1.0</v>
      </c>
      <c r="C5300" s="3">
        <v>43.0</v>
      </c>
      <c r="D5300" t="str">
        <f>VLOOKUP(B5300,ERA_MOTIF_TYPES.csv!$A$1:$C$119,2,1)</f>
        <v>Cups Single</v>
      </c>
      <c r="E5300" t="str">
        <f>VLOOKUP(A5300,Panels!$A$1:$E$2104,5,0)</f>
        <v>Pancake Stone</v>
      </c>
    </row>
    <row r="5301">
      <c r="A5301" s="3">
        <v>2575.0</v>
      </c>
      <c r="B5301" s="3">
        <v>32.0</v>
      </c>
      <c r="C5301" s="3">
        <v>6.0</v>
      </c>
      <c r="D5301" t="str">
        <f>VLOOKUP(B5301,ERA_MOTIF_TYPES.csv!$A$1:$C$119,2,1)</f>
        <v>Cup Groove and single ring</v>
      </c>
      <c r="E5301" t="str">
        <f>VLOOKUP(A5301,Panels!$A$1:$E$2104,5,0)</f>
        <v>Pancake Stone</v>
      </c>
    </row>
    <row r="5302">
      <c r="A5302" s="3">
        <v>2575.0</v>
      </c>
      <c r="B5302" s="3">
        <v>36.0</v>
      </c>
      <c r="C5302" s="3">
        <v>5.0</v>
      </c>
      <c r="D5302" t="str">
        <f>VLOOKUP(B5302,ERA_MOTIF_TYPES.csv!$A$1:$C$119,2,1)</f>
        <v>Cup Groove and arc</v>
      </c>
      <c r="E5302" t="str">
        <f>VLOOKUP(A5302,Panels!$A$1:$E$2104,5,0)</f>
        <v>Pancake Stone</v>
      </c>
    </row>
    <row r="5303">
      <c r="A5303" s="3">
        <v>2576.0</v>
      </c>
      <c r="B5303" s="3">
        <v>1.0</v>
      </c>
      <c r="C5303" s="3">
        <v>7.0</v>
      </c>
      <c r="D5303" t="str">
        <f>VLOOKUP(B5303,ERA_MOTIF_TYPES.csv!$A$1:$C$119,2,1)</f>
        <v>Cups Single</v>
      </c>
      <c r="E5303" t="str">
        <f>VLOOKUP(A5303,Panels!$A$1:$E$2104,5,0)</f>
        <v>Pancake Ridge</v>
      </c>
    </row>
    <row r="5304">
      <c r="A5304" s="3">
        <v>2577.0</v>
      </c>
      <c r="B5304" s="3">
        <v>1.0</v>
      </c>
      <c r="C5304" s="3">
        <v>6.0</v>
      </c>
      <c r="D5304" t="str">
        <f>VLOOKUP(B5304,ERA_MOTIF_TYPES.csv!$A$1:$C$119,2,1)</f>
        <v>Cups Single</v>
      </c>
      <c r="E5304" t="str">
        <f>VLOOKUP(A5304,Panels!$A$1:$E$2104,5,0)</f>
        <v>Pancake Ridge</v>
      </c>
    </row>
    <row r="5305">
      <c r="A5305" s="3">
        <v>2577.0</v>
      </c>
      <c r="B5305" s="3">
        <v>25.0</v>
      </c>
      <c r="C5305" s="3">
        <v>2.0</v>
      </c>
      <c r="D5305" t="str">
        <f>VLOOKUP(B5305,ERA_MOTIF_TYPES.csv!$A$1:$C$119,2,1)</f>
        <v>Linear</v>
      </c>
      <c r="E5305" t="str">
        <f>VLOOKUP(A5305,Panels!$A$1:$E$2104,5,0)</f>
        <v>Pancake Ridge</v>
      </c>
    </row>
    <row r="5306">
      <c r="A5306" s="3">
        <v>2578.0</v>
      </c>
      <c r="B5306" s="3">
        <v>1.0</v>
      </c>
      <c r="C5306" s="3">
        <v>9.0</v>
      </c>
      <c r="D5306" t="str">
        <f>VLOOKUP(B5306,ERA_MOTIF_TYPES.csv!$A$1:$C$119,2,1)</f>
        <v>Cups Single</v>
      </c>
      <c r="E5306" t="str">
        <f>VLOOKUP(A5306,Panels!$A$1:$E$2104,5,0)</f>
        <v>Pancake Ridge</v>
      </c>
    </row>
    <row r="5307">
      <c r="A5307" s="3">
        <v>2579.0</v>
      </c>
      <c r="B5307" s="3">
        <v>1.0</v>
      </c>
      <c r="C5307" s="3">
        <v>16.0</v>
      </c>
      <c r="D5307" t="str">
        <f>VLOOKUP(B5307,ERA_MOTIF_TYPES.csv!$A$1:$C$119,2,1)</f>
        <v>Cups Single</v>
      </c>
      <c r="E5307" t="str">
        <f>VLOOKUP(A5307,Panels!$A$1:$E$2104,5,0)</f>
        <v>Pancake Ridge</v>
      </c>
    </row>
    <row r="5308">
      <c r="A5308" s="3">
        <v>2579.0</v>
      </c>
      <c r="B5308" s="3">
        <v>7.0</v>
      </c>
      <c r="C5308" s="3">
        <v>1.0</v>
      </c>
      <c r="D5308" t="str">
        <f>VLOOKUP(B5308,ERA_MOTIF_TYPES.csv!$A$1:$C$119,2,1)</f>
        <v>Single Ring</v>
      </c>
      <c r="E5308" t="str">
        <f>VLOOKUP(A5308,Panels!$A$1:$E$2104,5,0)</f>
        <v>Pancake Ridge</v>
      </c>
    </row>
    <row r="5309">
      <c r="A5309" s="3">
        <v>2580.0</v>
      </c>
      <c r="B5309" s="3">
        <v>1.0</v>
      </c>
      <c r="C5309" s="3">
        <v>1.0</v>
      </c>
      <c r="D5309" t="str">
        <f>VLOOKUP(B5309,ERA_MOTIF_TYPES.csv!$A$1:$C$119,2,1)</f>
        <v>Cups Single</v>
      </c>
      <c r="E5309" t="str">
        <f>VLOOKUP(A5309,Panels!$A$1:$E$2104,5,0)</f>
        <v>Pancake Ridge</v>
      </c>
    </row>
    <row r="5310">
      <c r="A5310" s="3">
        <v>2580.0</v>
      </c>
      <c r="B5310" s="3">
        <v>2.0</v>
      </c>
      <c r="C5310" s="3">
        <v>1.0</v>
      </c>
      <c r="D5310" t="str">
        <f>VLOOKUP(B5310,ERA_MOTIF_TYPES.csv!$A$1:$C$119,2,1)</f>
        <v>Random Cluster</v>
      </c>
      <c r="E5310" t="str">
        <f>VLOOKUP(A5310,Panels!$A$1:$E$2104,5,0)</f>
        <v>Pancake Ridge</v>
      </c>
    </row>
    <row r="5311">
      <c r="A5311" s="3">
        <v>2581.0</v>
      </c>
      <c r="B5311" s="3">
        <v>1.0</v>
      </c>
      <c r="C5311" s="3">
        <v>1.0</v>
      </c>
      <c r="D5311" t="str">
        <f>VLOOKUP(B5311,ERA_MOTIF_TYPES.csv!$A$1:$C$119,2,1)</f>
        <v>Cups Single</v>
      </c>
      <c r="E5311" t="str">
        <f>VLOOKUP(A5311,Panels!$A$1:$E$2104,5,0)</f>
        <v>Pancake Ridge</v>
      </c>
    </row>
    <row r="5312">
      <c r="A5312" s="3">
        <v>2582.0</v>
      </c>
      <c r="B5312" s="3">
        <v>1.0</v>
      </c>
      <c r="C5312" s="3">
        <v>62.0</v>
      </c>
      <c r="D5312" t="str">
        <f>VLOOKUP(B5312,ERA_MOTIF_TYPES.csv!$A$1:$C$119,2,1)</f>
        <v>Cups Single</v>
      </c>
      <c r="E5312" t="str">
        <f>VLOOKUP(A5312,Panels!$A$1:$E$2104,5,0)</f>
        <v>Pancake Ridge</v>
      </c>
    </row>
    <row r="5313">
      <c r="A5313" s="3">
        <v>2582.0</v>
      </c>
      <c r="B5313" s="3">
        <v>13.0</v>
      </c>
      <c r="C5313" s="3">
        <v>4.0</v>
      </c>
      <c r="D5313" t="str">
        <f>VLOOKUP(B5313,ERA_MOTIF_TYPES.csv!$A$1:$C$119,2,1)</f>
        <v>Single Ring + cup</v>
      </c>
      <c r="E5313" t="str">
        <f>VLOOKUP(A5313,Panels!$A$1:$E$2104,5,0)</f>
        <v>Pancake Ridge</v>
      </c>
    </row>
    <row r="5314">
      <c r="A5314" s="3">
        <v>2582.0</v>
      </c>
      <c r="B5314" s="3">
        <v>16.0</v>
      </c>
      <c r="C5314" s="3">
        <v>2.0</v>
      </c>
      <c r="D5314" t="str">
        <f>VLOOKUP(B5314,ERA_MOTIF_TYPES.csv!$A$1:$C$119,2,1)</f>
        <v>Single Arc + cup</v>
      </c>
      <c r="E5314" t="str">
        <f>VLOOKUP(A5314,Panels!$A$1:$E$2104,5,0)</f>
        <v>Pancake Ridge</v>
      </c>
    </row>
    <row r="5315">
      <c r="A5315" s="3">
        <v>2582.0</v>
      </c>
      <c r="B5315" s="3">
        <v>32.0</v>
      </c>
      <c r="C5315" s="3">
        <v>3.0</v>
      </c>
      <c r="D5315" t="str">
        <f>VLOOKUP(B5315,ERA_MOTIF_TYPES.csv!$A$1:$C$119,2,1)</f>
        <v>Cup Groove and single ring</v>
      </c>
      <c r="E5315" t="str">
        <f>VLOOKUP(A5315,Panels!$A$1:$E$2104,5,0)</f>
        <v>Pancake Ridge</v>
      </c>
    </row>
    <row r="5316">
      <c r="A5316" s="3">
        <v>2583.0</v>
      </c>
      <c r="B5316" s="3">
        <v>1.0</v>
      </c>
      <c r="C5316" s="3">
        <v>1.0</v>
      </c>
      <c r="D5316" t="str">
        <f>VLOOKUP(B5316,ERA_MOTIF_TYPES.csv!$A$1:$C$119,2,1)</f>
        <v>Cups Single</v>
      </c>
      <c r="E5316" t="str">
        <f>VLOOKUP(A5316,Panels!$A$1:$E$2104,5,0)</f>
        <v>Pancake Ridge</v>
      </c>
    </row>
    <row r="5317">
      <c r="A5317" s="3">
        <v>2584.0</v>
      </c>
      <c r="B5317" s="3">
        <v>1.0</v>
      </c>
      <c r="C5317" s="3">
        <v>3.0</v>
      </c>
      <c r="D5317" t="str">
        <f>VLOOKUP(B5317,ERA_MOTIF_TYPES.csv!$A$1:$C$119,2,1)</f>
        <v>Cups Single</v>
      </c>
      <c r="E5317" t="str">
        <f>VLOOKUP(A5317,Panels!$A$1:$E$2104,5,0)</f>
        <v>Pancake Ridge</v>
      </c>
    </row>
    <row r="5318">
      <c r="A5318" s="3">
        <v>2585.0</v>
      </c>
      <c r="B5318" s="3">
        <v>1.0</v>
      </c>
      <c r="C5318" s="3">
        <v>4.0</v>
      </c>
      <c r="D5318" t="str">
        <f>VLOOKUP(B5318,ERA_MOTIF_TYPES.csv!$A$1:$C$119,2,1)</f>
        <v>Cups Single</v>
      </c>
      <c r="E5318" t="str">
        <f>VLOOKUP(A5318,Panels!$A$1:$E$2104,5,0)</f>
        <v>Pancake Ridge</v>
      </c>
    </row>
    <row r="5319">
      <c r="A5319" s="3">
        <v>2586.0</v>
      </c>
      <c r="B5319" s="3">
        <v>1.0</v>
      </c>
      <c r="C5319" s="3">
        <v>3.0</v>
      </c>
      <c r="D5319" t="str">
        <f>VLOOKUP(B5319,ERA_MOTIF_TYPES.csv!$A$1:$C$119,2,1)</f>
        <v>Cups Single</v>
      </c>
      <c r="E5319" t="str">
        <f>VLOOKUP(A5319,Panels!$A$1:$E$2104,5,0)</f>
        <v>Pancake Ridge</v>
      </c>
    </row>
    <row r="5320">
      <c r="A5320" s="3">
        <v>2586.0</v>
      </c>
      <c r="B5320" s="3">
        <v>27.0</v>
      </c>
      <c r="C5320" s="3">
        <v>1.0</v>
      </c>
      <c r="D5320" t="str">
        <f>VLOOKUP(B5320,ERA_MOTIF_TYPES.csv!$A$1:$C$119,2,1)</f>
        <v>Serpentine</v>
      </c>
      <c r="E5320" t="str">
        <f>VLOOKUP(A5320,Panels!$A$1:$E$2104,5,0)</f>
        <v>Pancake Ridge</v>
      </c>
    </row>
    <row r="5321">
      <c r="A5321" s="3">
        <v>2586.0</v>
      </c>
      <c r="B5321" s="3">
        <v>32.0</v>
      </c>
      <c r="C5321" s="3">
        <v>10.0</v>
      </c>
      <c r="D5321" t="str">
        <f>VLOOKUP(B5321,ERA_MOTIF_TYPES.csv!$A$1:$C$119,2,1)</f>
        <v>Cup Groove and single ring</v>
      </c>
      <c r="E5321" t="str">
        <f>VLOOKUP(A5321,Panels!$A$1:$E$2104,5,0)</f>
        <v>Pancake Ridge</v>
      </c>
    </row>
    <row r="5322">
      <c r="A5322" s="3">
        <v>2588.0</v>
      </c>
      <c r="B5322" s="3">
        <v>1.0</v>
      </c>
      <c r="C5322" s="3">
        <v>1.0</v>
      </c>
      <c r="D5322" t="str">
        <f>VLOOKUP(B5322,ERA_MOTIF_TYPES.csv!$A$1:$C$119,2,1)</f>
        <v>Cups Single</v>
      </c>
      <c r="E5322" t="str">
        <f>VLOOKUP(A5322,Panels!$A$1:$E$2104,5,0)</f>
        <v>Lanshaw Delves</v>
      </c>
    </row>
    <row r="5323">
      <c r="A5323" s="3">
        <v>2589.0</v>
      </c>
      <c r="B5323" s="3">
        <v>1.0</v>
      </c>
      <c r="C5323" s="3">
        <v>2.0</v>
      </c>
      <c r="D5323" t="str">
        <f>VLOOKUP(B5323,ERA_MOTIF_TYPES.csv!$A$1:$C$119,2,1)</f>
        <v>Cups Single</v>
      </c>
      <c r="E5323" t="str">
        <f>VLOOKUP(A5323,Panels!$A$1:$E$2104,5,0)</f>
        <v>Lanshaw Delves</v>
      </c>
    </row>
    <row r="5324">
      <c r="A5324" s="3">
        <v>2590.0</v>
      </c>
      <c r="B5324" s="3">
        <v>1.0</v>
      </c>
      <c r="C5324" s="3">
        <v>1.0</v>
      </c>
      <c r="D5324" t="str">
        <f>VLOOKUP(B5324,ERA_MOTIF_TYPES.csv!$A$1:$C$119,2,1)</f>
        <v>Cups Single</v>
      </c>
      <c r="E5324" t="str">
        <f>VLOOKUP(A5324,Panels!$A$1:$E$2104,5,0)</f>
        <v>Lanshaw Delves</v>
      </c>
    </row>
    <row r="5325">
      <c r="A5325" s="3">
        <v>2590.0</v>
      </c>
      <c r="B5325" s="3">
        <v>3.0</v>
      </c>
      <c r="C5325" s="3">
        <v>1.0</v>
      </c>
      <c r="D5325" t="str">
        <f>VLOOKUP(B5325,ERA_MOTIF_TYPES.csv!$A$1:$C$119,2,1)</f>
        <v>Parallel Domino</v>
      </c>
      <c r="E5325" t="str">
        <f>VLOOKUP(A5325,Panels!$A$1:$E$2104,5,0)</f>
        <v>Lanshaw Delves</v>
      </c>
    </row>
    <row r="5326">
      <c r="A5326" s="3">
        <v>2591.0</v>
      </c>
      <c r="B5326" s="3">
        <v>1.0</v>
      </c>
      <c r="C5326" s="3">
        <v>3.0</v>
      </c>
      <c r="D5326" t="str">
        <f>VLOOKUP(B5326,ERA_MOTIF_TYPES.csv!$A$1:$C$119,2,1)</f>
        <v>Cups Single</v>
      </c>
      <c r="E5326" t="str">
        <f>VLOOKUP(A5326,Panels!$A$1:$E$2104,5,0)</f>
        <v>Lanshaw Delves</v>
      </c>
    </row>
    <row r="5327">
      <c r="A5327" s="3">
        <v>2591.0</v>
      </c>
      <c r="B5327" s="3">
        <v>27.0</v>
      </c>
      <c r="C5327" s="3">
        <v>1.0</v>
      </c>
      <c r="D5327" t="str">
        <f>VLOOKUP(B5327,ERA_MOTIF_TYPES.csv!$A$1:$C$119,2,1)</f>
        <v>Serpentine</v>
      </c>
      <c r="E5327" t="str">
        <f>VLOOKUP(A5327,Panels!$A$1:$E$2104,5,0)</f>
        <v>Lanshaw Delves</v>
      </c>
    </row>
    <row r="5328">
      <c r="A5328" s="3">
        <v>2592.0</v>
      </c>
      <c r="B5328" s="3">
        <v>1.0</v>
      </c>
      <c r="C5328" s="3">
        <v>1.0</v>
      </c>
      <c r="D5328" t="str">
        <f>VLOOKUP(B5328,ERA_MOTIF_TYPES.csv!$A$1:$C$119,2,1)</f>
        <v>Cups Single</v>
      </c>
      <c r="E5328" t="str">
        <f>VLOOKUP(A5328,Panels!$A$1:$E$2104,5,0)</f>
        <v>Lanshaw Delves</v>
      </c>
    </row>
    <row r="5329">
      <c r="A5329" s="3">
        <v>2593.0</v>
      </c>
      <c r="B5329" s="3">
        <v>1.0</v>
      </c>
      <c r="C5329" s="3">
        <v>2.0</v>
      </c>
      <c r="D5329" t="str">
        <f>VLOOKUP(B5329,ERA_MOTIF_TYPES.csv!$A$1:$C$119,2,1)</f>
        <v>Cups Single</v>
      </c>
      <c r="E5329" t="str">
        <f>VLOOKUP(A5329,Panels!$A$1:$E$2104,5,0)</f>
        <v>Lanshaw Delves</v>
      </c>
    </row>
    <row r="5330">
      <c r="A5330" s="3">
        <v>2594.0</v>
      </c>
      <c r="B5330" s="3">
        <v>1.0</v>
      </c>
      <c r="C5330" s="3">
        <v>1.0</v>
      </c>
      <c r="D5330" t="str">
        <f>VLOOKUP(B5330,ERA_MOTIF_TYPES.csv!$A$1:$C$119,2,1)</f>
        <v>Cups Single</v>
      </c>
      <c r="E5330" t="str">
        <f>VLOOKUP(A5330,Panels!$A$1:$E$2104,5,0)</f>
        <v>Idol Stone</v>
      </c>
    </row>
    <row r="5331">
      <c r="A5331" s="3">
        <v>2594.0</v>
      </c>
      <c r="B5331" s="3">
        <v>3.0</v>
      </c>
      <c r="C5331" s="3">
        <v>1.0</v>
      </c>
      <c r="D5331" t="str">
        <f>VLOOKUP(B5331,ERA_MOTIF_TYPES.csv!$A$1:$C$119,2,1)</f>
        <v>Parallel Domino</v>
      </c>
      <c r="E5331" t="str">
        <f>VLOOKUP(A5331,Panels!$A$1:$E$2104,5,0)</f>
        <v>Idol Stone</v>
      </c>
    </row>
    <row r="5332">
      <c r="A5332" s="3">
        <v>2594.0</v>
      </c>
      <c r="B5332" s="3">
        <v>6.0</v>
      </c>
      <c r="C5332" s="3">
        <v>1.0</v>
      </c>
      <c r="D5332" t="str">
        <f>VLOOKUP(B5332,ERA_MOTIF_TYPES.csv!$A$1:$C$119,2,1)</f>
        <v>curved or straight line</v>
      </c>
      <c r="E5332" t="str">
        <f>VLOOKUP(A5332,Panels!$A$1:$E$2104,5,0)</f>
        <v>Idol Stone</v>
      </c>
    </row>
    <row r="5333">
      <c r="A5333" s="3">
        <v>2594.0</v>
      </c>
      <c r="B5333" s="3">
        <v>27.0</v>
      </c>
      <c r="C5333" s="3">
        <v>1.0</v>
      </c>
      <c r="D5333" t="str">
        <f>VLOOKUP(B5333,ERA_MOTIF_TYPES.csv!$A$1:$C$119,2,1)</f>
        <v>Serpentine</v>
      </c>
      <c r="E5333" t="str">
        <f>VLOOKUP(A5333,Panels!$A$1:$E$2104,5,0)</f>
        <v>Idol Stone</v>
      </c>
    </row>
    <row r="5334">
      <c r="A5334" s="3">
        <v>2594.0</v>
      </c>
      <c r="B5334" s="3">
        <v>46.0</v>
      </c>
      <c r="C5334" s="3">
        <v>1.0</v>
      </c>
      <c r="D5334" t="str">
        <f>VLOOKUP(B5334,ERA_MOTIF_TYPES.csv!$A$1:$C$119,2,1)</f>
        <v>Groove and cups</v>
      </c>
      <c r="E5334" t="str">
        <f>VLOOKUP(A5334,Panels!$A$1:$E$2104,5,0)</f>
        <v>Idol Stone</v>
      </c>
    </row>
    <row r="5335">
      <c r="A5335" s="3">
        <v>2594.0</v>
      </c>
      <c r="B5335" s="3">
        <v>48.0</v>
      </c>
      <c r="C5335" s="1"/>
      <c r="D5335" t="str">
        <f>VLOOKUP(B5335,ERA_MOTIF_TYPES.csv!$A$1:$C$119,2,1)</f>
        <v>Square Groove and cups</v>
      </c>
      <c r="E5335" t="str">
        <f>VLOOKUP(A5335,Panels!$A$1:$E$2104,5,0)</f>
        <v>Idol Stone</v>
      </c>
    </row>
    <row r="5336">
      <c r="A5336" s="3">
        <v>2595.0</v>
      </c>
      <c r="B5336" s="3">
        <v>13.0</v>
      </c>
      <c r="C5336" s="3">
        <v>1.0</v>
      </c>
      <c r="D5336" t="str">
        <f>VLOOKUP(B5336,ERA_MOTIF_TYPES.csv!$A$1:$C$119,2,1)</f>
        <v>Single Ring + cup</v>
      </c>
      <c r="E5336" t="str">
        <f>VLOOKUP(A5336,Panels!$A$1:$E$2104,5,0)</f>
        <v>Ilkley Crags</v>
      </c>
    </row>
    <row r="5337">
      <c r="A5337" s="3">
        <v>2596.0</v>
      </c>
      <c r="B5337" s="3">
        <v>2.0</v>
      </c>
      <c r="C5337" s="3">
        <v>2.0</v>
      </c>
      <c r="D5337" t="str">
        <f>VLOOKUP(B5337,ERA_MOTIF_TYPES.csv!$A$1:$C$119,2,1)</f>
        <v>Random Cluster</v>
      </c>
      <c r="E5337" t="str">
        <f>VLOOKUP(A5337,Panels!$A$1:$E$2104,5,0)</f>
        <v>Hangingstones</v>
      </c>
    </row>
    <row r="5338">
      <c r="A5338" s="3">
        <v>2596.0</v>
      </c>
      <c r="B5338" s="3">
        <v>25.0</v>
      </c>
      <c r="C5338" s="3">
        <v>1.0</v>
      </c>
      <c r="D5338" t="str">
        <f>VLOOKUP(B5338,ERA_MOTIF_TYPES.csv!$A$1:$C$119,2,1)</f>
        <v>Linear</v>
      </c>
      <c r="E5338" t="str">
        <f>VLOOKUP(A5338,Panels!$A$1:$E$2104,5,0)</f>
        <v>Hangingstones</v>
      </c>
    </row>
    <row r="5339">
      <c r="A5339" s="3">
        <v>2597.0</v>
      </c>
      <c r="B5339" s="3">
        <v>1.0</v>
      </c>
      <c r="C5339" s="3">
        <v>8.0</v>
      </c>
      <c r="D5339" t="str">
        <f>VLOOKUP(B5339,ERA_MOTIF_TYPES.csv!$A$1:$C$119,2,1)</f>
        <v>Cups Single</v>
      </c>
      <c r="E5339" t="str">
        <f>VLOOKUP(A5339,Panels!$A$1:$E$2104,5,0)</f>
        <v>Gill Head</v>
      </c>
    </row>
    <row r="5340">
      <c r="A5340" s="3">
        <v>2597.0</v>
      </c>
      <c r="B5340" s="3">
        <v>25.0</v>
      </c>
      <c r="C5340" s="3">
        <v>1.0</v>
      </c>
      <c r="D5340" t="str">
        <f>VLOOKUP(B5340,ERA_MOTIF_TYPES.csv!$A$1:$C$119,2,1)</f>
        <v>Linear</v>
      </c>
      <c r="E5340" t="str">
        <f>VLOOKUP(A5340,Panels!$A$1:$E$2104,5,0)</f>
        <v>Gill Head</v>
      </c>
    </row>
    <row r="5341">
      <c r="A5341" s="3">
        <v>2597.0</v>
      </c>
      <c r="B5341" s="3">
        <v>32.0</v>
      </c>
      <c r="C5341" s="3">
        <v>1.0</v>
      </c>
      <c r="D5341" t="str">
        <f>VLOOKUP(B5341,ERA_MOTIF_TYPES.csv!$A$1:$C$119,2,1)</f>
        <v>Cup Groove and single ring</v>
      </c>
      <c r="E5341" t="str">
        <f>VLOOKUP(A5341,Panels!$A$1:$E$2104,5,0)</f>
        <v>Gill Head</v>
      </c>
    </row>
    <row r="5342">
      <c r="A5342" s="3">
        <v>2598.0</v>
      </c>
      <c r="B5342" s="3">
        <v>1.0</v>
      </c>
      <c r="C5342" s="3">
        <v>1.0</v>
      </c>
      <c r="D5342" t="str">
        <f>VLOOKUP(B5342,ERA_MOTIF_TYPES.csv!$A$1:$C$119,2,1)</f>
        <v>Cups Single</v>
      </c>
      <c r="E5342" t="str">
        <f>VLOOKUP(A5342,Panels!$A$1:$E$2104,5,0)</f>
        <v>Green Crag Slack</v>
      </c>
    </row>
    <row r="5343">
      <c r="A5343" s="3">
        <v>2600.0</v>
      </c>
      <c r="B5343" s="3">
        <v>1.0</v>
      </c>
      <c r="C5343" s="3">
        <v>26.0</v>
      </c>
      <c r="D5343" t="str">
        <f>VLOOKUP(B5343,ERA_MOTIF_TYPES.csv!$A$1:$C$119,2,1)</f>
        <v>Cups Single</v>
      </c>
      <c r="E5343" t="str">
        <f>VLOOKUP(A5343,Panels!$A$1:$E$2104,5,0)</f>
        <v>Green Crag Slack</v>
      </c>
    </row>
    <row r="5344">
      <c r="A5344" s="3">
        <v>2600.0</v>
      </c>
      <c r="B5344" s="3">
        <v>25.0</v>
      </c>
      <c r="C5344" s="3">
        <v>5.0</v>
      </c>
      <c r="D5344" t="str">
        <f>VLOOKUP(B5344,ERA_MOTIF_TYPES.csv!$A$1:$C$119,2,1)</f>
        <v>Linear</v>
      </c>
      <c r="E5344" t="str">
        <f>VLOOKUP(A5344,Panels!$A$1:$E$2104,5,0)</f>
        <v>Green Crag Slack</v>
      </c>
    </row>
    <row r="5345">
      <c r="A5345" s="3">
        <v>2600.0</v>
      </c>
      <c r="B5345" s="3">
        <v>32.0</v>
      </c>
      <c r="C5345" s="3">
        <v>1.0</v>
      </c>
      <c r="D5345" t="str">
        <f>VLOOKUP(B5345,ERA_MOTIF_TYPES.csv!$A$1:$C$119,2,1)</f>
        <v>Cup Groove and single ring</v>
      </c>
      <c r="E5345" t="str">
        <f>VLOOKUP(A5345,Panels!$A$1:$E$2104,5,0)</f>
        <v>Green Crag Slack</v>
      </c>
    </row>
    <row r="5346">
      <c r="A5346" s="3">
        <v>2601.0</v>
      </c>
      <c r="B5346" s="3">
        <v>1.0</v>
      </c>
      <c r="C5346" s="3">
        <v>2.0</v>
      </c>
      <c r="D5346" t="str">
        <f>VLOOKUP(B5346,ERA_MOTIF_TYPES.csv!$A$1:$C$119,2,1)</f>
        <v>Cups Single</v>
      </c>
      <c r="E5346" t="str">
        <f>VLOOKUP(A5346,Panels!$A$1:$E$2104,5,0)</f>
        <v>Green Crag Slack</v>
      </c>
    </row>
    <row r="5347">
      <c r="A5347" s="3">
        <v>2602.0</v>
      </c>
      <c r="B5347" s="3">
        <v>1.0</v>
      </c>
      <c r="C5347" s="3">
        <v>2.0</v>
      </c>
      <c r="D5347" t="str">
        <f>VLOOKUP(B5347,ERA_MOTIF_TYPES.csv!$A$1:$C$119,2,1)</f>
        <v>Cups Single</v>
      </c>
      <c r="E5347" t="str">
        <f>VLOOKUP(A5347,Panels!$A$1:$E$2104,5,0)</f>
        <v>Green Crag Slack</v>
      </c>
    </row>
    <row r="5348">
      <c r="A5348" s="3">
        <v>2603.0</v>
      </c>
      <c r="B5348" s="3">
        <v>1.0</v>
      </c>
      <c r="C5348" s="3">
        <v>1.0</v>
      </c>
      <c r="D5348" t="str">
        <f>VLOOKUP(B5348,ERA_MOTIF_TYPES.csv!$A$1:$C$119,2,1)</f>
        <v>Cups Single</v>
      </c>
      <c r="E5348" t="str">
        <f>VLOOKUP(A5348,Panels!$A$1:$E$2104,5,0)</f>
        <v>Green Crag Slack</v>
      </c>
    </row>
    <row r="5349">
      <c r="A5349" s="3">
        <v>2604.0</v>
      </c>
      <c r="B5349" s="3">
        <v>1.0</v>
      </c>
      <c r="C5349" s="3">
        <v>8.0</v>
      </c>
      <c r="D5349" t="str">
        <f>VLOOKUP(B5349,ERA_MOTIF_TYPES.csv!$A$1:$C$119,2,1)</f>
        <v>Cups Single</v>
      </c>
      <c r="E5349" t="str">
        <f>VLOOKUP(A5349,Panels!$A$1:$E$2104,5,0)</f>
        <v>Green Crag Slack</v>
      </c>
    </row>
    <row r="5350">
      <c r="A5350" s="3">
        <v>2605.0</v>
      </c>
      <c r="B5350" s="3">
        <v>1.0</v>
      </c>
      <c r="C5350" s="3">
        <v>1.0</v>
      </c>
      <c r="D5350" t="str">
        <f>VLOOKUP(B5350,ERA_MOTIF_TYPES.csv!$A$1:$C$119,2,1)</f>
        <v>Cups Single</v>
      </c>
      <c r="E5350" t="str">
        <f>VLOOKUP(A5350,Panels!$A$1:$E$2104,5,0)</f>
        <v>Green Crag Slack</v>
      </c>
    </row>
    <row r="5351">
      <c r="A5351" s="3">
        <v>2606.0</v>
      </c>
      <c r="B5351" s="3">
        <v>1.0</v>
      </c>
      <c r="C5351" s="3">
        <v>15.0</v>
      </c>
      <c r="D5351" t="str">
        <f>VLOOKUP(B5351,ERA_MOTIF_TYPES.csv!$A$1:$C$119,2,1)</f>
        <v>Cups Single</v>
      </c>
      <c r="E5351" t="str">
        <f>VLOOKUP(A5351,Panels!$A$1:$E$2104,5,0)</f>
        <v>Green Crag Slack</v>
      </c>
    </row>
    <row r="5352">
      <c r="A5352" s="3">
        <v>2606.0</v>
      </c>
      <c r="B5352" s="3">
        <v>13.0</v>
      </c>
      <c r="C5352" s="3">
        <v>1.0</v>
      </c>
      <c r="D5352" t="str">
        <f>VLOOKUP(B5352,ERA_MOTIF_TYPES.csv!$A$1:$C$119,2,1)</f>
        <v>Single Ring + cup</v>
      </c>
      <c r="E5352" t="str">
        <f>VLOOKUP(A5352,Panels!$A$1:$E$2104,5,0)</f>
        <v>Green Crag Slack</v>
      </c>
    </row>
    <row r="5353">
      <c r="A5353" s="3">
        <v>2606.0</v>
      </c>
      <c r="B5353" s="3">
        <v>117.0</v>
      </c>
      <c r="C5353" s="3">
        <v>2.0</v>
      </c>
      <c r="D5353" t="str">
        <f>VLOOKUP(B5353,ERA_MOTIF_TYPES.csv!$A$1:$C$119,2,1)</f>
        <v>Dumb-bell</v>
      </c>
      <c r="E5353" t="str">
        <f>VLOOKUP(A5353,Panels!$A$1:$E$2104,5,0)</f>
        <v>Green Crag Slack</v>
      </c>
    </row>
    <row r="5354">
      <c r="A5354" s="3">
        <v>2607.0</v>
      </c>
      <c r="B5354" s="3">
        <v>1.0</v>
      </c>
      <c r="C5354" s="3">
        <v>1.0</v>
      </c>
      <c r="D5354" t="str">
        <f>VLOOKUP(B5354,ERA_MOTIF_TYPES.csv!$A$1:$C$119,2,1)</f>
        <v>Cups Single</v>
      </c>
      <c r="E5354" t="str">
        <f>VLOOKUP(A5354,Panels!$A$1:$E$2104,5,0)</f>
        <v>Green Crag Slack</v>
      </c>
    </row>
    <row r="5355">
      <c r="A5355" s="3">
        <v>2608.0</v>
      </c>
      <c r="B5355" s="3">
        <v>1.0</v>
      </c>
      <c r="C5355" s="3">
        <v>5.0</v>
      </c>
      <c r="D5355" t="str">
        <f>VLOOKUP(B5355,ERA_MOTIF_TYPES.csv!$A$1:$C$119,2,1)</f>
        <v>Cups Single</v>
      </c>
      <c r="E5355" t="str">
        <f>VLOOKUP(A5355,Panels!$A$1:$E$2104,5,0)</f>
        <v>Cranshaw Thorn Hill</v>
      </c>
    </row>
    <row r="5356">
      <c r="A5356" s="3">
        <v>2608.0</v>
      </c>
      <c r="B5356" s="3">
        <v>13.0</v>
      </c>
      <c r="C5356" s="3">
        <v>1.0</v>
      </c>
      <c r="D5356" t="str">
        <f>VLOOKUP(B5356,ERA_MOTIF_TYPES.csv!$A$1:$C$119,2,1)</f>
        <v>Single Ring + cup</v>
      </c>
      <c r="E5356" t="str">
        <f>VLOOKUP(A5356,Panels!$A$1:$E$2104,5,0)</f>
        <v>Cranshaw Thorn Hill</v>
      </c>
    </row>
    <row r="5357">
      <c r="A5357" s="3">
        <v>2608.0</v>
      </c>
      <c r="B5357" s="3">
        <v>16.0</v>
      </c>
      <c r="C5357" s="3">
        <v>2.0</v>
      </c>
      <c r="D5357" t="str">
        <f>VLOOKUP(B5357,ERA_MOTIF_TYPES.csv!$A$1:$C$119,2,1)</f>
        <v>Single Arc + cup</v>
      </c>
      <c r="E5357" t="str">
        <f>VLOOKUP(A5357,Panels!$A$1:$E$2104,5,0)</f>
        <v>Cranshaw Thorn Hill</v>
      </c>
    </row>
    <row r="5358">
      <c r="A5358" s="3">
        <v>2608.0</v>
      </c>
      <c r="B5358" s="3">
        <v>31.0</v>
      </c>
      <c r="C5358" s="3">
        <v>1.0</v>
      </c>
      <c r="D5358" t="str">
        <f>VLOOKUP(B5358,ERA_MOTIF_TYPES.csv!$A$1:$C$119,2,1)</f>
        <v>Cup and Groove</v>
      </c>
      <c r="E5358" t="str">
        <f>VLOOKUP(A5358,Panels!$A$1:$E$2104,5,0)</f>
        <v>Cranshaw Thorn Hill</v>
      </c>
    </row>
    <row r="5359">
      <c r="A5359" s="3">
        <v>2609.0</v>
      </c>
      <c r="B5359" s="3">
        <v>1.0</v>
      </c>
      <c r="C5359" s="3">
        <v>1.0</v>
      </c>
      <c r="D5359" t="str">
        <f>VLOOKUP(B5359,ERA_MOTIF_TYPES.csv!$A$1:$C$119,2,1)</f>
        <v>Cups Single</v>
      </c>
      <c r="E5359" t="str">
        <f>VLOOKUP(A5359,Panels!$A$1:$E$2104,5,0)</f>
        <v>Pancake Ridge</v>
      </c>
    </row>
    <row r="5360">
      <c r="A5360" s="3">
        <v>2610.0</v>
      </c>
      <c r="B5360" s="3">
        <v>1.0</v>
      </c>
      <c r="C5360" s="3">
        <v>17.0</v>
      </c>
      <c r="D5360" t="str">
        <f>VLOOKUP(B5360,ERA_MOTIF_TYPES.csv!$A$1:$C$119,2,1)</f>
        <v>Cups Single</v>
      </c>
      <c r="E5360" t="str">
        <f>VLOOKUP(A5360,Panels!$A$1:$E$2104,5,0)</f>
        <v>Addingham Crag</v>
      </c>
    </row>
    <row r="5361">
      <c r="A5361" s="3">
        <v>2610.0</v>
      </c>
      <c r="B5361" s="3">
        <v>10.0</v>
      </c>
      <c r="C5361" s="3">
        <v>2.0</v>
      </c>
      <c r="D5361" t="str">
        <f>VLOOKUP(B5361,ERA_MOTIF_TYPES.csv!$A$1:$C$119,2,1)</f>
        <v>Single Arc</v>
      </c>
      <c r="E5361" t="str">
        <f>VLOOKUP(A5361,Panels!$A$1:$E$2104,5,0)</f>
        <v>Addingham Crag</v>
      </c>
    </row>
    <row r="5362">
      <c r="A5362" s="3">
        <v>2610.0</v>
      </c>
      <c r="B5362" s="3">
        <v>13.0</v>
      </c>
      <c r="C5362" s="3">
        <v>4.0</v>
      </c>
      <c r="D5362" t="str">
        <f>VLOOKUP(B5362,ERA_MOTIF_TYPES.csv!$A$1:$C$119,2,1)</f>
        <v>Single Ring + cup</v>
      </c>
      <c r="E5362" t="str">
        <f>VLOOKUP(A5362,Panels!$A$1:$E$2104,5,0)</f>
        <v>Addingham Crag</v>
      </c>
    </row>
    <row r="5363">
      <c r="A5363" s="3">
        <v>2610.0</v>
      </c>
      <c r="B5363" s="3">
        <v>16.0</v>
      </c>
      <c r="C5363" s="3">
        <v>3.0</v>
      </c>
      <c r="D5363" t="str">
        <f>VLOOKUP(B5363,ERA_MOTIF_TYPES.csv!$A$1:$C$119,2,1)</f>
        <v>Single Arc + cup</v>
      </c>
      <c r="E5363" t="str">
        <f>VLOOKUP(A5363,Panels!$A$1:$E$2104,5,0)</f>
        <v>Addingham Crag</v>
      </c>
    </row>
    <row r="5364">
      <c r="A5364" s="3">
        <v>2610.0</v>
      </c>
      <c r="B5364" s="3">
        <v>17.0</v>
      </c>
      <c r="C5364" s="3">
        <v>3.0</v>
      </c>
      <c r="D5364" t="str">
        <f>VLOOKUP(B5364,ERA_MOTIF_TYPES.csv!$A$1:$C$119,2,1)</f>
        <v>Single Penannular + cup</v>
      </c>
      <c r="E5364" t="str">
        <f>VLOOKUP(A5364,Panels!$A$1:$E$2104,5,0)</f>
        <v>Addingham Crag</v>
      </c>
    </row>
    <row r="5365">
      <c r="A5365" s="3">
        <v>2610.0</v>
      </c>
      <c r="B5365" s="3">
        <v>31.0</v>
      </c>
      <c r="C5365" s="3">
        <v>4.0</v>
      </c>
      <c r="D5365" t="str">
        <f>VLOOKUP(B5365,ERA_MOTIF_TYPES.csv!$A$1:$C$119,2,1)</f>
        <v>Cup and Groove</v>
      </c>
      <c r="E5365" t="str">
        <f>VLOOKUP(A5365,Panels!$A$1:$E$2104,5,0)</f>
        <v>Addingham Crag</v>
      </c>
    </row>
    <row r="5366">
      <c r="A5366" s="3">
        <v>2610.0</v>
      </c>
      <c r="B5366" s="3">
        <v>32.0</v>
      </c>
      <c r="C5366" s="3">
        <v>1.0</v>
      </c>
      <c r="D5366" t="str">
        <f>VLOOKUP(B5366,ERA_MOTIF_TYPES.csv!$A$1:$C$119,2,1)</f>
        <v>Cup Groove and single ring</v>
      </c>
      <c r="E5366" t="str">
        <f>VLOOKUP(A5366,Panels!$A$1:$E$2104,5,0)</f>
        <v>Addingham Crag</v>
      </c>
    </row>
    <row r="5367">
      <c r="A5367" s="3">
        <v>2610.0</v>
      </c>
      <c r="B5367" s="3">
        <v>34.0</v>
      </c>
      <c r="C5367" s="3">
        <v>1.0</v>
      </c>
      <c r="D5367" t="str">
        <f>VLOOKUP(B5367,ERA_MOTIF_TYPES.csv!$A$1:$C$119,2,1)</f>
        <v>Cup Groove and penannular</v>
      </c>
      <c r="E5367" t="str">
        <f>VLOOKUP(A5367,Panels!$A$1:$E$2104,5,0)</f>
        <v>Addingham Crag</v>
      </c>
    </row>
    <row r="5368">
      <c r="A5368" s="3">
        <v>2610.0</v>
      </c>
      <c r="B5368" s="3">
        <v>48.0</v>
      </c>
      <c r="C5368" s="3">
        <v>1.0</v>
      </c>
      <c r="D5368" t="str">
        <f>VLOOKUP(B5368,ERA_MOTIF_TYPES.csv!$A$1:$C$119,2,1)</f>
        <v>Square Groove and cups</v>
      </c>
      <c r="E5368" t="str">
        <f>VLOOKUP(A5368,Panels!$A$1:$E$2104,5,0)</f>
        <v>Addingham Crag</v>
      </c>
    </row>
    <row r="5369">
      <c r="A5369" s="3">
        <v>2611.0</v>
      </c>
      <c r="B5369" s="3">
        <v>1.0</v>
      </c>
      <c r="C5369" s="3">
        <v>4.0</v>
      </c>
      <c r="D5369" t="str">
        <f>VLOOKUP(B5369,ERA_MOTIF_TYPES.csv!$A$1:$C$119,2,1)</f>
        <v>Cups Single</v>
      </c>
      <c r="E5369" t="str">
        <f>VLOOKUP(A5369,Panels!$A$1:$E$2104,5,0)</f>
        <v>Hangingstones</v>
      </c>
    </row>
    <row r="5370">
      <c r="A5370" s="3">
        <v>2612.0</v>
      </c>
      <c r="B5370" s="3">
        <v>1.0</v>
      </c>
      <c r="C5370" s="3">
        <v>4.0</v>
      </c>
      <c r="D5370" t="str">
        <f>VLOOKUP(B5370,ERA_MOTIF_TYPES.csv!$A$1:$C$119,2,1)</f>
        <v>Cups Single</v>
      </c>
      <c r="E5370" t="str">
        <f>VLOOKUP(A5370,Panels!$A$1:$E$2104,5,0)</f>
        <v>Burley Moor</v>
      </c>
    </row>
    <row r="5371">
      <c r="A5371" s="3">
        <v>2613.0</v>
      </c>
      <c r="B5371" s="3">
        <v>1.0</v>
      </c>
      <c r="C5371" s="3">
        <v>1.0</v>
      </c>
      <c r="D5371" t="str">
        <f>VLOOKUP(B5371,ERA_MOTIF_TYPES.csv!$A$1:$C$119,2,1)</f>
        <v>Cups Single</v>
      </c>
      <c r="E5371" t="str">
        <f>VLOOKUP(A5371,Panels!$A$1:$E$2104,5,0)</f>
        <v>Burley Moor</v>
      </c>
    </row>
    <row r="5372">
      <c r="A5372" s="3">
        <v>2614.0</v>
      </c>
      <c r="B5372" s="3">
        <v>1.0</v>
      </c>
      <c r="C5372" s="3">
        <v>2.0</v>
      </c>
      <c r="D5372" t="str">
        <f>VLOOKUP(B5372,ERA_MOTIF_TYPES.csv!$A$1:$C$119,2,1)</f>
        <v>Cups Single</v>
      </c>
      <c r="E5372" t="str">
        <f>VLOOKUP(A5372,Panels!$A$1:$E$2104,5,0)</f>
        <v>Burley Moor</v>
      </c>
    </row>
    <row r="5373">
      <c r="A5373" s="3">
        <v>2615.0</v>
      </c>
      <c r="B5373" s="3">
        <v>1.0</v>
      </c>
      <c r="C5373" s="3">
        <v>1.0</v>
      </c>
      <c r="D5373" t="str">
        <f>VLOOKUP(B5373,ERA_MOTIF_TYPES.csv!$A$1:$C$119,2,1)</f>
        <v>Cups Single</v>
      </c>
      <c r="E5373" t="str">
        <f>VLOOKUP(A5373,Panels!$A$1:$E$2104,5,0)</f>
        <v>Burley Moor</v>
      </c>
    </row>
    <row r="5374">
      <c r="A5374" s="3">
        <v>2616.0</v>
      </c>
      <c r="B5374" s="3">
        <v>1.0</v>
      </c>
      <c r="C5374" s="3">
        <v>3.0</v>
      </c>
      <c r="D5374" t="str">
        <f>VLOOKUP(B5374,ERA_MOTIF_TYPES.csv!$A$1:$C$119,2,1)</f>
        <v>Cups Single</v>
      </c>
      <c r="E5374" t="str">
        <f>VLOOKUP(A5374,Panels!$A$1:$E$2104,5,0)</f>
        <v>Burley Moor</v>
      </c>
    </row>
    <row r="5375">
      <c r="A5375" s="3">
        <v>2617.0</v>
      </c>
      <c r="B5375" s="3">
        <v>1.0</v>
      </c>
      <c r="C5375" s="3">
        <v>1.0</v>
      </c>
      <c r="D5375" t="str">
        <f>VLOOKUP(B5375,ERA_MOTIF_TYPES.csv!$A$1:$C$119,2,1)</f>
        <v>Cups Single</v>
      </c>
      <c r="E5375" t="str">
        <f>VLOOKUP(A5375,Panels!$A$1:$E$2104,5,0)</f>
        <v>Burley Moor</v>
      </c>
    </row>
    <row r="5376">
      <c r="A5376" s="3">
        <v>2618.0</v>
      </c>
      <c r="B5376" s="3">
        <v>3.0</v>
      </c>
      <c r="C5376" s="3">
        <v>1.0</v>
      </c>
      <c r="D5376" t="str">
        <f>VLOOKUP(B5376,ERA_MOTIF_TYPES.csv!$A$1:$C$119,2,1)</f>
        <v>Parallel Domino</v>
      </c>
      <c r="E5376" t="str">
        <f>VLOOKUP(A5376,Panels!$A$1:$E$2104,5,0)</f>
        <v>Burley Moor</v>
      </c>
    </row>
    <row r="5377">
      <c r="A5377" s="3">
        <v>2620.0</v>
      </c>
      <c r="B5377" s="3">
        <v>1.0</v>
      </c>
      <c r="C5377" s="3">
        <v>3.0</v>
      </c>
      <c r="D5377" t="str">
        <f>VLOOKUP(B5377,ERA_MOTIF_TYPES.csv!$A$1:$C$119,2,1)</f>
        <v>Cups Single</v>
      </c>
      <c r="E5377" t="str">
        <f>VLOOKUP(A5377,Panels!$A$1:$E$2104,5,0)</f>
        <v>Little Skirtful of Stones</v>
      </c>
    </row>
    <row r="5378">
      <c r="A5378" s="3">
        <v>2621.0</v>
      </c>
      <c r="B5378" s="3">
        <v>1.0</v>
      </c>
      <c r="C5378" s="3">
        <v>1.0</v>
      </c>
      <c r="D5378" t="str">
        <f>VLOOKUP(B5378,ERA_MOTIF_TYPES.csv!$A$1:$C$119,2,1)</f>
        <v>Cups Single</v>
      </c>
      <c r="E5378" t="str">
        <f>VLOOKUP(A5378,Panels!$A$1:$E$2104,5,0)</f>
        <v>Little Skirtful of Stones</v>
      </c>
    </row>
    <row r="5379">
      <c r="A5379" s="3">
        <v>2622.0</v>
      </c>
      <c r="B5379" s="3">
        <v>1.0</v>
      </c>
      <c r="C5379" s="3">
        <v>2.0</v>
      </c>
      <c r="D5379" t="str">
        <f>VLOOKUP(B5379,ERA_MOTIF_TYPES.csv!$A$1:$C$119,2,1)</f>
        <v>Cups Single</v>
      </c>
      <c r="E5379" t="str">
        <f>VLOOKUP(A5379,Panels!$A$1:$E$2104,5,0)</f>
        <v>Little Skirtful of Stones</v>
      </c>
    </row>
    <row r="5380">
      <c r="A5380" s="3">
        <v>2623.0</v>
      </c>
      <c r="B5380" s="3">
        <v>1.0</v>
      </c>
      <c r="C5380" s="3">
        <v>1.0</v>
      </c>
      <c r="D5380" t="str">
        <f>VLOOKUP(B5380,ERA_MOTIF_TYPES.csv!$A$1:$C$119,2,1)</f>
        <v>Cups Single</v>
      </c>
      <c r="E5380" t="str">
        <f>VLOOKUP(A5380,Panels!$A$1:$E$2104,5,0)</f>
        <v>Little Skirtful of Stones</v>
      </c>
    </row>
    <row r="5381">
      <c r="A5381" s="3">
        <v>2624.0</v>
      </c>
      <c r="B5381" s="3">
        <v>1.0</v>
      </c>
      <c r="C5381" s="3">
        <v>2.0</v>
      </c>
      <c r="D5381" t="str">
        <f>VLOOKUP(B5381,ERA_MOTIF_TYPES.csv!$A$1:$C$119,2,1)</f>
        <v>Cups Single</v>
      </c>
      <c r="E5381" t="str">
        <f>VLOOKUP(A5381,Panels!$A$1:$E$2104,5,0)</f>
        <v>Low Plain</v>
      </c>
    </row>
    <row r="5382">
      <c r="A5382" s="3">
        <v>2624.0</v>
      </c>
      <c r="B5382" s="3">
        <v>13.0</v>
      </c>
      <c r="C5382" s="3">
        <v>1.0</v>
      </c>
      <c r="D5382" t="str">
        <f>VLOOKUP(B5382,ERA_MOTIF_TYPES.csv!$A$1:$C$119,2,1)</f>
        <v>Single Ring + cup</v>
      </c>
      <c r="E5382" t="str">
        <f>VLOOKUP(A5382,Panels!$A$1:$E$2104,5,0)</f>
        <v>Low Plain</v>
      </c>
    </row>
    <row r="5383">
      <c r="A5383" s="3">
        <v>2625.0</v>
      </c>
      <c r="B5383" s="3">
        <v>1.0</v>
      </c>
      <c r="C5383" s="3">
        <v>2.0</v>
      </c>
      <c r="D5383" t="str">
        <f>VLOOKUP(B5383,ERA_MOTIF_TYPES.csv!$A$1:$C$119,2,1)</f>
        <v>Cups Single</v>
      </c>
      <c r="E5383" t="str">
        <f>VLOOKUP(A5383,Panels!$A$1:$E$2104,5,0)</f>
        <v>Low Plain</v>
      </c>
    </row>
    <row r="5384">
      <c r="A5384" s="3">
        <v>2626.0</v>
      </c>
      <c r="B5384" s="3">
        <v>1.0</v>
      </c>
      <c r="C5384" s="3">
        <v>6.0</v>
      </c>
      <c r="D5384" t="str">
        <f>VLOOKUP(B5384,ERA_MOTIF_TYPES.csv!$A$1:$C$119,2,1)</f>
        <v>Cups Single</v>
      </c>
      <c r="E5384" t="str">
        <f>VLOOKUP(A5384,Panels!$A$1:$E$2104,5,0)</f>
        <v>Hope Farm</v>
      </c>
    </row>
    <row r="5385">
      <c r="A5385" s="3">
        <v>2630.0</v>
      </c>
      <c r="B5385" s="3">
        <v>1.0</v>
      </c>
      <c r="C5385" s="3">
        <v>6.0</v>
      </c>
      <c r="D5385" t="str">
        <f>VLOOKUP(B5385,ERA_MOTIF_TYPES.csv!$A$1:$C$119,2,1)</f>
        <v>Cups Single</v>
      </c>
      <c r="E5385" t="str">
        <f>VLOOKUP(A5385,Panels!$A$1:$E$2104,5,0)</f>
        <v>Dove Hall</v>
      </c>
    </row>
    <row r="5386">
      <c r="A5386" s="3">
        <v>2630.0</v>
      </c>
      <c r="B5386" s="3">
        <v>16.0</v>
      </c>
      <c r="C5386" s="3">
        <v>1.0</v>
      </c>
      <c r="D5386" t="str">
        <f>VLOOKUP(B5386,ERA_MOTIF_TYPES.csv!$A$1:$C$119,2,1)</f>
        <v>Single Arc + cup</v>
      </c>
      <c r="E5386" t="str">
        <f>VLOOKUP(A5386,Panels!$A$1:$E$2104,5,0)</f>
        <v>Dove Hall</v>
      </c>
    </row>
    <row r="5387">
      <c r="A5387" s="3">
        <v>2630.0</v>
      </c>
      <c r="B5387" s="3">
        <v>117.0</v>
      </c>
      <c r="C5387" s="3">
        <v>1.0</v>
      </c>
      <c r="D5387" t="str">
        <f>VLOOKUP(B5387,ERA_MOTIF_TYPES.csv!$A$1:$C$119,2,1)</f>
        <v>Dumb-bell</v>
      </c>
      <c r="E5387" t="str">
        <f>VLOOKUP(A5387,Panels!$A$1:$E$2104,5,0)</f>
        <v>Dove Hall</v>
      </c>
    </row>
    <row r="5388">
      <c r="A5388" s="3">
        <v>2631.0</v>
      </c>
      <c r="B5388" s="3">
        <v>1.0</v>
      </c>
      <c r="C5388" s="3">
        <v>1.0</v>
      </c>
      <c r="D5388" t="str">
        <f>VLOOKUP(B5388,ERA_MOTIF_TYPES.csv!$A$1:$C$119,2,1)</f>
        <v>Cups Single</v>
      </c>
      <c r="E5388" t="str">
        <f>VLOOKUP(A5388,Panels!$A$1:$E$2104,5,0)</f>
        <v>Craven Hall Hill</v>
      </c>
    </row>
    <row r="5389">
      <c r="A5389" s="3">
        <v>2632.0</v>
      </c>
      <c r="B5389" s="3">
        <v>1.0</v>
      </c>
      <c r="C5389" s="3">
        <v>27.0</v>
      </c>
      <c r="D5389" t="str">
        <f>VLOOKUP(B5389,ERA_MOTIF_TYPES.csv!$A$1:$C$119,2,1)</f>
        <v>Cups Single</v>
      </c>
      <c r="E5389" t="str">
        <f>VLOOKUP(A5389,Panels!$A$1:$E$2104,5,0)</f>
        <v>Elam Grange</v>
      </c>
    </row>
    <row r="5390">
      <c r="A5390" s="3">
        <v>2632.0</v>
      </c>
      <c r="B5390" s="3">
        <v>4.0</v>
      </c>
      <c r="C5390" s="3">
        <v>2.0</v>
      </c>
      <c r="D5390" t="str">
        <f>VLOOKUP(B5390,ERA_MOTIF_TYPES.csv!$A$1:$C$119,2,1)</f>
        <v>Counter-sunk</v>
      </c>
      <c r="E5390" t="str">
        <f>VLOOKUP(A5390,Panels!$A$1:$E$2104,5,0)</f>
        <v>Elam Grange</v>
      </c>
    </row>
    <row r="5391">
      <c r="A5391" s="3">
        <v>2632.0</v>
      </c>
      <c r="B5391" s="3">
        <v>25.0</v>
      </c>
      <c r="C5391" s="3">
        <v>1.0</v>
      </c>
      <c r="D5391" t="str">
        <f>VLOOKUP(B5391,ERA_MOTIF_TYPES.csv!$A$1:$C$119,2,1)</f>
        <v>Linear</v>
      </c>
      <c r="E5391" t="str">
        <f>VLOOKUP(A5391,Panels!$A$1:$E$2104,5,0)</f>
        <v>Elam Grange</v>
      </c>
    </row>
    <row r="5392">
      <c r="A5392" s="3">
        <v>2633.0</v>
      </c>
      <c r="B5392" s="3">
        <v>1.0</v>
      </c>
      <c r="C5392" s="3">
        <v>1.0</v>
      </c>
      <c r="D5392" t="str">
        <f>VLOOKUP(B5392,ERA_MOTIF_TYPES.csv!$A$1:$C$119,2,1)</f>
        <v>Cups Single</v>
      </c>
      <c r="E5392" t="str">
        <f>VLOOKUP(A5392,Panels!$A$1:$E$2104,5,0)</f>
        <v>Black Beck</v>
      </c>
    </row>
    <row r="5393">
      <c r="A5393" s="3">
        <v>2634.0</v>
      </c>
      <c r="B5393" s="3">
        <v>1.0</v>
      </c>
      <c r="C5393" s="3">
        <v>4.0</v>
      </c>
      <c r="D5393" t="str">
        <f>VLOOKUP(B5393,ERA_MOTIF_TYPES.csv!$A$1:$C$119,2,1)</f>
        <v>Cups Single</v>
      </c>
      <c r="E5393" t="str">
        <f>VLOOKUP(A5393,Panels!$A$1:$E$2104,5,0)</f>
        <v>Soldier's Trench</v>
      </c>
    </row>
    <row r="5394">
      <c r="A5394" s="3">
        <v>2635.0</v>
      </c>
      <c r="B5394" s="3">
        <v>1.0</v>
      </c>
      <c r="C5394" s="3">
        <v>18.0</v>
      </c>
      <c r="D5394" t="str">
        <f>VLOOKUP(B5394,ERA_MOTIF_TYPES.csv!$A$1:$C$119,2,1)</f>
        <v>Cups Single</v>
      </c>
      <c r="E5394" t="str">
        <f>VLOOKUP(A5394,Panels!$A$1:$E$2104,5,0)</f>
        <v>Woofa Bank</v>
      </c>
    </row>
    <row r="5395">
      <c r="A5395" s="3">
        <v>2635.0</v>
      </c>
      <c r="B5395" s="3">
        <v>13.0</v>
      </c>
      <c r="C5395" s="3">
        <v>2.0</v>
      </c>
      <c r="D5395" t="str">
        <f>VLOOKUP(B5395,ERA_MOTIF_TYPES.csv!$A$1:$C$119,2,1)</f>
        <v>Single Ring + cup</v>
      </c>
      <c r="E5395" t="str">
        <f>VLOOKUP(A5395,Panels!$A$1:$E$2104,5,0)</f>
        <v>Woofa Bank</v>
      </c>
    </row>
    <row r="5396">
      <c r="A5396" s="3">
        <v>2635.0</v>
      </c>
      <c r="B5396" s="3">
        <v>31.0</v>
      </c>
      <c r="C5396" s="3">
        <v>1.0</v>
      </c>
      <c r="D5396" t="str">
        <f>VLOOKUP(B5396,ERA_MOTIF_TYPES.csv!$A$1:$C$119,2,1)</f>
        <v>Cup and Groove</v>
      </c>
      <c r="E5396" t="str">
        <f>VLOOKUP(A5396,Panels!$A$1:$E$2104,5,0)</f>
        <v>Woofa Bank</v>
      </c>
    </row>
    <row r="5397">
      <c r="A5397" s="3">
        <v>2635.0</v>
      </c>
      <c r="B5397" s="3">
        <v>117.0</v>
      </c>
      <c r="C5397" s="3">
        <v>1.0</v>
      </c>
      <c r="D5397" t="str">
        <f>VLOOKUP(B5397,ERA_MOTIF_TYPES.csv!$A$1:$C$119,2,1)</f>
        <v>Dumb-bell</v>
      </c>
      <c r="E5397" t="str">
        <f>VLOOKUP(A5397,Panels!$A$1:$E$2104,5,0)</f>
        <v>Woofa Bank</v>
      </c>
    </row>
    <row r="5398">
      <c r="A5398" s="3">
        <v>2636.0</v>
      </c>
      <c r="B5398" s="3">
        <v>1.0</v>
      </c>
      <c r="C5398" s="3">
        <v>11.0</v>
      </c>
      <c r="D5398" t="str">
        <f>VLOOKUP(B5398,ERA_MOTIF_TYPES.csv!$A$1:$C$119,2,1)</f>
        <v>Cups Single</v>
      </c>
      <c r="E5398" t="str">
        <f>VLOOKUP(A5398,Panels!$A$1:$E$2104,5,0)</f>
        <v>Woofa Bank</v>
      </c>
    </row>
    <row r="5399">
      <c r="A5399" s="3">
        <v>2636.0</v>
      </c>
      <c r="B5399" s="3">
        <v>13.0</v>
      </c>
      <c r="C5399" s="3">
        <v>5.0</v>
      </c>
      <c r="D5399" t="str">
        <f>VLOOKUP(B5399,ERA_MOTIF_TYPES.csv!$A$1:$C$119,2,1)</f>
        <v>Single Ring + cup</v>
      </c>
      <c r="E5399" t="str">
        <f>VLOOKUP(A5399,Panels!$A$1:$E$2104,5,0)</f>
        <v>Woofa Bank</v>
      </c>
    </row>
    <row r="5400">
      <c r="A5400" s="3">
        <v>2636.0</v>
      </c>
      <c r="B5400" s="3">
        <v>17.0</v>
      </c>
      <c r="C5400" s="3">
        <v>4.0</v>
      </c>
      <c r="D5400" t="str">
        <f>VLOOKUP(B5400,ERA_MOTIF_TYPES.csv!$A$1:$C$119,2,1)</f>
        <v>Single Penannular + cup</v>
      </c>
      <c r="E5400" t="str">
        <f>VLOOKUP(A5400,Panels!$A$1:$E$2104,5,0)</f>
        <v>Woofa Bank</v>
      </c>
    </row>
    <row r="5401">
      <c r="A5401" s="3">
        <v>2636.0</v>
      </c>
      <c r="B5401" s="3">
        <v>25.0</v>
      </c>
      <c r="C5401" s="3">
        <v>3.0</v>
      </c>
      <c r="D5401" t="str">
        <f>VLOOKUP(B5401,ERA_MOTIF_TYPES.csv!$A$1:$C$119,2,1)</f>
        <v>Linear</v>
      </c>
      <c r="E5401" t="str">
        <f>VLOOKUP(A5401,Panels!$A$1:$E$2104,5,0)</f>
        <v>Woofa Bank</v>
      </c>
    </row>
    <row r="5402">
      <c r="A5402" s="3">
        <v>2637.0</v>
      </c>
      <c r="B5402" s="3">
        <v>1.0</v>
      </c>
      <c r="C5402" s="3">
        <v>4.0</v>
      </c>
      <c r="D5402" t="str">
        <f>VLOOKUP(B5402,ERA_MOTIF_TYPES.csv!$A$1:$C$119,2,1)</f>
        <v>Cups Single</v>
      </c>
      <c r="E5402" t="str">
        <f>VLOOKUP(A5402,Panels!$A$1:$E$2104,5,0)</f>
        <v>Woofa Bank</v>
      </c>
    </row>
    <row r="5403">
      <c r="A5403" s="3">
        <v>2638.0</v>
      </c>
      <c r="B5403" s="3">
        <v>1.0</v>
      </c>
      <c r="C5403" s="3">
        <v>20.0</v>
      </c>
      <c r="D5403" t="str">
        <f>VLOOKUP(B5403,ERA_MOTIF_TYPES.csv!$A$1:$C$119,2,1)</f>
        <v>Cups Single</v>
      </c>
      <c r="E5403" t="str">
        <f>VLOOKUP(A5403,Panels!$A$1:$E$2104,5,0)</f>
        <v>Hardwick House</v>
      </c>
    </row>
    <row r="5404">
      <c r="A5404" s="3">
        <v>2638.0</v>
      </c>
      <c r="B5404" s="3">
        <v>31.0</v>
      </c>
      <c r="C5404" s="3">
        <v>5.0</v>
      </c>
      <c r="D5404" t="str">
        <f>VLOOKUP(B5404,ERA_MOTIF_TYPES.csv!$A$1:$C$119,2,1)</f>
        <v>Cup and Groove</v>
      </c>
      <c r="E5404" t="str">
        <f>VLOOKUP(A5404,Panels!$A$1:$E$2104,5,0)</f>
        <v>Hardwick House</v>
      </c>
    </row>
    <row r="5405">
      <c r="A5405" s="3">
        <v>2639.0</v>
      </c>
      <c r="B5405" s="3">
        <v>1.0</v>
      </c>
      <c r="C5405" s="3">
        <v>39.0</v>
      </c>
      <c r="D5405" t="str">
        <f>VLOOKUP(B5405,ERA_MOTIF_TYPES.csv!$A$1:$C$119,2,1)</f>
        <v>Cups Single</v>
      </c>
      <c r="E5405" t="str">
        <f>VLOOKUP(A5405,Panels!$A$1:$E$2104,5,0)</f>
        <v>Westwood Drive</v>
      </c>
    </row>
    <row r="5406">
      <c r="A5406" s="3">
        <v>2639.0</v>
      </c>
      <c r="B5406" s="3">
        <v>25.0</v>
      </c>
      <c r="C5406" s="3">
        <v>7.0</v>
      </c>
      <c r="D5406" t="str">
        <f>VLOOKUP(B5406,ERA_MOTIF_TYPES.csv!$A$1:$C$119,2,1)</f>
        <v>Linear</v>
      </c>
      <c r="E5406" t="str">
        <f>VLOOKUP(A5406,Panels!$A$1:$E$2104,5,0)</f>
        <v>Westwood Drive</v>
      </c>
    </row>
    <row r="5407">
      <c r="A5407" s="3">
        <v>2639.0</v>
      </c>
      <c r="B5407" s="3">
        <v>31.0</v>
      </c>
      <c r="C5407" s="3">
        <v>3.0</v>
      </c>
      <c r="D5407" t="str">
        <f>VLOOKUP(B5407,ERA_MOTIF_TYPES.csv!$A$1:$C$119,2,1)</f>
        <v>Cup and Groove</v>
      </c>
      <c r="E5407" t="str">
        <f>VLOOKUP(A5407,Panels!$A$1:$E$2104,5,0)</f>
        <v>Westwood Drive</v>
      </c>
    </row>
    <row r="5408">
      <c r="A5408" s="3">
        <v>2639.0</v>
      </c>
      <c r="B5408" s="3">
        <v>32.0</v>
      </c>
      <c r="C5408" s="3">
        <v>4.0</v>
      </c>
      <c r="D5408" t="str">
        <f>VLOOKUP(B5408,ERA_MOTIF_TYPES.csv!$A$1:$C$119,2,1)</f>
        <v>Cup Groove and single ring</v>
      </c>
      <c r="E5408" t="str">
        <f>VLOOKUP(A5408,Panels!$A$1:$E$2104,5,0)</f>
        <v>Westwood Drive</v>
      </c>
    </row>
    <row r="5409">
      <c r="A5409" s="3">
        <v>2639.0</v>
      </c>
      <c r="B5409" s="3">
        <v>36.0</v>
      </c>
      <c r="C5409" s="3">
        <v>1.0</v>
      </c>
      <c r="D5409" t="str">
        <f>VLOOKUP(B5409,ERA_MOTIF_TYPES.csv!$A$1:$C$119,2,1)</f>
        <v>Cup Groove and arc</v>
      </c>
      <c r="E5409" t="str">
        <f>VLOOKUP(A5409,Panels!$A$1:$E$2104,5,0)</f>
        <v>Westwood Drive</v>
      </c>
    </row>
    <row r="5410">
      <c r="A5410" s="3">
        <v>2640.0</v>
      </c>
      <c r="B5410" s="3">
        <v>16.0</v>
      </c>
      <c r="C5410" s="3">
        <v>1.0</v>
      </c>
      <c r="D5410" t="str">
        <f>VLOOKUP(B5410,ERA_MOTIF_TYPES.csv!$A$1:$C$119,2,1)</f>
        <v>Single Arc + cup</v>
      </c>
      <c r="E5410" t="str">
        <f>VLOOKUP(A5410,Panels!$A$1:$E$2104,5,0)</f>
        <v>Addingham Crag</v>
      </c>
    </row>
    <row r="5411">
      <c r="A5411" s="3">
        <v>2640.0</v>
      </c>
      <c r="B5411" s="3">
        <v>31.0</v>
      </c>
      <c r="C5411" s="3">
        <v>1.0</v>
      </c>
      <c r="D5411" t="str">
        <f>VLOOKUP(B5411,ERA_MOTIF_TYPES.csv!$A$1:$C$119,2,1)</f>
        <v>Cup and Groove</v>
      </c>
      <c r="E5411" t="str">
        <f>VLOOKUP(A5411,Panels!$A$1:$E$2104,5,0)</f>
        <v>Addingham Crag</v>
      </c>
    </row>
    <row r="5412">
      <c r="A5412" s="3">
        <v>2641.0</v>
      </c>
      <c r="B5412" s="3">
        <v>1.0</v>
      </c>
      <c r="C5412" s="3">
        <v>2.0</v>
      </c>
      <c r="D5412" t="str">
        <f>VLOOKUP(B5412,ERA_MOTIF_TYPES.csv!$A$1:$C$119,2,1)</f>
        <v>Cups Single</v>
      </c>
      <c r="E5412" t="str">
        <f>VLOOKUP(A5412,Panels!$A$1:$E$2104,5,0)</f>
        <v>Low Hill</v>
      </c>
    </row>
    <row r="5413">
      <c r="A5413" s="3">
        <v>2645.0</v>
      </c>
      <c r="B5413" s="3">
        <v>118.0</v>
      </c>
      <c r="C5413" s="1"/>
      <c r="D5413" t="str">
        <f>VLOOKUP(B5413,ERA_MOTIF_TYPES.csv!$A$1:$C$119,2,1)</f>
        <v>Random peck marks</v>
      </c>
      <c r="E5413" t="str">
        <f>VLOOKUP(A5413,Panels!$A$1:$E$2104,5,0)</f>
        <v>Hangingstones</v>
      </c>
    </row>
    <row r="5414">
      <c r="A5414" s="3">
        <v>2647.0</v>
      </c>
      <c r="B5414" s="3">
        <v>1.0</v>
      </c>
      <c r="C5414" s="3">
        <v>1.0</v>
      </c>
      <c r="D5414" t="str">
        <f>VLOOKUP(B5414,ERA_MOTIF_TYPES.csv!$A$1:$C$119,2,1)</f>
        <v>Cups Single</v>
      </c>
      <c r="E5414" t="str">
        <f>VLOOKUP(A5414,Panels!$A$1:$E$2104,5,0)</f>
        <v>Hangingstone Road</v>
      </c>
    </row>
    <row r="5415">
      <c r="A5415" s="3">
        <v>2648.0</v>
      </c>
      <c r="B5415" s="3">
        <v>1.0</v>
      </c>
      <c r="C5415" s="3">
        <v>2.0</v>
      </c>
      <c r="D5415" t="str">
        <f>VLOOKUP(B5415,ERA_MOTIF_TYPES.csv!$A$1:$C$119,2,1)</f>
        <v>Cups Single</v>
      </c>
      <c r="E5415" t="str">
        <f>VLOOKUP(A5415,Panels!$A$1:$E$2104,5,0)</f>
        <v>Hoyle Court</v>
      </c>
    </row>
    <row r="5416">
      <c r="A5416" s="3">
        <v>2648.0</v>
      </c>
      <c r="B5416" s="3">
        <v>16.0</v>
      </c>
      <c r="C5416" s="3">
        <v>2.0</v>
      </c>
      <c r="D5416" t="str">
        <f>VLOOKUP(B5416,ERA_MOTIF_TYPES.csv!$A$1:$C$119,2,1)</f>
        <v>Single Arc + cup</v>
      </c>
      <c r="E5416" t="str">
        <f>VLOOKUP(A5416,Panels!$A$1:$E$2104,5,0)</f>
        <v>Hoyle Court</v>
      </c>
    </row>
    <row r="5417">
      <c r="A5417" s="3">
        <v>2648.0</v>
      </c>
      <c r="B5417" s="3">
        <v>25.0</v>
      </c>
      <c r="C5417" s="3">
        <v>5.0</v>
      </c>
      <c r="D5417" t="str">
        <f>VLOOKUP(B5417,ERA_MOTIF_TYPES.csv!$A$1:$C$119,2,1)</f>
        <v>Linear</v>
      </c>
      <c r="E5417" t="str">
        <f>VLOOKUP(A5417,Panels!$A$1:$E$2104,5,0)</f>
        <v>Hoyle Court</v>
      </c>
    </row>
    <row r="5418">
      <c r="A5418" s="3">
        <v>2649.0</v>
      </c>
      <c r="B5418" s="3">
        <v>1.0</v>
      </c>
      <c r="C5418" s="3">
        <v>5.0</v>
      </c>
      <c r="D5418" t="str">
        <f>VLOOKUP(B5418,ERA_MOTIF_TYPES.csv!$A$1:$C$119,2,1)</f>
        <v>Cups Single</v>
      </c>
      <c r="E5418" t="str">
        <f>VLOOKUP(A5418,Panels!$A$1:$E$2104,5,0)</f>
        <v>Hardwick Holes</v>
      </c>
    </row>
    <row r="5419">
      <c r="A5419" s="3">
        <v>2649.0</v>
      </c>
      <c r="B5419" s="3">
        <v>13.0</v>
      </c>
      <c r="C5419" s="3">
        <v>1.0</v>
      </c>
      <c r="D5419" t="str">
        <f>VLOOKUP(B5419,ERA_MOTIF_TYPES.csv!$A$1:$C$119,2,1)</f>
        <v>Single Ring + cup</v>
      </c>
      <c r="E5419" t="str">
        <f>VLOOKUP(A5419,Panels!$A$1:$E$2104,5,0)</f>
        <v>Hardwick Holes</v>
      </c>
    </row>
    <row r="5420">
      <c r="A5420" s="3">
        <v>2650.0</v>
      </c>
      <c r="B5420" s="3">
        <v>1.0</v>
      </c>
      <c r="C5420" s="3">
        <v>6.0</v>
      </c>
      <c r="D5420" t="str">
        <f>VLOOKUP(B5420,ERA_MOTIF_TYPES.csv!$A$1:$C$119,2,1)</f>
        <v>Cups Single</v>
      </c>
      <c r="E5420" t="str">
        <f>VLOOKUP(A5420,Panels!$A$1:$E$2104,5,0)</f>
        <v>Rivock</v>
      </c>
    </row>
    <row r="5421">
      <c r="A5421" s="3">
        <v>2650.0</v>
      </c>
      <c r="B5421" s="3">
        <v>27.0</v>
      </c>
      <c r="C5421" s="3">
        <v>1.0</v>
      </c>
      <c r="D5421" t="str">
        <f>VLOOKUP(B5421,ERA_MOTIF_TYPES.csv!$A$1:$C$119,2,1)</f>
        <v>Serpentine</v>
      </c>
      <c r="E5421" t="str">
        <f>VLOOKUP(A5421,Panels!$A$1:$E$2104,5,0)</f>
        <v>Rivock</v>
      </c>
    </row>
    <row r="5422">
      <c r="A5422" s="3">
        <v>2650.0</v>
      </c>
      <c r="B5422" s="3">
        <v>31.0</v>
      </c>
      <c r="C5422" s="3">
        <v>1.0</v>
      </c>
      <c r="D5422" t="str">
        <f>VLOOKUP(B5422,ERA_MOTIF_TYPES.csv!$A$1:$C$119,2,1)</f>
        <v>Cup and Groove</v>
      </c>
      <c r="E5422" t="str">
        <f>VLOOKUP(A5422,Panels!$A$1:$E$2104,5,0)</f>
        <v>Rivock</v>
      </c>
    </row>
    <row r="5423">
      <c r="A5423" s="3">
        <v>2651.0</v>
      </c>
      <c r="B5423" s="3">
        <v>1.0</v>
      </c>
      <c r="C5423" s="3">
        <v>4.0</v>
      </c>
      <c r="D5423" t="str">
        <f>VLOOKUP(B5423,ERA_MOTIF_TYPES.csv!$A$1:$C$119,2,1)</f>
        <v>Cups Single</v>
      </c>
      <c r="E5423" t="str">
        <f>VLOOKUP(A5423,Panels!$A$1:$E$2104,5,0)</f>
        <v>Rivock</v>
      </c>
    </row>
    <row r="5424">
      <c r="A5424" s="3">
        <v>2653.0</v>
      </c>
      <c r="B5424" s="3">
        <v>1.0</v>
      </c>
      <c r="C5424" s="3">
        <v>1.0</v>
      </c>
      <c r="D5424" t="str">
        <f>VLOOKUP(B5424,ERA_MOTIF_TYPES.csv!$A$1:$C$119,2,1)</f>
        <v>Cups Single</v>
      </c>
      <c r="E5424" t="str">
        <f>VLOOKUP(A5424,Panels!$A$1:$E$2104,5,0)</f>
        <v>Rivock</v>
      </c>
    </row>
    <row r="5425">
      <c r="A5425" s="3">
        <v>2653.0</v>
      </c>
      <c r="B5425" s="3">
        <v>117.0</v>
      </c>
      <c r="C5425" s="3">
        <v>1.0</v>
      </c>
      <c r="D5425" t="str">
        <f>VLOOKUP(B5425,ERA_MOTIF_TYPES.csv!$A$1:$C$119,2,1)</f>
        <v>Dumb-bell</v>
      </c>
      <c r="E5425" t="str">
        <f>VLOOKUP(A5425,Panels!$A$1:$E$2104,5,0)</f>
        <v>Rivock</v>
      </c>
    </row>
    <row r="5426">
      <c r="A5426" s="3">
        <v>2654.0</v>
      </c>
      <c r="B5426" s="3">
        <v>1.0</v>
      </c>
      <c r="C5426" s="3">
        <v>17.0</v>
      </c>
      <c r="D5426" t="str">
        <f>VLOOKUP(B5426,ERA_MOTIF_TYPES.csv!$A$1:$C$119,2,1)</f>
        <v>Cups Single</v>
      </c>
      <c r="E5426" t="str">
        <f>VLOOKUP(A5426,Panels!$A$1:$E$2104,5,0)</f>
        <v>Rivock</v>
      </c>
    </row>
    <row r="5427">
      <c r="A5427" s="3">
        <v>2655.0</v>
      </c>
      <c r="B5427" s="3">
        <v>13.0</v>
      </c>
      <c r="C5427" s="3">
        <v>2.0</v>
      </c>
      <c r="D5427" t="str">
        <f>VLOOKUP(B5427,ERA_MOTIF_TYPES.csv!$A$1:$C$119,2,1)</f>
        <v>Single Ring + cup</v>
      </c>
      <c r="E5427" t="str">
        <f>VLOOKUP(A5427,Panels!$A$1:$E$2104,5,0)</f>
        <v>High Brunthwaite</v>
      </c>
    </row>
    <row r="5428">
      <c r="A5428" s="3">
        <v>2655.0</v>
      </c>
      <c r="B5428" s="3">
        <v>31.0</v>
      </c>
      <c r="C5428" s="3">
        <v>1.0</v>
      </c>
      <c r="D5428" t="str">
        <f>VLOOKUP(B5428,ERA_MOTIF_TYPES.csv!$A$1:$C$119,2,1)</f>
        <v>Cup and Groove</v>
      </c>
      <c r="E5428" t="str">
        <f>VLOOKUP(A5428,Panels!$A$1:$E$2104,5,0)</f>
        <v>High Brunthwaite</v>
      </c>
    </row>
    <row r="5429">
      <c r="A5429" s="3">
        <v>2655.0</v>
      </c>
      <c r="B5429" s="3">
        <v>32.0</v>
      </c>
      <c r="C5429" s="3">
        <v>1.0</v>
      </c>
      <c r="D5429" t="str">
        <f>VLOOKUP(B5429,ERA_MOTIF_TYPES.csv!$A$1:$C$119,2,1)</f>
        <v>Cup Groove and single ring</v>
      </c>
      <c r="E5429" t="str">
        <f>VLOOKUP(A5429,Panels!$A$1:$E$2104,5,0)</f>
        <v>High Brunthwaite</v>
      </c>
    </row>
    <row r="5430">
      <c r="A5430" s="3">
        <v>2655.0</v>
      </c>
      <c r="B5430" s="3">
        <v>34.0</v>
      </c>
      <c r="C5430" s="3">
        <v>1.0</v>
      </c>
      <c r="D5430" t="str">
        <f>VLOOKUP(B5430,ERA_MOTIF_TYPES.csv!$A$1:$C$119,2,1)</f>
        <v>Cup Groove and penannular</v>
      </c>
      <c r="E5430" t="str">
        <f>VLOOKUP(A5430,Panels!$A$1:$E$2104,5,0)</f>
        <v>High Brunthwaite</v>
      </c>
    </row>
    <row r="5431">
      <c r="A5431" s="3">
        <v>2656.0</v>
      </c>
      <c r="B5431" s="3">
        <v>1.0</v>
      </c>
      <c r="C5431" s="3">
        <v>7.0</v>
      </c>
      <c r="D5431" t="str">
        <f>VLOOKUP(B5431,ERA_MOTIF_TYPES.csv!$A$1:$C$119,2,1)</f>
        <v>Cups Single</v>
      </c>
      <c r="E5431" t="str">
        <f>VLOOKUP(A5431,Panels!$A$1:$E$2104,5,0)</f>
        <v>Southpiece</v>
      </c>
    </row>
    <row r="5432">
      <c r="A5432" s="3">
        <v>2657.0</v>
      </c>
      <c r="B5432" s="3">
        <v>1.0</v>
      </c>
      <c r="C5432" s="3">
        <v>5.0</v>
      </c>
      <c r="D5432" t="str">
        <f>VLOOKUP(B5432,ERA_MOTIF_TYPES.csv!$A$1:$C$119,2,1)</f>
        <v>Cups Single</v>
      </c>
      <c r="E5432" t="str">
        <f>VLOOKUP(A5432,Panels!$A$1:$E$2104,5,0)</f>
        <v>Southpiece</v>
      </c>
    </row>
    <row r="5433">
      <c r="A5433" s="3">
        <v>2658.0</v>
      </c>
      <c r="B5433" s="3">
        <v>4.0</v>
      </c>
      <c r="C5433" s="3">
        <v>1.0</v>
      </c>
      <c r="D5433" t="str">
        <f>VLOOKUP(B5433,ERA_MOTIF_TYPES.csv!$A$1:$C$119,2,1)</f>
        <v>Counter-sunk</v>
      </c>
      <c r="E5433" t="str">
        <f>VLOOKUP(A5433,Panels!$A$1:$E$2104,5,0)</f>
        <v>Pancake Ridge</v>
      </c>
    </row>
    <row r="5434">
      <c r="A5434" s="3">
        <v>2659.0</v>
      </c>
      <c r="B5434" s="3">
        <v>1.0</v>
      </c>
      <c r="C5434" s="3">
        <v>2.0</v>
      </c>
      <c r="D5434" t="str">
        <f>VLOOKUP(B5434,ERA_MOTIF_TYPES.csv!$A$1:$C$119,2,1)</f>
        <v>Cups Single</v>
      </c>
      <c r="E5434" t="str">
        <f>VLOOKUP(A5434,Panels!$A$1:$E$2104,5,0)</f>
        <v>Heygate Stone</v>
      </c>
    </row>
    <row r="5435">
      <c r="A5435" s="3">
        <v>2659.0</v>
      </c>
      <c r="B5435" s="3">
        <v>13.0</v>
      </c>
      <c r="C5435" s="3">
        <v>3.0</v>
      </c>
      <c r="D5435" t="str">
        <f>VLOOKUP(B5435,ERA_MOTIF_TYPES.csv!$A$1:$C$119,2,1)</f>
        <v>Single Ring + cup</v>
      </c>
      <c r="E5435" t="str">
        <f>VLOOKUP(A5435,Panels!$A$1:$E$2104,5,0)</f>
        <v>Heygate Stone</v>
      </c>
    </row>
    <row r="5436">
      <c r="A5436" s="3">
        <v>2659.0</v>
      </c>
      <c r="B5436" s="3">
        <v>14.0</v>
      </c>
      <c r="C5436" s="3">
        <v>2.0</v>
      </c>
      <c r="D5436" t="str">
        <f>VLOOKUP(B5436,ERA_MOTIF_TYPES.csv!$A$1:$C$119,2,1)</f>
        <v>Multi Ring + cup</v>
      </c>
      <c r="E5436" t="str">
        <f>VLOOKUP(A5436,Panels!$A$1:$E$2104,5,0)</f>
        <v>Heygate Stone</v>
      </c>
    </row>
    <row r="5437">
      <c r="A5437" s="3">
        <v>2659.0</v>
      </c>
      <c r="B5437" s="3">
        <v>16.0</v>
      </c>
      <c r="C5437" s="3">
        <v>1.0</v>
      </c>
      <c r="D5437" t="str">
        <f>VLOOKUP(B5437,ERA_MOTIF_TYPES.csv!$A$1:$C$119,2,1)</f>
        <v>Single Arc + cup</v>
      </c>
      <c r="E5437" t="str">
        <f>VLOOKUP(A5437,Panels!$A$1:$E$2104,5,0)</f>
        <v>Heygate Stone</v>
      </c>
    </row>
    <row r="5438">
      <c r="A5438" s="3">
        <v>2659.0</v>
      </c>
      <c r="B5438" s="3">
        <v>25.0</v>
      </c>
      <c r="C5438" s="3">
        <v>2.0</v>
      </c>
      <c r="D5438" t="str">
        <f>VLOOKUP(B5438,ERA_MOTIF_TYPES.csv!$A$1:$C$119,2,1)</f>
        <v>Linear</v>
      </c>
      <c r="E5438" t="str">
        <f>VLOOKUP(A5438,Panels!$A$1:$E$2104,5,0)</f>
        <v>Heygate Stone</v>
      </c>
    </row>
    <row r="5439">
      <c r="A5439" s="3">
        <v>2660.0</v>
      </c>
      <c r="B5439" s="3">
        <v>1.0</v>
      </c>
      <c r="C5439" s="3">
        <v>3.0</v>
      </c>
      <c r="D5439" t="str">
        <f>VLOOKUP(B5439,ERA_MOTIF_TYPES.csv!$A$1:$C$119,2,1)</f>
        <v>Cups Single</v>
      </c>
      <c r="E5439" t="str">
        <f>VLOOKUP(A5439,Panels!$A$1:$E$2104,5,0)</f>
        <v>Glovershaw Farm</v>
      </c>
    </row>
    <row r="5440">
      <c r="A5440" s="3">
        <v>2660.0</v>
      </c>
      <c r="B5440" s="3">
        <v>31.0</v>
      </c>
      <c r="C5440" s="3">
        <v>2.0</v>
      </c>
      <c r="D5440" t="str">
        <f>VLOOKUP(B5440,ERA_MOTIF_TYPES.csv!$A$1:$C$119,2,1)</f>
        <v>Cup and Groove</v>
      </c>
      <c r="E5440" t="str">
        <f>VLOOKUP(A5440,Panels!$A$1:$E$2104,5,0)</f>
        <v>Glovershaw Farm</v>
      </c>
    </row>
    <row r="5441">
      <c r="A5441" s="3">
        <v>2660.0</v>
      </c>
      <c r="B5441" s="3">
        <v>117.0</v>
      </c>
      <c r="C5441" s="3">
        <v>1.0</v>
      </c>
      <c r="D5441" t="str">
        <f>VLOOKUP(B5441,ERA_MOTIF_TYPES.csv!$A$1:$C$119,2,1)</f>
        <v>Dumb-bell</v>
      </c>
      <c r="E5441" t="str">
        <f>VLOOKUP(A5441,Panels!$A$1:$E$2104,5,0)</f>
        <v>Glovershaw Farm</v>
      </c>
    </row>
    <row r="5442">
      <c r="A5442" s="3">
        <v>2660.0</v>
      </c>
      <c r="B5442" s="3">
        <v>118.0</v>
      </c>
      <c r="C5442" s="1"/>
      <c r="D5442" t="str">
        <f>VLOOKUP(B5442,ERA_MOTIF_TYPES.csv!$A$1:$C$119,2,1)</f>
        <v>Random peck marks</v>
      </c>
      <c r="E5442" t="str">
        <f>VLOOKUP(A5442,Panels!$A$1:$E$2104,5,0)</f>
        <v>Glovershaw Farm</v>
      </c>
    </row>
    <row r="5443">
      <c r="A5443" s="3">
        <v>2661.0</v>
      </c>
      <c r="B5443" s="3">
        <v>1.0</v>
      </c>
      <c r="C5443" s="3">
        <v>2.0</v>
      </c>
      <c r="D5443" t="str">
        <f>VLOOKUP(B5443,ERA_MOTIF_TYPES.csv!$A$1:$C$119,2,1)</f>
        <v>Cups Single</v>
      </c>
      <c r="E5443" t="str">
        <f>VLOOKUP(A5443,Panels!$A$1:$E$2104,5,0)</f>
        <v>Glovershaw Farm</v>
      </c>
    </row>
    <row r="5444">
      <c r="A5444" s="3">
        <v>2662.0</v>
      </c>
      <c r="B5444" s="3">
        <v>1.0</v>
      </c>
      <c r="C5444" s="3">
        <v>2.0</v>
      </c>
      <c r="D5444" t="str">
        <f>VLOOKUP(B5444,ERA_MOTIF_TYPES.csv!$A$1:$C$119,2,1)</f>
        <v>Cups Single</v>
      </c>
      <c r="E5444" t="str">
        <f>VLOOKUP(A5444,Panels!$A$1:$E$2104,5,0)</f>
        <v>Glovershaw Farm</v>
      </c>
    </row>
    <row r="5445">
      <c r="A5445" s="3">
        <v>2662.0</v>
      </c>
      <c r="B5445" s="3">
        <v>31.0</v>
      </c>
      <c r="C5445" s="3">
        <v>1.0</v>
      </c>
      <c r="D5445" t="str">
        <f>VLOOKUP(B5445,ERA_MOTIF_TYPES.csv!$A$1:$C$119,2,1)</f>
        <v>Cup and Groove</v>
      </c>
      <c r="E5445" t="str">
        <f>VLOOKUP(A5445,Panels!$A$1:$E$2104,5,0)</f>
        <v>Glovershaw Farm</v>
      </c>
    </row>
    <row r="5446">
      <c r="A5446" s="3">
        <v>2663.0</v>
      </c>
      <c r="B5446" s="3">
        <v>1.0</v>
      </c>
      <c r="C5446" s="3">
        <v>1.0</v>
      </c>
      <c r="D5446" t="str">
        <f>VLOOKUP(B5446,ERA_MOTIF_TYPES.csv!$A$1:$C$119,2,1)</f>
        <v>Cups Single</v>
      </c>
      <c r="E5446" t="str">
        <f>VLOOKUP(A5446,Panels!$A$1:$E$2104,5,0)</f>
        <v>Glovershaw Farm</v>
      </c>
    </row>
    <row r="5447">
      <c r="A5447" s="3">
        <v>2663.0</v>
      </c>
      <c r="B5447" s="3">
        <v>31.0</v>
      </c>
      <c r="C5447" s="3">
        <v>1.0</v>
      </c>
      <c r="D5447" t="str">
        <f>VLOOKUP(B5447,ERA_MOTIF_TYPES.csv!$A$1:$C$119,2,1)</f>
        <v>Cup and Groove</v>
      </c>
      <c r="E5447" t="str">
        <f>VLOOKUP(A5447,Panels!$A$1:$E$2104,5,0)</f>
        <v>Glovershaw Farm</v>
      </c>
    </row>
    <row r="5448">
      <c r="A5448" s="3">
        <v>2663.0</v>
      </c>
      <c r="B5448" s="3">
        <v>117.0</v>
      </c>
      <c r="C5448" s="3">
        <v>1.0</v>
      </c>
      <c r="D5448" t="str">
        <f>VLOOKUP(B5448,ERA_MOTIF_TYPES.csv!$A$1:$C$119,2,1)</f>
        <v>Dumb-bell</v>
      </c>
      <c r="E5448" t="str">
        <f>VLOOKUP(A5448,Panels!$A$1:$E$2104,5,0)</f>
        <v>Glovershaw Farm</v>
      </c>
    </row>
    <row r="5449">
      <c r="A5449" s="3">
        <v>2664.0</v>
      </c>
      <c r="B5449" s="3">
        <v>1.0</v>
      </c>
      <c r="C5449" s="3">
        <v>1.0</v>
      </c>
      <c r="D5449" t="str">
        <f>VLOOKUP(B5449,ERA_MOTIF_TYPES.csv!$A$1:$C$119,2,1)</f>
        <v>Cups Single</v>
      </c>
      <c r="E5449" t="str">
        <f>VLOOKUP(A5449,Panels!$A$1:$E$2104,5,0)</f>
        <v>Glovershaw Farm</v>
      </c>
    </row>
    <row r="5450">
      <c r="A5450" s="3">
        <v>2665.0</v>
      </c>
      <c r="B5450" s="3">
        <v>1.0</v>
      </c>
      <c r="C5450" s="3">
        <v>4.0</v>
      </c>
      <c r="D5450" t="str">
        <f>VLOOKUP(B5450,ERA_MOTIF_TYPES.csv!$A$1:$C$119,2,1)</f>
        <v>Cups Single</v>
      </c>
      <c r="E5450" t="str">
        <f>VLOOKUP(A5450,Panels!$A$1:$E$2104,5,0)</f>
        <v>Glovershaw Farm</v>
      </c>
    </row>
    <row r="5451">
      <c r="A5451" s="3">
        <v>2665.0</v>
      </c>
      <c r="B5451" s="3">
        <v>31.0</v>
      </c>
      <c r="C5451" s="3">
        <v>1.0</v>
      </c>
      <c r="D5451" t="str">
        <f>VLOOKUP(B5451,ERA_MOTIF_TYPES.csv!$A$1:$C$119,2,1)</f>
        <v>Cup and Groove</v>
      </c>
      <c r="E5451" t="str">
        <f>VLOOKUP(A5451,Panels!$A$1:$E$2104,5,0)</f>
        <v>Glovershaw Farm</v>
      </c>
    </row>
    <row r="5452">
      <c r="A5452" s="3">
        <v>2666.0</v>
      </c>
      <c r="B5452" s="3">
        <v>1.0</v>
      </c>
      <c r="C5452" s="3">
        <v>2.0</v>
      </c>
      <c r="D5452" t="str">
        <f>VLOOKUP(B5452,ERA_MOTIF_TYPES.csv!$A$1:$C$119,2,1)</f>
        <v>Cups Single</v>
      </c>
      <c r="E5452" t="str">
        <f>VLOOKUP(A5452,Panels!$A$1:$E$2104,5,0)</f>
        <v>Glovershaw Farm</v>
      </c>
    </row>
    <row r="5453">
      <c r="A5453" s="3">
        <v>2667.0</v>
      </c>
      <c r="B5453" s="3">
        <v>16.0</v>
      </c>
      <c r="C5453" s="3">
        <v>1.0</v>
      </c>
      <c r="D5453" t="str">
        <f>VLOOKUP(B5453,ERA_MOTIF_TYPES.csv!$A$1:$C$119,2,1)</f>
        <v>Single Arc + cup</v>
      </c>
      <c r="E5453" t="str">
        <f>VLOOKUP(A5453,Panels!$A$1:$E$2104,5,0)</f>
        <v>Glovershaw Farm</v>
      </c>
    </row>
    <row r="5454">
      <c r="A5454" s="3">
        <v>2667.0</v>
      </c>
      <c r="B5454" s="3">
        <v>17.0</v>
      </c>
      <c r="C5454" s="3">
        <v>1.0</v>
      </c>
      <c r="D5454" t="str">
        <f>VLOOKUP(B5454,ERA_MOTIF_TYPES.csv!$A$1:$C$119,2,1)</f>
        <v>Single Penannular + cup</v>
      </c>
      <c r="E5454" t="str">
        <f>VLOOKUP(A5454,Panels!$A$1:$E$2104,5,0)</f>
        <v>Glovershaw Farm</v>
      </c>
    </row>
    <row r="5455">
      <c r="A5455" s="3">
        <v>2668.0</v>
      </c>
      <c r="B5455" s="3">
        <v>1.0</v>
      </c>
      <c r="C5455" s="3">
        <v>1.0</v>
      </c>
      <c r="D5455" t="str">
        <f>VLOOKUP(B5455,ERA_MOTIF_TYPES.csv!$A$1:$C$119,2,1)</f>
        <v>Cups Single</v>
      </c>
      <c r="E5455" t="str">
        <f>VLOOKUP(A5455,Panels!$A$1:$E$2104,5,0)</f>
        <v>Glovershaw Farm</v>
      </c>
    </row>
    <row r="5456">
      <c r="A5456" s="3">
        <v>2669.0</v>
      </c>
      <c r="B5456" s="3">
        <v>1.0</v>
      </c>
      <c r="C5456" s="3">
        <v>1.0</v>
      </c>
      <c r="D5456" t="str">
        <f>VLOOKUP(B5456,ERA_MOTIF_TYPES.csv!$A$1:$C$119,2,1)</f>
        <v>Cups Single</v>
      </c>
      <c r="E5456" t="str">
        <f>VLOOKUP(A5456,Panels!$A$1:$E$2104,5,0)</f>
        <v>Glovershaw Farm</v>
      </c>
    </row>
    <row r="5457">
      <c r="A5457" s="3">
        <v>2669.0</v>
      </c>
      <c r="B5457" s="3">
        <v>13.0</v>
      </c>
      <c r="C5457" s="3">
        <v>2.0</v>
      </c>
      <c r="D5457" t="str">
        <f>VLOOKUP(B5457,ERA_MOTIF_TYPES.csv!$A$1:$C$119,2,1)</f>
        <v>Single Ring + cup</v>
      </c>
      <c r="E5457" t="str">
        <f>VLOOKUP(A5457,Panels!$A$1:$E$2104,5,0)</f>
        <v>Glovershaw Farm</v>
      </c>
    </row>
    <row r="5458">
      <c r="A5458" s="3">
        <v>2669.0</v>
      </c>
      <c r="B5458" s="3">
        <v>16.0</v>
      </c>
      <c r="C5458" s="3">
        <v>2.0</v>
      </c>
      <c r="D5458" t="str">
        <f>VLOOKUP(B5458,ERA_MOTIF_TYPES.csv!$A$1:$C$119,2,1)</f>
        <v>Single Arc + cup</v>
      </c>
      <c r="E5458" t="str">
        <f>VLOOKUP(A5458,Panels!$A$1:$E$2104,5,0)</f>
        <v>Glovershaw Farm</v>
      </c>
    </row>
    <row r="5459">
      <c r="A5459" s="3">
        <v>2669.0</v>
      </c>
      <c r="B5459" s="3">
        <v>27.0</v>
      </c>
      <c r="C5459" s="3">
        <v>1.0</v>
      </c>
      <c r="D5459" t="str">
        <f>VLOOKUP(B5459,ERA_MOTIF_TYPES.csv!$A$1:$C$119,2,1)</f>
        <v>Serpentine</v>
      </c>
      <c r="E5459" t="str">
        <f>VLOOKUP(A5459,Panels!$A$1:$E$2104,5,0)</f>
        <v>Glovershaw Farm</v>
      </c>
    </row>
    <row r="5460">
      <c r="A5460" s="3">
        <v>2669.0</v>
      </c>
      <c r="B5460" s="3">
        <v>32.0</v>
      </c>
      <c r="C5460" s="3">
        <v>1.0</v>
      </c>
      <c r="D5460" t="str">
        <f>VLOOKUP(B5460,ERA_MOTIF_TYPES.csv!$A$1:$C$119,2,1)</f>
        <v>Cup Groove and single ring</v>
      </c>
      <c r="E5460" t="str">
        <f>VLOOKUP(A5460,Panels!$A$1:$E$2104,5,0)</f>
        <v>Glovershaw Farm</v>
      </c>
    </row>
    <row r="5461">
      <c r="A5461" s="3">
        <v>2670.0</v>
      </c>
      <c r="B5461" s="3">
        <v>1.0</v>
      </c>
      <c r="C5461" s="3">
        <v>1.0</v>
      </c>
      <c r="D5461" t="str">
        <f>VLOOKUP(B5461,ERA_MOTIF_TYPES.csv!$A$1:$C$119,2,1)</f>
        <v>Cups Single</v>
      </c>
      <c r="E5461" t="str">
        <f>VLOOKUP(A5461,Panels!$A$1:$E$2104,5,0)</f>
        <v>Brunthwaite Crag</v>
      </c>
    </row>
    <row r="5462">
      <c r="A5462" s="3">
        <v>2670.0</v>
      </c>
      <c r="B5462" s="3">
        <v>36.0</v>
      </c>
      <c r="C5462" s="3">
        <v>1.0</v>
      </c>
      <c r="D5462" t="str">
        <f>VLOOKUP(B5462,ERA_MOTIF_TYPES.csv!$A$1:$C$119,2,1)</f>
        <v>Cup Groove and arc</v>
      </c>
      <c r="E5462" t="str">
        <f>VLOOKUP(A5462,Panels!$A$1:$E$2104,5,0)</f>
        <v>Brunthwaite Crag</v>
      </c>
    </row>
    <row r="5463">
      <c r="A5463" s="3">
        <v>2670.0</v>
      </c>
      <c r="B5463" s="3">
        <v>118.0</v>
      </c>
      <c r="C5463" s="1"/>
      <c r="D5463" t="str">
        <f>VLOOKUP(B5463,ERA_MOTIF_TYPES.csv!$A$1:$C$119,2,1)</f>
        <v>Random peck marks</v>
      </c>
      <c r="E5463" t="str">
        <f>VLOOKUP(A5463,Panels!$A$1:$E$2104,5,0)</f>
        <v>Brunthwaite Crag</v>
      </c>
    </row>
    <row r="5464">
      <c r="A5464" s="3">
        <v>2671.0</v>
      </c>
      <c r="B5464" s="3">
        <v>1.0</v>
      </c>
      <c r="C5464" s="3">
        <v>3.0</v>
      </c>
      <c r="D5464" t="str">
        <f>VLOOKUP(B5464,ERA_MOTIF_TYPES.csv!$A$1:$C$119,2,1)</f>
        <v>Cups Single</v>
      </c>
      <c r="E5464" t="str">
        <f>VLOOKUP(A5464,Panels!$A$1:$E$2104,5,0)</f>
        <v>Haw</v>
      </c>
    </row>
    <row r="5465">
      <c r="A5465" s="3">
        <v>2671.0</v>
      </c>
      <c r="B5465" s="3">
        <v>31.0</v>
      </c>
      <c r="C5465" s="3">
        <v>1.0</v>
      </c>
      <c r="D5465" t="str">
        <f>VLOOKUP(B5465,ERA_MOTIF_TYPES.csv!$A$1:$C$119,2,1)</f>
        <v>Cup and Groove</v>
      </c>
      <c r="E5465" t="str">
        <f>VLOOKUP(A5465,Panels!$A$1:$E$2104,5,0)</f>
        <v>Haw</v>
      </c>
    </row>
    <row r="5466">
      <c r="A5466" s="3">
        <v>2671.0</v>
      </c>
      <c r="B5466" s="3">
        <v>117.0</v>
      </c>
      <c r="C5466" s="3">
        <v>1.0</v>
      </c>
      <c r="D5466" t="str">
        <f>VLOOKUP(B5466,ERA_MOTIF_TYPES.csv!$A$1:$C$119,2,1)</f>
        <v>Dumb-bell</v>
      </c>
      <c r="E5466" t="str">
        <f>VLOOKUP(A5466,Panels!$A$1:$E$2104,5,0)</f>
        <v>Haw</v>
      </c>
    </row>
    <row r="5467">
      <c r="A5467" s="3">
        <v>2672.0</v>
      </c>
      <c r="B5467" s="3">
        <v>1.0</v>
      </c>
      <c r="C5467" s="3">
        <v>39.0</v>
      </c>
      <c r="D5467" t="str">
        <f>VLOOKUP(B5467,ERA_MOTIF_TYPES.csv!$A$1:$C$119,2,1)</f>
        <v>Cups Single</v>
      </c>
      <c r="E5467" t="str">
        <f>VLOOKUP(A5467,Panels!$A$1:$E$2104,5,0)</f>
        <v>Glovershaw Farm</v>
      </c>
    </row>
    <row r="5468">
      <c r="A5468" s="3">
        <v>2672.0</v>
      </c>
      <c r="B5468" s="3">
        <v>25.0</v>
      </c>
      <c r="C5468" s="3">
        <v>4.0</v>
      </c>
      <c r="D5468" t="str">
        <f>VLOOKUP(B5468,ERA_MOTIF_TYPES.csv!$A$1:$C$119,2,1)</f>
        <v>Linear</v>
      </c>
      <c r="E5468" t="str">
        <f>VLOOKUP(A5468,Panels!$A$1:$E$2104,5,0)</f>
        <v>Glovershaw Farm</v>
      </c>
    </row>
    <row r="5469">
      <c r="A5469" s="3">
        <v>2672.0</v>
      </c>
      <c r="B5469" s="3">
        <v>27.0</v>
      </c>
      <c r="C5469" s="3">
        <v>4.0</v>
      </c>
      <c r="D5469" t="str">
        <f>VLOOKUP(B5469,ERA_MOTIF_TYPES.csv!$A$1:$C$119,2,1)</f>
        <v>Serpentine</v>
      </c>
      <c r="E5469" t="str">
        <f>VLOOKUP(A5469,Panels!$A$1:$E$2104,5,0)</f>
        <v>Glovershaw Farm</v>
      </c>
    </row>
    <row r="5470">
      <c r="A5470" s="3">
        <v>2672.0</v>
      </c>
      <c r="B5470" s="3">
        <v>31.0</v>
      </c>
      <c r="C5470" s="3">
        <v>5.0</v>
      </c>
      <c r="D5470" t="str">
        <f>VLOOKUP(B5470,ERA_MOTIF_TYPES.csv!$A$1:$C$119,2,1)</f>
        <v>Cup and Groove</v>
      </c>
      <c r="E5470" t="str">
        <f>VLOOKUP(A5470,Panels!$A$1:$E$2104,5,0)</f>
        <v>Glovershaw Farm</v>
      </c>
    </row>
    <row r="5471">
      <c r="A5471" s="3">
        <v>2672.0</v>
      </c>
      <c r="B5471" s="3">
        <v>32.0</v>
      </c>
      <c r="C5471" s="3">
        <v>1.0</v>
      </c>
      <c r="D5471" t="str">
        <f>VLOOKUP(B5471,ERA_MOTIF_TYPES.csv!$A$1:$C$119,2,1)</f>
        <v>Cup Groove and single ring</v>
      </c>
      <c r="E5471" t="str">
        <f>VLOOKUP(A5471,Panels!$A$1:$E$2104,5,0)</f>
        <v>Glovershaw Farm</v>
      </c>
    </row>
    <row r="5472">
      <c r="A5472" s="3">
        <v>2672.0</v>
      </c>
      <c r="B5472" s="3">
        <v>36.0</v>
      </c>
      <c r="C5472" s="3">
        <v>1.0</v>
      </c>
      <c r="D5472" t="str">
        <f>VLOOKUP(B5472,ERA_MOTIF_TYPES.csv!$A$1:$C$119,2,1)</f>
        <v>Cup Groove and arc</v>
      </c>
      <c r="E5472" t="str">
        <f>VLOOKUP(A5472,Panels!$A$1:$E$2104,5,0)</f>
        <v>Glovershaw Farm</v>
      </c>
    </row>
    <row r="5473">
      <c r="A5473" s="3">
        <v>2672.0</v>
      </c>
      <c r="B5473" s="3">
        <v>117.0</v>
      </c>
      <c r="C5473" s="3">
        <v>1.0</v>
      </c>
      <c r="D5473" t="str">
        <f>VLOOKUP(B5473,ERA_MOTIF_TYPES.csv!$A$1:$C$119,2,1)</f>
        <v>Dumb-bell</v>
      </c>
      <c r="E5473" t="str">
        <f>VLOOKUP(A5473,Panels!$A$1:$E$2104,5,0)</f>
        <v>Glovershaw Farm</v>
      </c>
    </row>
    <row r="5474">
      <c r="A5474" s="3">
        <v>2672.0</v>
      </c>
      <c r="B5474" s="3">
        <v>118.0</v>
      </c>
      <c r="C5474" s="3">
        <v>1.0</v>
      </c>
      <c r="D5474" t="str">
        <f>VLOOKUP(B5474,ERA_MOTIF_TYPES.csv!$A$1:$C$119,2,1)</f>
        <v>Random peck marks</v>
      </c>
      <c r="E5474" t="str">
        <f>VLOOKUP(A5474,Panels!$A$1:$E$2104,5,0)</f>
        <v>Glovershaw Farm</v>
      </c>
    </row>
    <row r="5475">
      <c r="A5475" s="3">
        <v>2673.0</v>
      </c>
      <c r="B5475" s="3">
        <v>1.0</v>
      </c>
      <c r="C5475" s="3">
        <v>1.0</v>
      </c>
      <c r="D5475" t="str">
        <f>VLOOKUP(B5475,ERA_MOTIF_TYPES.csv!$A$1:$C$119,2,1)</f>
        <v>Cups Single</v>
      </c>
      <c r="E5475" t="str">
        <f>VLOOKUP(A5475,Panels!$A$1:$E$2104,5,0)</f>
        <v>The Springs</v>
      </c>
    </row>
    <row r="5476">
      <c r="A5476" s="3">
        <v>2673.0</v>
      </c>
      <c r="B5476" s="3">
        <v>31.0</v>
      </c>
      <c r="C5476" s="3">
        <v>1.0</v>
      </c>
      <c r="D5476" t="str">
        <f>VLOOKUP(B5476,ERA_MOTIF_TYPES.csv!$A$1:$C$119,2,1)</f>
        <v>Cup and Groove</v>
      </c>
      <c r="E5476" t="str">
        <f>VLOOKUP(A5476,Panels!$A$1:$E$2104,5,0)</f>
        <v>The Springs</v>
      </c>
    </row>
    <row r="5477">
      <c r="A5477" s="3">
        <v>2674.0</v>
      </c>
      <c r="B5477" s="3">
        <v>1.0</v>
      </c>
      <c r="C5477" s="3">
        <v>8.0</v>
      </c>
      <c r="D5477" t="str">
        <f>VLOOKUP(B5477,ERA_MOTIF_TYPES.csv!$A$1:$C$119,2,1)</f>
        <v>Cups Single</v>
      </c>
      <c r="E5477" t="str">
        <f>VLOOKUP(A5477,Panels!$A$1:$E$2104,5,0)</f>
        <v>Meadowsweet Farm</v>
      </c>
    </row>
    <row r="5478">
      <c r="A5478" s="3">
        <v>2674.0</v>
      </c>
      <c r="B5478" s="3">
        <v>25.0</v>
      </c>
      <c r="C5478" s="3">
        <v>1.0</v>
      </c>
      <c r="D5478" t="str">
        <f>VLOOKUP(B5478,ERA_MOTIF_TYPES.csv!$A$1:$C$119,2,1)</f>
        <v>Linear</v>
      </c>
      <c r="E5478" t="str">
        <f>VLOOKUP(A5478,Panels!$A$1:$E$2104,5,0)</f>
        <v>Meadowsweet Farm</v>
      </c>
    </row>
    <row r="5479">
      <c r="A5479" s="3">
        <v>2674.0</v>
      </c>
      <c r="B5479" s="3">
        <v>31.0</v>
      </c>
      <c r="C5479" s="3">
        <v>3.0</v>
      </c>
      <c r="D5479" t="str">
        <f>VLOOKUP(B5479,ERA_MOTIF_TYPES.csv!$A$1:$C$119,2,1)</f>
        <v>Cup and Groove</v>
      </c>
      <c r="E5479" t="str">
        <f>VLOOKUP(A5479,Panels!$A$1:$E$2104,5,0)</f>
        <v>Meadowsweet Farm</v>
      </c>
    </row>
    <row r="5480">
      <c r="A5480" s="3">
        <v>2674.0</v>
      </c>
      <c r="B5480" s="3">
        <v>117.0</v>
      </c>
      <c r="C5480" s="3">
        <v>1.0</v>
      </c>
      <c r="D5480" t="str">
        <f>VLOOKUP(B5480,ERA_MOTIF_TYPES.csv!$A$1:$C$119,2,1)</f>
        <v>Dumb-bell</v>
      </c>
      <c r="E5480" t="str">
        <f>VLOOKUP(A5480,Panels!$A$1:$E$2104,5,0)</f>
        <v>Meadowsweet Farm</v>
      </c>
    </row>
    <row r="5481">
      <c r="A5481" s="3">
        <v>2675.0</v>
      </c>
      <c r="B5481" s="3">
        <v>1.0</v>
      </c>
      <c r="C5481" s="3">
        <v>35.0</v>
      </c>
      <c r="D5481" t="str">
        <f>VLOOKUP(B5481,ERA_MOTIF_TYPES.csv!$A$1:$C$119,2,1)</f>
        <v>Cups Single</v>
      </c>
      <c r="E5481" t="str">
        <f>VLOOKUP(A5481,Panels!$A$1:$E$2104,5,0)</f>
        <v>Hangingstones Rock</v>
      </c>
    </row>
    <row r="5482">
      <c r="A5482" s="3">
        <v>2675.0</v>
      </c>
      <c r="B5482" s="3">
        <v>13.0</v>
      </c>
      <c r="C5482" s="3">
        <v>2.0</v>
      </c>
      <c r="D5482" t="str">
        <f>VLOOKUP(B5482,ERA_MOTIF_TYPES.csv!$A$1:$C$119,2,1)</f>
        <v>Single Ring + cup</v>
      </c>
      <c r="E5482" t="str">
        <f>VLOOKUP(A5482,Panels!$A$1:$E$2104,5,0)</f>
        <v>Hangingstones Rock</v>
      </c>
    </row>
    <row r="5483">
      <c r="A5483" s="3">
        <v>2675.0</v>
      </c>
      <c r="B5483" s="3">
        <v>16.0</v>
      </c>
      <c r="C5483" s="3">
        <v>4.0</v>
      </c>
      <c r="D5483" t="str">
        <f>VLOOKUP(B5483,ERA_MOTIF_TYPES.csv!$A$1:$C$119,2,1)</f>
        <v>Single Arc + cup</v>
      </c>
      <c r="E5483" t="str">
        <f>VLOOKUP(A5483,Panels!$A$1:$E$2104,5,0)</f>
        <v>Hangingstones Rock</v>
      </c>
    </row>
    <row r="5484">
      <c r="A5484" s="3">
        <v>2675.0</v>
      </c>
      <c r="B5484" s="3">
        <v>18.0</v>
      </c>
      <c r="C5484" s="3">
        <v>1.0</v>
      </c>
      <c r="D5484" t="str">
        <f>VLOOKUP(B5484,ERA_MOTIF_TYPES.csv!$A$1:$C$119,2,1)</f>
        <v>Multi Arc + cup</v>
      </c>
      <c r="E5484" t="str">
        <f>VLOOKUP(A5484,Panels!$A$1:$E$2104,5,0)</f>
        <v>Hangingstones Rock</v>
      </c>
    </row>
    <row r="5485">
      <c r="A5485" s="3">
        <v>2675.0</v>
      </c>
      <c r="B5485" s="3">
        <v>25.0</v>
      </c>
      <c r="C5485" s="3">
        <v>6.0</v>
      </c>
      <c r="D5485" t="str">
        <f>VLOOKUP(B5485,ERA_MOTIF_TYPES.csv!$A$1:$C$119,2,1)</f>
        <v>Linear</v>
      </c>
      <c r="E5485" t="str">
        <f>VLOOKUP(A5485,Panels!$A$1:$E$2104,5,0)</f>
        <v>Hangingstones Rock</v>
      </c>
    </row>
    <row r="5486">
      <c r="A5486" s="3">
        <v>2675.0</v>
      </c>
      <c r="B5486" s="3">
        <v>27.0</v>
      </c>
      <c r="C5486" s="3">
        <v>1.0</v>
      </c>
      <c r="D5486" t="str">
        <f>VLOOKUP(B5486,ERA_MOTIF_TYPES.csv!$A$1:$C$119,2,1)</f>
        <v>Serpentine</v>
      </c>
      <c r="E5486" t="str">
        <f>VLOOKUP(A5486,Panels!$A$1:$E$2104,5,0)</f>
        <v>Hangingstones Rock</v>
      </c>
    </row>
    <row r="5487">
      <c r="A5487" s="3">
        <v>2675.0</v>
      </c>
      <c r="B5487" s="3">
        <v>46.0</v>
      </c>
      <c r="C5487" s="3">
        <v>4.0</v>
      </c>
      <c r="D5487" t="str">
        <f>VLOOKUP(B5487,ERA_MOTIF_TYPES.csv!$A$1:$C$119,2,1)</f>
        <v>Groove and cups</v>
      </c>
      <c r="E5487" t="str">
        <f>VLOOKUP(A5487,Panels!$A$1:$E$2104,5,0)</f>
        <v>Hangingstones Rock</v>
      </c>
    </row>
    <row r="5488">
      <c r="A5488" s="3">
        <v>2675.0</v>
      </c>
      <c r="B5488" s="3">
        <v>117.0</v>
      </c>
      <c r="C5488" s="3">
        <v>1.0</v>
      </c>
      <c r="D5488" t="str">
        <f>VLOOKUP(B5488,ERA_MOTIF_TYPES.csv!$A$1:$C$119,2,1)</f>
        <v>Dumb-bell</v>
      </c>
      <c r="E5488" t="str">
        <f>VLOOKUP(A5488,Panels!$A$1:$E$2104,5,0)</f>
        <v>Hangingstones Rock</v>
      </c>
    </row>
    <row r="5489">
      <c r="A5489" s="3">
        <v>2676.0</v>
      </c>
      <c r="B5489" s="3">
        <v>1.0</v>
      </c>
      <c r="C5489" s="3">
        <v>4.0</v>
      </c>
      <c r="D5489" t="str">
        <f>VLOOKUP(B5489,ERA_MOTIF_TYPES.csv!$A$1:$C$119,2,1)</f>
        <v>Cups Single</v>
      </c>
      <c r="E5489" t="str">
        <f>VLOOKUP(A5489,Panels!$A$1:$E$2104,5,0)</f>
        <v>Panorama Woods</v>
      </c>
    </row>
    <row r="5490">
      <c r="A5490" s="3">
        <v>2677.0</v>
      </c>
      <c r="B5490" s="3">
        <v>1.0</v>
      </c>
      <c r="C5490" s="3">
        <v>1.0</v>
      </c>
      <c r="D5490" t="str">
        <f>VLOOKUP(B5490,ERA_MOTIF_TYPES.csv!$A$1:$C$119,2,1)</f>
        <v>Cups Single</v>
      </c>
      <c r="E5490" t="str">
        <f>VLOOKUP(A5490,Panels!$A$1:$E$2104,5,0)</f>
        <v>Panorama Woods</v>
      </c>
    </row>
    <row r="5491">
      <c r="A5491" s="3">
        <v>2678.0</v>
      </c>
      <c r="B5491" s="3">
        <v>1.0</v>
      </c>
      <c r="C5491" s="3">
        <v>23.0</v>
      </c>
      <c r="D5491" t="str">
        <f>VLOOKUP(B5491,ERA_MOTIF_TYPES.csv!$A$1:$C$119,2,1)</f>
        <v>Cups Single</v>
      </c>
      <c r="E5491" t="str">
        <f>VLOOKUP(A5491,Panels!$A$1:$E$2104,5,0)</f>
        <v>Panorama Woods</v>
      </c>
    </row>
    <row r="5492">
      <c r="A5492" s="3">
        <v>2678.0</v>
      </c>
      <c r="B5492" s="3">
        <v>31.0</v>
      </c>
      <c r="C5492" s="3">
        <v>1.0</v>
      </c>
      <c r="D5492" t="str">
        <f>VLOOKUP(B5492,ERA_MOTIF_TYPES.csv!$A$1:$C$119,2,1)</f>
        <v>Cup and Groove</v>
      </c>
      <c r="E5492" t="str">
        <f>VLOOKUP(A5492,Panels!$A$1:$E$2104,5,0)</f>
        <v>Panorama Woods</v>
      </c>
    </row>
    <row r="5493">
      <c r="A5493" s="3">
        <v>2678.0</v>
      </c>
      <c r="B5493" s="3">
        <v>46.0</v>
      </c>
      <c r="C5493" s="3">
        <v>1.0</v>
      </c>
      <c r="D5493" t="str">
        <f>VLOOKUP(B5493,ERA_MOTIF_TYPES.csv!$A$1:$C$119,2,1)</f>
        <v>Groove and cups</v>
      </c>
      <c r="E5493" t="str">
        <f>VLOOKUP(A5493,Panels!$A$1:$E$2104,5,0)</f>
        <v>Panorama Woods</v>
      </c>
    </row>
    <row r="5494">
      <c r="A5494" s="3">
        <v>2679.0</v>
      </c>
      <c r="B5494" s="3">
        <v>1.0</v>
      </c>
      <c r="C5494" s="3">
        <v>8.0</v>
      </c>
      <c r="D5494" t="str">
        <f>VLOOKUP(B5494,ERA_MOTIF_TYPES.csv!$A$1:$C$119,2,1)</f>
        <v>Cups Single</v>
      </c>
      <c r="E5494" t="str">
        <f>VLOOKUP(A5494,Panels!$A$1:$E$2104,5,0)</f>
        <v>Panorama Woods</v>
      </c>
    </row>
    <row r="5495">
      <c r="A5495" s="3">
        <v>2679.0</v>
      </c>
      <c r="B5495" s="3">
        <v>7.0</v>
      </c>
      <c r="C5495" s="3">
        <v>2.0</v>
      </c>
      <c r="D5495" t="str">
        <f>VLOOKUP(B5495,ERA_MOTIF_TYPES.csv!$A$1:$C$119,2,1)</f>
        <v>Single Ring</v>
      </c>
      <c r="E5495" t="str">
        <f>VLOOKUP(A5495,Panels!$A$1:$E$2104,5,0)</f>
        <v>Panorama Woods</v>
      </c>
    </row>
    <row r="5496">
      <c r="A5496" s="3">
        <v>2680.0</v>
      </c>
      <c r="B5496" s="3">
        <v>13.0</v>
      </c>
      <c r="C5496" s="3">
        <v>1.0</v>
      </c>
      <c r="D5496" t="str">
        <f>VLOOKUP(B5496,ERA_MOTIF_TYPES.csv!$A$1:$C$119,2,1)</f>
        <v>Single Ring + cup</v>
      </c>
      <c r="E5496" t="str">
        <f>VLOOKUP(A5496,Panels!$A$1:$E$2104,5,0)</f>
        <v>Panorama Woods</v>
      </c>
    </row>
    <row r="5497">
      <c r="A5497" s="3">
        <v>2681.0</v>
      </c>
      <c r="B5497" s="3">
        <v>1.0</v>
      </c>
      <c r="C5497" s="3">
        <v>10.0</v>
      </c>
      <c r="D5497" t="str">
        <f>VLOOKUP(B5497,ERA_MOTIF_TYPES.csv!$A$1:$C$119,2,1)</f>
        <v>Cups Single</v>
      </c>
      <c r="E5497" t="str">
        <f>VLOOKUP(A5497,Panels!$A$1:$E$2104,5,0)</f>
        <v>Panorama Rocks</v>
      </c>
    </row>
    <row r="5498">
      <c r="A5498" s="3">
        <v>2681.0</v>
      </c>
      <c r="B5498" s="3">
        <v>15.0</v>
      </c>
      <c r="C5498" s="3">
        <v>1.0</v>
      </c>
      <c r="D5498" t="str">
        <f>VLOOKUP(B5498,ERA_MOTIF_TYPES.csv!$A$1:$C$119,2,1)</f>
        <v>Multi Penanular + cup</v>
      </c>
      <c r="E5498" t="str">
        <f>VLOOKUP(A5498,Panels!$A$1:$E$2104,5,0)</f>
        <v>Panorama Rocks</v>
      </c>
    </row>
    <row r="5499">
      <c r="A5499" s="3">
        <v>2681.0</v>
      </c>
      <c r="B5499" s="3">
        <v>16.0</v>
      </c>
      <c r="C5499" s="3">
        <v>1.0</v>
      </c>
      <c r="D5499" t="str">
        <f>VLOOKUP(B5499,ERA_MOTIF_TYPES.csv!$A$1:$C$119,2,1)</f>
        <v>Single Arc + cup</v>
      </c>
      <c r="E5499" t="str">
        <f>VLOOKUP(A5499,Panels!$A$1:$E$2104,5,0)</f>
        <v>Panorama Rocks</v>
      </c>
    </row>
    <row r="5500">
      <c r="A5500" s="3">
        <v>2681.0</v>
      </c>
      <c r="B5500" s="3">
        <v>18.0</v>
      </c>
      <c r="C5500" s="1"/>
      <c r="D5500" t="str">
        <f>VLOOKUP(B5500,ERA_MOTIF_TYPES.csv!$A$1:$C$119,2,1)</f>
        <v>Multi Arc + cup</v>
      </c>
      <c r="E5500" t="str">
        <f>VLOOKUP(A5500,Panels!$A$1:$E$2104,5,0)</f>
        <v>Panorama Rocks</v>
      </c>
    </row>
    <row r="5501">
      <c r="A5501" s="3">
        <v>2681.0</v>
      </c>
      <c r="B5501" s="3">
        <v>31.0</v>
      </c>
      <c r="C5501" s="3">
        <v>2.0</v>
      </c>
      <c r="D5501" t="str">
        <f>VLOOKUP(B5501,ERA_MOTIF_TYPES.csv!$A$1:$C$119,2,1)</f>
        <v>Cup and Groove</v>
      </c>
      <c r="E5501" t="str">
        <f>VLOOKUP(A5501,Panels!$A$1:$E$2104,5,0)</f>
        <v>Panorama Rocks</v>
      </c>
    </row>
    <row r="5502">
      <c r="A5502" s="3">
        <v>2681.0</v>
      </c>
      <c r="B5502" s="3">
        <v>32.0</v>
      </c>
      <c r="C5502" s="3">
        <v>1.0</v>
      </c>
      <c r="D5502" t="str">
        <f>VLOOKUP(B5502,ERA_MOTIF_TYPES.csv!$A$1:$C$119,2,1)</f>
        <v>Cup Groove and single ring</v>
      </c>
      <c r="E5502" t="str">
        <f>VLOOKUP(A5502,Panels!$A$1:$E$2104,5,0)</f>
        <v>Panorama Rocks</v>
      </c>
    </row>
    <row r="5503">
      <c r="A5503" s="3">
        <v>2682.0</v>
      </c>
      <c r="B5503" s="3">
        <v>1.0</v>
      </c>
      <c r="C5503" s="3">
        <v>29.0</v>
      </c>
      <c r="D5503" t="str">
        <f>VLOOKUP(B5503,ERA_MOTIF_TYPES.csv!$A$1:$C$119,2,1)</f>
        <v>Cups Single</v>
      </c>
      <c r="E5503" t="str">
        <f>VLOOKUP(A5503,Panels!$A$1:$E$2104,5,0)</f>
        <v>Panorama Rocks</v>
      </c>
    </row>
    <row r="5504">
      <c r="A5504" s="3">
        <v>2682.0</v>
      </c>
      <c r="B5504" s="3">
        <v>13.0</v>
      </c>
      <c r="C5504" s="3">
        <v>3.0</v>
      </c>
      <c r="D5504" t="str">
        <f>VLOOKUP(B5504,ERA_MOTIF_TYPES.csv!$A$1:$C$119,2,1)</f>
        <v>Single Ring + cup</v>
      </c>
      <c r="E5504" t="str">
        <f>VLOOKUP(A5504,Panels!$A$1:$E$2104,5,0)</f>
        <v>Panorama Rocks</v>
      </c>
    </row>
    <row r="5505">
      <c r="A5505" s="3">
        <v>2682.0</v>
      </c>
      <c r="B5505" s="3">
        <v>16.0</v>
      </c>
      <c r="C5505" s="3">
        <v>1.0</v>
      </c>
      <c r="D5505" t="str">
        <f>VLOOKUP(B5505,ERA_MOTIF_TYPES.csv!$A$1:$C$119,2,1)</f>
        <v>Single Arc + cup</v>
      </c>
      <c r="E5505" t="str">
        <f>VLOOKUP(A5505,Panels!$A$1:$E$2104,5,0)</f>
        <v>Panorama Rocks</v>
      </c>
    </row>
    <row r="5506">
      <c r="A5506" s="3">
        <v>2682.0</v>
      </c>
      <c r="B5506" s="3">
        <v>18.0</v>
      </c>
      <c r="C5506" s="3">
        <v>2.0</v>
      </c>
      <c r="D5506" t="str">
        <f>VLOOKUP(B5506,ERA_MOTIF_TYPES.csv!$A$1:$C$119,2,1)</f>
        <v>Multi Arc + cup</v>
      </c>
      <c r="E5506" t="str">
        <f>VLOOKUP(A5506,Panels!$A$1:$E$2104,5,0)</f>
        <v>Panorama Rocks</v>
      </c>
    </row>
    <row r="5507">
      <c r="A5507" s="3">
        <v>2682.0</v>
      </c>
      <c r="B5507" s="3">
        <v>31.0</v>
      </c>
      <c r="C5507" s="3">
        <v>3.0</v>
      </c>
      <c r="D5507" t="str">
        <f>VLOOKUP(B5507,ERA_MOTIF_TYPES.csv!$A$1:$C$119,2,1)</f>
        <v>Cup and Groove</v>
      </c>
      <c r="E5507" t="str">
        <f>VLOOKUP(A5507,Panels!$A$1:$E$2104,5,0)</f>
        <v>Panorama Rocks</v>
      </c>
    </row>
    <row r="5508">
      <c r="A5508" s="3">
        <v>2682.0</v>
      </c>
      <c r="B5508" s="3">
        <v>34.0</v>
      </c>
      <c r="C5508" s="3">
        <v>1.0</v>
      </c>
      <c r="D5508" t="str">
        <f>VLOOKUP(B5508,ERA_MOTIF_TYPES.csv!$A$1:$C$119,2,1)</f>
        <v>Cup Groove and penannular</v>
      </c>
      <c r="E5508" t="str">
        <f>VLOOKUP(A5508,Panels!$A$1:$E$2104,5,0)</f>
        <v>Panorama Rocks</v>
      </c>
    </row>
    <row r="5509">
      <c r="A5509" s="3">
        <v>2682.0</v>
      </c>
      <c r="B5509" s="3">
        <v>35.0</v>
      </c>
      <c r="C5509" s="3">
        <v>1.0</v>
      </c>
      <c r="D5509" t="str">
        <f>VLOOKUP(B5509,ERA_MOTIF_TYPES.csv!$A$1:$C$119,2,1)</f>
        <v>Cup Groove and multi penannular</v>
      </c>
      <c r="E5509" t="str">
        <f>VLOOKUP(A5509,Panels!$A$1:$E$2104,5,0)</f>
        <v>Panorama Rocks</v>
      </c>
    </row>
    <row r="5510">
      <c r="A5510" s="3">
        <v>2682.0</v>
      </c>
      <c r="B5510" s="3">
        <v>36.0</v>
      </c>
      <c r="C5510" s="3">
        <v>1.0</v>
      </c>
      <c r="D5510" t="str">
        <f>VLOOKUP(B5510,ERA_MOTIF_TYPES.csv!$A$1:$C$119,2,1)</f>
        <v>Cup Groove and arc</v>
      </c>
      <c r="E5510" t="str">
        <f>VLOOKUP(A5510,Panels!$A$1:$E$2104,5,0)</f>
        <v>Panorama Rocks</v>
      </c>
    </row>
    <row r="5511">
      <c r="A5511" s="3">
        <v>2683.0</v>
      </c>
      <c r="B5511" s="3">
        <v>1.0</v>
      </c>
      <c r="C5511" s="3">
        <v>7.0</v>
      </c>
      <c r="D5511" t="str">
        <f>VLOOKUP(B5511,ERA_MOTIF_TYPES.csv!$A$1:$C$119,2,1)</f>
        <v>Cups Single</v>
      </c>
      <c r="E5511" t="str">
        <f>VLOOKUP(A5511,Panels!$A$1:$E$2104,5,0)</f>
        <v>Panorama Rocks</v>
      </c>
    </row>
    <row r="5512">
      <c r="A5512" s="3">
        <v>2683.0</v>
      </c>
      <c r="B5512" s="3">
        <v>13.0</v>
      </c>
      <c r="C5512" s="3">
        <v>2.0</v>
      </c>
      <c r="D5512" t="str">
        <f>VLOOKUP(B5512,ERA_MOTIF_TYPES.csv!$A$1:$C$119,2,1)</f>
        <v>Single Ring + cup</v>
      </c>
      <c r="E5512" t="str">
        <f>VLOOKUP(A5512,Panels!$A$1:$E$2104,5,0)</f>
        <v>Panorama Rocks</v>
      </c>
    </row>
    <row r="5513">
      <c r="A5513" s="3">
        <v>2683.0</v>
      </c>
      <c r="B5513" s="3">
        <v>14.0</v>
      </c>
      <c r="C5513" s="3">
        <v>1.0</v>
      </c>
      <c r="D5513" t="str">
        <f>VLOOKUP(B5513,ERA_MOTIF_TYPES.csv!$A$1:$C$119,2,1)</f>
        <v>Multi Ring + cup</v>
      </c>
      <c r="E5513" t="str">
        <f>VLOOKUP(A5513,Panels!$A$1:$E$2104,5,0)</f>
        <v>Panorama Rocks</v>
      </c>
    </row>
    <row r="5514">
      <c r="A5514" s="3">
        <v>2683.0</v>
      </c>
      <c r="B5514" s="3">
        <v>16.0</v>
      </c>
      <c r="C5514" s="3">
        <v>2.0</v>
      </c>
      <c r="D5514" t="str">
        <f>VLOOKUP(B5514,ERA_MOTIF_TYPES.csv!$A$1:$C$119,2,1)</f>
        <v>Single Arc + cup</v>
      </c>
      <c r="E5514" t="str">
        <f>VLOOKUP(A5514,Panels!$A$1:$E$2104,5,0)</f>
        <v>Panorama Rocks</v>
      </c>
    </row>
    <row r="5515">
      <c r="A5515" s="3">
        <v>2683.0</v>
      </c>
      <c r="B5515" s="3">
        <v>18.0</v>
      </c>
      <c r="C5515" s="3">
        <v>1.0</v>
      </c>
      <c r="D5515" t="str">
        <f>VLOOKUP(B5515,ERA_MOTIF_TYPES.csv!$A$1:$C$119,2,1)</f>
        <v>Multi Arc + cup</v>
      </c>
      <c r="E5515" t="str">
        <f>VLOOKUP(A5515,Panels!$A$1:$E$2104,5,0)</f>
        <v>Panorama Rocks</v>
      </c>
    </row>
    <row r="5516">
      <c r="A5516" s="3">
        <v>2683.0</v>
      </c>
      <c r="B5516" s="3">
        <v>24.0</v>
      </c>
      <c r="C5516" s="3">
        <v>2.0</v>
      </c>
      <c r="D5516" t="str">
        <f>VLOOKUP(B5516,ERA_MOTIF_TYPES.csv!$A$1:$C$119,2,1)</f>
        <v>Multi Keyhole and Cup</v>
      </c>
      <c r="E5516" t="str">
        <f>VLOOKUP(A5516,Panels!$A$1:$E$2104,5,0)</f>
        <v>Panorama Rocks</v>
      </c>
    </row>
    <row r="5517">
      <c r="A5517" s="3">
        <v>2683.0</v>
      </c>
      <c r="B5517" s="3">
        <v>25.0</v>
      </c>
      <c r="C5517" s="3">
        <v>1.0</v>
      </c>
      <c r="D5517" t="str">
        <f>VLOOKUP(B5517,ERA_MOTIF_TYPES.csv!$A$1:$C$119,2,1)</f>
        <v>Linear</v>
      </c>
      <c r="E5517" t="str">
        <f>VLOOKUP(A5517,Panels!$A$1:$E$2104,5,0)</f>
        <v>Panorama Rocks</v>
      </c>
    </row>
    <row r="5518">
      <c r="A5518" s="3">
        <v>2683.0</v>
      </c>
      <c r="B5518" s="3">
        <v>31.0</v>
      </c>
      <c r="C5518" s="3">
        <v>1.0</v>
      </c>
      <c r="D5518" t="str">
        <f>VLOOKUP(B5518,ERA_MOTIF_TYPES.csv!$A$1:$C$119,2,1)</f>
        <v>Cup and Groove</v>
      </c>
      <c r="E5518" t="str">
        <f>VLOOKUP(A5518,Panels!$A$1:$E$2104,5,0)</f>
        <v>Panorama Rocks</v>
      </c>
    </row>
    <row r="5519">
      <c r="A5519" s="3">
        <v>2683.0</v>
      </c>
      <c r="B5519" s="3">
        <v>35.0</v>
      </c>
      <c r="C5519" s="3">
        <v>1.0</v>
      </c>
      <c r="D5519" t="str">
        <f>VLOOKUP(B5519,ERA_MOTIF_TYPES.csv!$A$1:$C$119,2,1)</f>
        <v>Cup Groove and multi penannular</v>
      </c>
      <c r="E5519" t="str">
        <f>VLOOKUP(A5519,Panels!$A$1:$E$2104,5,0)</f>
        <v>Panorama Rocks</v>
      </c>
    </row>
    <row r="5520">
      <c r="A5520" s="3">
        <v>2685.0</v>
      </c>
      <c r="B5520" s="3">
        <v>1.0</v>
      </c>
      <c r="C5520" s="3">
        <v>5.0</v>
      </c>
      <c r="D5520" t="str">
        <f>VLOOKUP(B5520,ERA_MOTIF_TYPES.csv!$A$1:$C$119,2,1)</f>
        <v>Cups Single</v>
      </c>
      <c r="E5520" t="str">
        <f>VLOOKUP(A5520,Panels!$A$1:$E$2104,5,0)</f>
        <v>Low Plain</v>
      </c>
    </row>
    <row r="5521">
      <c r="A5521" s="3">
        <v>2685.0</v>
      </c>
      <c r="B5521" s="3">
        <v>27.0</v>
      </c>
      <c r="C5521" s="3">
        <v>3.0</v>
      </c>
      <c r="D5521" t="str">
        <f>VLOOKUP(B5521,ERA_MOTIF_TYPES.csv!$A$1:$C$119,2,1)</f>
        <v>Serpentine</v>
      </c>
      <c r="E5521" t="str">
        <f>VLOOKUP(A5521,Panels!$A$1:$E$2104,5,0)</f>
        <v>Low Plain</v>
      </c>
    </row>
    <row r="5522">
      <c r="A5522" s="3">
        <v>2685.0</v>
      </c>
      <c r="B5522" s="3">
        <v>46.0</v>
      </c>
      <c r="C5522" s="3">
        <v>1.0</v>
      </c>
      <c r="D5522" t="str">
        <f>VLOOKUP(B5522,ERA_MOTIF_TYPES.csv!$A$1:$C$119,2,1)</f>
        <v>Groove and cups</v>
      </c>
      <c r="E5522" t="str">
        <f>VLOOKUP(A5522,Panels!$A$1:$E$2104,5,0)</f>
        <v>Low Plain</v>
      </c>
    </row>
    <row r="5523">
      <c r="A5523" s="3">
        <v>2686.0</v>
      </c>
      <c r="B5523" s="3">
        <v>1.0</v>
      </c>
      <c r="C5523" s="3">
        <v>11.0</v>
      </c>
      <c r="D5523" t="str">
        <f>VLOOKUP(B5523,ERA_MOTIF_TYPES.csv!$A$1:$C$119,2,1)</f>
        <v>Cups Single</v>
      </c>
      <c r="E5523" t="str">
        <f>VLOOKUP(A5523,Panels!$A$1:$E$2104,5,0)</f>
        <v>Craven Hall Hill</v>
      </c>
    </row>
    <row r="5524">
      <c r="A5524" s="3">
        <v>2687.0</v>
      </c>
      <c r="B5524" s="3">
        <v>1.0</v>
      </c>
      <c r="C5524" s="3">
        <v>6.0</v>
      </c>
      <c r="D5524" t="str">
        <f>VLOOKUP(B5524,ERA_MOTIF_TYPES.csv!$A$1:$C$119,2,1)</f>
        <v>Cups Single</v>
      </c>
      <c r="E5524" t="str">
        <f>VLOOKUP(A5524,Panels!$A$1:$E$2104,5,0)</f>
        <v>Green Crag Slack</v>
      </c>
    </row>
    <row r="5525">
      <c r="A5525" s="3">
        <v>2687.0</v>
      </c>
      <c r="B5525" s="3">
        <v>25.0</v>
      </c>
      <c r="C5525" s="3">
        <v>4.0</v>
      </c>
      <c r="D5525" t="str">
        <f>VLOOKUP(B5525,ERA_MOTIF_TYPES.csv!$A$1:$C$119,2,1)</f>
        <v>Linear</v>
      </c>
      <c r="E5525" t="str">
        <f>VLOOKUP(A5525,Panels!$A$1:$E$2104,5,0)</f>
        <v>Green Crag Slack</v>
      </c>
    </row>
    <row r="5526">
      <c r="A5526" s="3">
        <v>2687.0</v>
      </c>
      <c r="B5526" s="3">
        <v>117.0</v>
      </c>
      <c r="C5526" s="3">
        <v>1.0</v>
      </c>
      <c r="D5526" t="str">
        <f>VLOOKUP(B5526,ERA_MOTIF_TYPES.csv!$A$1:$C$119,2,1)</f>
        <v>Dumb-bell</v>
      </c>
      <c r="E5526" t="str">
        <f>VLOOKUP(A5526,Panels!$A$1:$E$2104,5,0)</f>
        <v>Green Crag Slack</v>
      </c>
    </row>
    <row r="5527">
      <c r="A5527" s="3">
        <v>2688.0</v>
      </c>
      <c r="B5527" s="3">
        <v>1.0</v>
      </c>
      <c r="C5527" s="3">
        <v>2.0</v>
      </c>
      <c r="D5527" t="str">
        <f>VLOOKUP(B5527,ERA_MOTIF_TYPES.csv!$A$1:$C$119,2,1)</f>
        <v>Cups Single</v>
      </c>
      <c r="E5527" t="str">
        <f>VLOOKUP(A5527,Panels!$A$1:$E$2104,5,0)</f>
        <v>Green Crag Slack</v>
      </c>
    </row>
    <row r="5528">
      <c r="A5528" s="3">
        <v>2689.0</v>
      </c>
      <c r="B5528" s="3">
        <v>13.0</v>
      </c>
      <c r="C5528" s="3">
        <v>1.0</v>
      </c>
      <c r="D5528" t="str">
        <f>VLOOKUP(B5528,ERA_MOTIF_TYPES.csv!$A$1:$C$119,2,1)</f>
        <v>Single Ring + cup</v>
      </c>
      <c r="E5528" t="str">
        <f>VLOOKUP(A5528,Panels!$A$1:$E$2104,5,0)</f>
        <v>Green Crag Slack</v>
      </c>
    </row>
    <row r="5529">
      <c r="A5529" s="3">
        <v>2690.0</v>
      </c>
      <c r="B5529" s="3">
        <v>32.0</v>
      </c>
      <c r="C5529" s="3">
        <v>1.0</v>
      </c>
      <c r="D5529" t="str">
        <f>VLOOKUP(B5529,ERA_MOTIF_TYPES.csv!$A$1:$C$119,2,1)</f>
        <v>Cup Groove and single ring</v>
      </c>
      <c r="E5529" t="str">
        <f>VLOOKUP(A5529,Panels!$A$1:$E$2104,5,0)</f>
        <v>Green Crag Slack</v>
      </c>
    </row>
    <row r="5530">
      <c r="A5530" s="3">
        <v>2690.0</v>
      </c>
      <c r="B5530" s="3">
        <v>34.0</v>
      </c>
      <c r="C5530" s="1"/>
      <c r="D5530" t="str">
        <f>VLOOKUP(B5530,ERA_MOTIF_TYPES.csv!$A$1:$C$119,2,1)</f>
        <v>Cup Groove and penannular</v>
      </c>
      <c r="E5530" t="str">
        <f>VLOOKUP(A5530,Panels!$A$1:$E$2104,5,0)</f>
        <v>Green Crag Slack</v>
      </c>
    </row>
    <row r="5531">
      <c r="A5531" s="3">
        <v>2691.0</v>
      </c>
      <c r="B5531" s="3">
        <v>1.0</v>
      </c>
      <c r="C5531" s="3">
        <v>1.0</v>
      </c>
      <c r="D5531" t="str">
        <f>VLOOKUP(B5531,ERA_MOTIF_TYPES.csv!$A$1:$C$119,2,1)</f>
        <v>Cups Single</v>
      </c>
      <c r="E5531" t="str">
        <f>VLOOKUP(A5531,Panels!$A$1:$E$2104,5,0)</f>
        <v>Green Crag Slack</v>
      </c>
    </row>
    <row r="5532">
      <c r="A5532" s="3">
        <v>2691.0</v>
      </c>
      <c r="B5532" s="3">
        <v>16.0</v>
      </c>
      <c r="C5532" s="3">
        <v>1.0</v>
      </c>
      <c r="D5532" t="str">
        <f>VLOOKUP(B5532,ERA_MOTIF_TYPES.csv!$A$1:$C$119,2,1)</f>
        <v>Single Arc + cup</v>
      </c>
      <c r="E5532" t="str">
        <f>VLOOKUP(A5532,Panels!$A$1:$E$2104,5,0)</f>
        <v>Green Crag Slack</v>
      </c>
    </row>
    <row r="5533">
      <c r="A5533" s="3">
        <v>2692.0</v>
      </c>
      <c r="B5533" s="3">
        <v>1.0</v>
      </c>
      <c r="C5533" s="3">
        <v>1.0</v>
      </c>
      <c r="D5533" t="str">
        <f>VLOOKUP(B5533,ERA_MOTIF_TYPES.csv!$A$1:$C$119,2,1)</f>
        <v>Cups Single</v>
      </c>
      <c r="E5533" t="str">
        <f>VLOOKUP(A5533,Panels!$A$1:$E$2104,5,0)</f>
        <v>Green Crag Slack</v>
      </c>
    </row>
    <row r="5534">
      <c r="A5534" s="3">
        <v>2693.0</v>
      </c>
      <c r="B5534" s="3">
        <v>1.0</v>
      </c>
      <c r="C5534" s="3">
        <v>1.0</v>
      </c>
      <c r="D5534" t="str">
        <f>VLOOKUP(B5534,ERA_MOTIF_TYPES.csv!$A$1:$C$119,2,1)</f>
        <v>Cups Single</v>
      </c>
      <c r="E5534" t="str">
        <f>VLOOKUP(A5534,Panels!$A$1:$E$2104,5,0)</f>
        <v>Hawksworth Shaw</v>
      </c>
    </row>
    <row r="5535">
      <c r="A5535" s="3">
        <v>2694.0</v>
      </c>
      <c r="B5535" s="3">
        <v>1.0</v>
      </c>
      <c r="C5535" s="3">
        <v>5.0</v>
      </c>
      <c r="D5535" t="str">
        <f>VLOOKUP(B5535,ERA_MOTIF_TYPES.csv!$A$1:$C$119,2,1)</f>
        <v>Cups Single</v>
      </c>
      <c r="E5535" t="str">
        <f>VLOOKUP(A5535,Panels!$A$1:$E$2104,5,0)</f>
        <v>Hawksworth Shaw</v>
      </c>
    </row>
    <row r="5536">
      <c r="A5536" s="3">
        <v>2695.0</v>
      </c>
      <c r="B5536" s="3">
        <v>1.0</v>
      </c>
      <c r="C5536" s="3">
        <v>19.0</v>
      </c>
      <c r="D5536" t="str">
        <f>VLOOKUP(B5536,ERA_MOTIF_TYPES.csv!$A$1:$C$119,2,1)</f>
        <v>Cups Single</v>
      </c>
      <c r="E5536" t="str">
        <f>VLOOKUP(A5536,Panels!$A$1:$E$2104,5,0)</f>
        <v>Lanshaw</v>
      </c>
    </row>
    <row r="5537">
      <c r="A5537" s="3">
        <v>2695.0</v>
      </c>
      <c r="B5537" s="3">
        <v>16.0</v>
      </c>
      <c r="C5537" s="3">
        <v>1.0</v>
      </c>
      <c r="D5537" t="str">
        <f>VLOOKUP(B5537,ERA_MOTIF_TYPES.csv!$A$1:$C$119,2,1)</f>
        <v>Single Arc + cup</v>
      </c>
      <c r="E5537" t="str">
        <f>VLOOKUP(A5537,Panels!$A$1:$E$2104,5,0)</f>
        <v>Lanshaw</v>
      </c>
    </row>
    <row r="5538">
      <c r="A5538" s="3">
        <v>2695.0</v>
      </c>
      <c r="B5538" s="3">
        <v>17.0</v>
      </c>
      <c r="C5538" s="3">
        <v>2.0</v>
      </c>
      <c r="D5538" t="str">
        <f>VLOOKUP(B5538,ERA_MOTIF_TYPES.csv!$A$1:$C$119,2,1)</f>
        <v>Single Penannular + cup</v>
      </c>
      <c r="E5538" t="str">
        <f>VLOOKUP(A5538,Panels!$A$1:$E$2104,5,0)</f>
        <v>Lanshaw</v>
      </c>
    </row>
    <row r="5539">
      <c r="A5539" s="3">
        <v>2695.0</v>
      </c>
      <c r="B5539" s="3">
        <v>25.0</v>
      </c>
      <c r="C5539" s="3">
        <v>1.0</v>
      </c>
      <c r="D5539" t="str">
        <f>VLOOKUP(B5539,ERA_MOTIF_TYPES.csv!$A$1:$C$119,2,1)</f>
        <v>Linear</v>
      </c>
      <c r="E5539" t="str">
        <f>VLOOKUP(A5539,Panels!$A$1:$E$2104,5,0)</f>
        <v>Lanshaw</v>
      </c>
    </row>
    <row r="5540">
      <c r="A5540" s="3">
        <v>2695.0</v>
      </c>
      <c r="B5540" s="3">
        <v>31.0</v>
      </c>
      <c r="C5540" s="3">
        <v>2.0</v>
      </c>
      <c r="D5540" t="str">
        <f>VLOOKUP(B5540,ERA_MOTIF_TYPES.csv!$A$1:$C$119,2,1)</f>
        <v>Cup and Groove</v>
      </c>
      <c r="E5540" t="str">
        <f>VLOOKUP(A5540,Panels!$A$1:$E$2104,5,0)</f>
        <v>Lanshaw</v>
      </c>
    </row>
    <row r="5541">
      <c r="A5541" s="3">
        <v>2696.0</v>
      </c>
      <c r="B5541" s="3">
        <v>1.0</v>
      </c>
      <c r="C5541" s="3">
        <v>2.0</v>
      </c>
      <c r="D5541" t="str">
        <f>VLOOKUP(B5541,ERA_MOTIF_TYPES.csv!$A$1:$C$119,2,1)</f>
        <v>Cups Single</v>
      </c>
      <c r="E5541" t="str">
        <f>VLOOKUP(A5541,Panels!$A$1:$E$2104,5,0)</f>
        <v>Lanshaw</v>
      </c>
    </row>
    <row r="5542">
      <c r="A5542" s="3">
        <v>2698.0</v>
      </c>
      <c r="B5542" s="3">
        <v>1.0</v>
      </c>
      <c r="C5542" s="3">
        <v>7.0</v>
      </c>
      <c r="D5542" t="str">
        <f>VLOOKUP(B5542,ERA_MOTIF_TYPES.csv!$A$1:$C$119,2,1)</f>
        <v>Cups Single</v>
      </c>
      <c r="E5542" t="str">
        <f>VLOOKUP(A5542,Panels!$A$1:$E$2104,5,0)</f>
        <v>Lanshaw</v>
      </c>
    </row>
    <row r="5543">
      <c r="A5543" s="3">
        <v>2698.0</v>
      </c>
      <c r="B5543" s="3">
        <v>25.0</v>
      </c>
      <c r="C5543" s="3">
        <v>2.0</v>
      </c>
      <c r="D5543" t="str">
        <f>VLOOKUP(B5543,ERA_MOTIF_TYPES.csv!$A$1:$C$119,2,1)</f>
        <v>Linear</v>
      </c>
      <c r="E5543" t="str">
        <f>VLOOKUP(A5543,Panels!$A$1:$E$2104,5,0)</f>
        <v>Lanshaw</v>
      </c>
    </row>
    <row r="5544">
      <c r="A5544" s="3">
        <v>2699.0</v>
      </c>
      <c r="B5544" s="3">
        <v>13.0</v>
      </c>
      <c r="C5544" s="3">
        <v>1.0</v>
      </c>
      <c r="D5544" t="str">
        <f>VLOOKUP(B5544,ERA_MOTIF_TYPES.csv!$A$1:$C$119,2,1)</f>
        <v>Single Ring + cup</v>
      </c>
      <c r="E5544" t="str">
        <f>VLOOKUP(A5544,Panels!$A$1:$E$2104,5,0)</f>
        <v>Lanshaw</v>
      </c>
    </row>
    <row r="5545">
      <c r="A5545" s="3">
        <v>2699.0</v>
      </c>
      <c r="B5545" s="3">
        <v>25.0</v>
      </c>
      <c r="C5545" s="3">
        <v>2.0</v>
      </c>
      <c r="D5545" t="str">
        <f>VLOOKUP(B5545,ERA_MOTIF_TYPES.csv!$A$1:$C$119,2,1)</f>
        <v>Linear</v>
      </c>
      <c r="E5545" t="str">
        <f>VLOOKUP(A5545,Panels!$A$1:$E$2104,5,0)</f>
        <v>Lanshaw</v>
      </c>
    </row>
    <row r="5546">
      <c r="A5546" s="3">
        <v>2700.0</v>
      </c>
      <c r="B5546" s="3">
        <v>1.0</v>
      </c>
      <c r="C5546" s="3">
        <v>0.0</v>
      </c>
      <c r="D5546" t="str">
        <f>VLOOKUP(B5546,ERA_MOTIF_TYPES.csv!$A$1:$C$119,2,1)</f>
        <v>Cups Single</v>
      </c>
      <c r="E5546" t="str">
        <f>VLOOKUP(A5546,Panels!$A$1:$E$2104,5,0)</f>
        <v>Lanshaw</v>
      </c>
    </row>
    <row r="5547">
      <c r="A5547" s="3">
        <v>2701.0</v>
      </c>
      <c r="B5547" s="3">
        <v>1.0</v>
      </c>
      <c r="C5547" s="3">
        <v>1.0</v>
      </c>
      <c r="D5547" t="str">
        <f>VLOOKUP(B5547,ERA_MOTIF_TYPES.csv!$A$1:$C$119,2,1)</f>
        <v>Cups Single</v>
      </c>
      <c r="E5547" t="str">
        <f>VLOOKUP(A5547,Panels!$A$1:$E$2104,5,0)</f>
        <v>Lanshaw</v>
      </c>
    </row>
    <row r="5548">
      <c r="A5548" s="3">
        <v>2702.0</v>
      </c>
      <c r="B5548" s="3">
        <v>25.0</v>
      </c>
      <c r="C5548" s="1"/>
      <c r="D5548" t="str">
        <f>VLOOKUP(B5548,ERA_MOTIF_TYPES.csv!$A$1:$C$119,2,1)</f>
        <v>Linear</v>
      </c>
      <c r="E5548" t="str">
        <f>VLOOKUP(A5548,Panels!$A$1:$E$2104,5,0)</f>
        <v>Lanshaw</v>
      </c>
    </row>
    <row r="5549">
      <c r="A5549" s="3">
        <v>2702.0</v>
      </c>
      <c r="B5549" s="3">
        <v>26.0</v>
      </c>
      <c r="C5549" s="3">
        <v>1.0</v>
      </c>
      <c r="D5549" t="str">
        <f>VLOOKUP(B5549,ERA_MOTIF_TYPES.csv!$A$1:$C$119,2,1)</f>
        <v>Parallel</v>
      </c>
      <c r="E5549" t="str">
        <f>VLOOKUP(A5549,Panels!$A$1:$E$2104,5,0)</f>
        <v>Lanshaw</v>
      </c>
    </row>
    <row r="5550">
      <c r="A5550" s="3">
        <v>2703.0</v>
      </c>
      <c r="B5550" s="3">
        <v>1.0</v>
      </c>
      <c r="C5550" s="3">
        <v>2.0</v>
      </c>
      <c r="D5550" t="str">
        <f>VLOOKUP(B5550,ERA_MOTIF_TYPES.csv!$A$1:$C$119,2,1)</f>
        <v>Cups Single</v>
      </c>
      <c r="E5550" t="str">
        <f>VLOOKUP(A5550,Panels!$A$1:$E$2104,5,0)</f>
        <v>Lanshaw</v>
      </c>
    </row>
    <row r="5551">
      <c r="A5551" s="3">
        <v>2703.0</v>
      </c>
      <c r="B5551" s="3">
        <v>26.0</v>
      </c>
      <c r="C5551" s="3">
        <v>2.0</v>
      </c>
      <c r="D5551" t="str">
        <f>VLOOKUP(B5551,ERA_MOTIF_TYPES.csv!$A$1:$C$119,2,1)</f>
        <v>Parallel</v>
      </c>
      <c r="E5551" t="str">
        <f>VLOOKUP(A5551,Panels!$A$1:$E$2104,5,0)</f>
        <v>Lanshaw</v>
      </c>
    </row>
    <row r="5552">
      <c r="A5552" s="3">
        <v>2703.0</v>
      </c>
      <c r="B5552" s="3">
        <v>31.0</v>
      </c>
      <c r="C5552" s="3">
        <v>1.0</v>
      </c>
      <c r="D5552" t="str">
        <f>VLOOKUP(B5552,ERA_MOTIF_TYPES.csv!$A$1:$C$119,2,1)</f>
        <v>Cup and Groove</v>
      </c>
      <c r="E5552" t="str">
        <f>VLOOKUP(A5552,Panels!$A$1:$E$2104,5,0)</f>
        <v>Lanshaw</v>
      </c>
    </row>
    <row r="5553">
      <c r="A5553" s="3">
        <v>2704.0</v>
      </c>
      <c r="B5553" s="3">
        <v>1.0</v>
      </c>
      <c r="C5553" s="3">
        <v>9.0</v>
      </c>
      <c r="D5553" t="str">
        <f>VLOOKUP(B5553,ERA_MOTIF_TYPES.csv!$A$1:$C$119,2,1)</f>
        <v>Cups Single</v>
      </c>
      <c r="E5553" t="str">
        <f>VLOOKUP(A5553,Panels!$A$1:$E$2104,5,0)</f>
        <v>Lanshaw</v>
      </c>
    </row>
    <row r="5554">
      <c r="A5554" s="3">
        <v>2705.0</v>
      </c>
      <c r="B5554" s="3">
        <v>1.0</v>
      </c>
      <c r="C5554" s="3">
        <v>36.0</v>
      </c>
      <c r="D5554" t="str">
        <f>VLOOKUP(B5554,ERA_MOTIF_TYPES.csv!$A$1:$C$119,2,1)</f>
        <v>Cups Single</v>
      </c>
      <c r="E5554" t="str">
        <f>VLOOKUP(A5554,Panels!$A$1:$E$2104,5,0)</f>
        <v>Lanshaw</v>
      </c>
    </row>
    <row r="5555">
      <c r="A5555" s="3">
        <v>2705.0</v>
      </c>
      <c r="B5555" s="3">
        <v>13.0</v>
      </c>
      <c r="C5555" s="3">
        <v>3.0</v>
      </c>
      <c r="D5555" t="str">
        <f>VLOOKUP(B5555,ERA_MOTIF_TYPES.csv!$A$1:$C$119,2,1)</f>
        <v>Single Ring + cup</v>
      </c>
      <c r="E5555" t="str">
        <f>VLOOKUP(A5555,Panels!$A$1:$E$2104,5,0)</f>
        <v>Lanshaw</v>
      </c>
    </row>
    <row r="5556">
      <c r="A5556" s="3">
        <v>2705.0</v>
      </c>
      <c r="B5556" s="3">
        <v>25.0</v>
      </c>
      <c r="C5556" s="3">
        <v>2.0</v>
      </c>
      <c r="D5556" t="str">
        <f>VLOOKUP(B5556,ERA_MOTIF_TYPES.csv!$A$1:$C$119,2,1)</f>
        <v>Linear</v>
      </c>
      <c r="E5556" t="str">
        <f>VLOOKUP(A5556,Panels!$A$1:$E$2104,5,0)</f>
        <v>Lanshaw</v>
      </c>
    </row>
    <row r="5557">
      <c r="A5557" s="3">
        <v>2706.0</v>
      </c>
      <c r="B5557" s="3">
        <v>1.0</v>
      </c>
      <c r="C5557" s="3">
        <v>6.0</v>
      </c>
      <c r="D5557" t="str">
        <f>VLOOKUP(B5557,ERA_MOTIF_TYPES.csv!$A$1:$C$119,2,1)</f>
        <v>Cups Single</v>
      </c>
      <c r="E5557" t="str">
        <f>VLOOKUP(A5557,Panels!$A$1:$E$2104,5,0)</f>
        <v>Lanshaw</v>
      </c>
    </row>
    <row r="5558">
      <c r="A5558" s="3">
        <v>2706.0</v>
      </c>
      <c r="B5558" s="3">
        <v>16.0</v>
      </c>
      <c r="C5558" s="3">
        <v>3.0</v>
      </c>
      <c r="D5558" t="str">
        <f>VLOOKUP(B5558,ERA_MOTIF_TYPES.csv!$A$1:$C$119,2,1)</f>
        <v>Single Arc + cup</v>
      </c>
      <c r="E5558" t="str">
        <f>VLOOKUP(A5558,Panels!$A$1:$E$2104,5,0)</f>
        <v>Lanshaw</v>
      </c>
    </row>
    <row r="5559">
      <c r="A5559" s="3">
        <v>2707.0</v>
      </c>
      <c r="B5559" s="3">
        <v>1.0</v>
      </c>
      <c r="C5559" s="3">
        <v>1.0</v>
      </c>
      <c r="D5559" t="str">
        <f>VLOOKUP(B5559,ERA_MOTIF_TYPES.csv!$A$1:$C$119,2,1)</f>
        <v>Cups Single</v>
      </c>
      <c r="E5559" t="str">
        <f>VLOOKUP(A5559,Panels!$A$1:$E$2104,5,0)</f>
        <v>Little Skirtful of Stones Cairn</v>
      </c>
    </row>
    <row r="5560">
      <c r="A5560" s="3">
        <v>2708.0</v>
      </c>
      <c r="B5560" s="3">
        <v>1.0</v>
      </c>
      <c r="C5560" s="3">
        <v>1.0</v>
      </c>
      <c r="D5560" t="str">
        <f>VLOOKUP(B5560,ERA_MOTIF_TYPES.csv!$A$1:$C$119,2,1)</f>
        <v>Cups Single</v>
      </c>
      <c r="E5560" t="str">
        <f>VLOOKUP(A5560,Panels!$A$1:$E$2104,5,0)</f>
        <v>Little Skirtful of Stones Cairn</v>
      </c>
    </row>
    <row r="5561">
      <c r="A5561" s="3">
        <v>2709.0</v>
      </c>
      <c r="B5561" s="3">
        <v>1.0</v>
      </c>
      <c r="C5561" s="3">
        <v>1.0</v>
      </c>
      <c r="D5561" t="str">
        <f>VLOOKUP(B5561,ERA_MOTIF_TYPES.csv!$A$1:$C$119,2,1)</f>
        <v>Cups Single</v>
      </c>
      <c r="E5561" t="str">
        <f>VLOOKUP(A5561,Panels!$A$1:$E$2104,5,0)</f>
        <v>Little Skirtful of Stones Cairn</v>
      </c>
    </row>
    <row r="5562">
      <c r="A5562" s="3">
        <v>2710.0</v>
      </c>
      <c r="B5562" s="3">
        <v>1.0</v>
      </c>
      <c r="C5562" s="3">
        <v>1.0</v>
      </c>
      <c r="D5562" t="str">
        <f>VLOOKUP(B5562,ERA_MOTIF_TYPES.csv!$A$1:$C$119,2,1)</f>
        <v>Cups Single</v>
      </c>
      <c r="E5562" t="str">
        <f>VLOOKUP(A5562,Panels!$A$1:$E$2104,5,0)</f>
        <v>Little Skirtful of Stones Cairn</v>
      </c>
    </row>
    <row r="5563">
      <c r="A5563" s="3">
        <v>2711.0</v>
      </c>
      <c r="B5563" s="3">
        <v>1.0</v>
      </c>
      <c r="C5563" s="3">
        <v>1.0</v>
      </c>
      <c r="D5563" t="str">
        <f>VLOOKUP(B5563,ERA_MOTIF_TYPES.csv!$A$1:$C$119,2,1)</f>
        <v>Cups Single</v>
      </c>
      <c r="E5563" t="str">
        <f>VLOOKUP(A5563,Panels!$A$1:$E$2104,5,0)</f>
        <v>Little Skirtful of Stones Cairn</v>
      </c>
    </row>
    <row r="5564">
      <c r="A5564" s="3">
        <v>2712.0</v>
      </c>
      <c r="B5564" s="3">
        <v>1.0</v>
      </c>
      <c r="C5564" s="3">
        <v>2.0</v>
      </c>
      <c r="D5564" t="str">
        <f>VLOOKUP(B5564,ERA_MOTIF_TYPES.csv!$A$1:$C$119,2,1)</f>
        <v>Cups Single</v>
      </c>
      <c r="E5564" t="str">
        <f>VLOOKUP(A5564,Panels!$A$1:$E$2104,5,0)</f>
        <v>Little Skirtful of Stones Cairn</v>
      </c>
    </row>
    <row r="5565">
      <c r="A5565" s="3">
        <v>2713.0</v>
      </c>
      <c r="B5565" s="3">
        <v>1.0</v>
      </c>
      <c r="C5565" s="3">
        <v>1.0</v>
      </c>
      <c r="D5565" t="str">
        <f>VLOOKUP(B5565,ERA_MOTIF_TYPES.csv!$A$1:$C$119,2,1)</f>
        <v>Cups Single</v>
      </c>
      <c r="E5565" t="str">
        <f>VLOOKUP(A5565,Panels!$A$1:$E$2104,5,0)</f>
        <v>Rushy Beck</v>
      </c>
    </row>
    <row r="5566">
      <c r="A5566" s="3">
        <v>2713.0</v>
      </c>
      <c r="B5566" s="3">
        <v>2.0</v>
      </c>
      <c r="C5566" s="3">
        <v>1.0</v>
      </c>
      <c r="D5566" t="str">
        <f>VLOOKUP(B5566,ERA_MOTIF_TYPES.csv!$A$1:$C$119,2,1)</f>
        <v>Random Cluster</v>
      </c>
      <c r="E5566" t="str">
        <f>VLOOKUP(A5566,Panels!$A$1:$E$2104,5,0)</f>
        <v>Rushy Beck</v>
      </c>
    </row>
    <row r="5567">
      <c r="A5567" s="3">
        <v>2714.0</v>
      </c>
      <c r="B5567" s="3">
        <v>1.0</v>
      </c>
      <c r="C5567" s="3">
        <v>1.0</v>
      </c>
      <c r="D5567" t="str">
        <f>VLOOKUP(B5567,ERA_MOTIF_TYPES.csv!$A$1:$C$119,2,1)</f>
        <v>Cups Single</v>
      </c>
      <c r="E5567" t="str">
        <f>VLOOKUP(A5567,Panels!$A$1:$E$2104,5,0)</f>
        <v>Rushy Beck</v>
      </c>
    </row>
    <row r="5568">
      <c r="A5568" s="3">
        <v>2714.0</v>
      </c>
      <c r="B5568" s="3">
        <v>32.0</v>
      </c>
      <c r="C5568" s="3">
        <v>1.0</v>
      </c>
      <c r="D5568" t="str">
        <f>VLOOKUP(B5568,ERA_MOTIF_TYPES.csv!$A$1:$C$119,2,1)</f>
        <v>Cup Groove and single ring</v>
      </c>
      <c r="E5568" t="str">
        <f>VLOOKUP(A5568,Panels!$A$1:$E$2104,5,0)</f>
        <v>Rushy Beck</v>
      </c>
    </row>
    <row r="5569">
      <c r="A5569" s="3">
        <v>2715.0</v>
      </c>
      <c r="B5569" s="3">
        <v>1.0</v>
      </c>
      <c r="C5569" s="3">
        <v>1.0</v>
      </c>
      <c r="D5569" t="str">
        <f>VLOOKUP(B5569,ERA_MOTIF_TYPES.csv!$A$1:$C$119,2,1)</f>
        <v>Cups Single</v>
      </c>
      <c r="E5569" t="str">
        <f>VLOOKUP(A5569,Panels!$A$1:$E$2104,5,0)</f>
        <v>Rushy Beck</v>
      </c>
    </row>
    <row r="5570">
      <c r="A5570" s="3">
        <v>2716.0</v>
      </c>
      <c r="B5570" s="3">
        <v>1.0</v>
      </c>
      <c r="C5570" s="3">
        <v>1.0</v>
      </c>
      <c r="D5570" t="str">
        <f>VLOOKUP(B5570,ERA_MOTIF_TYPES.csv!$A$1:$C$119,2,1)</f>
        <v>Cups Single</v>
      </c>
      <c r="E5570" t="str">
        <f>VLOOKUP(A5570,Panels!$A$1:$E$2104,5,0)</f>
        <v>Rushy Beck</v>
      </c>
    </row>
    <row r="5571">
      <c r="A5571" s="3">
        <v>2717.0</v>
      </c>
      <c r="B5571" s="3">
        <v>1.0</v>
      </c>
      <c r="C5571" s="3">
        <v>1.0</v>
      </c>
      <c r="D5571" t="str">
        <f>VLOOKUP(B5571,ERA_MOTIF_TYPES.csv!$A$1:$C$119,2,1)</f>
        <v>Cups Single</v>
      </c>
      <c r="E5571" t="str">
        <f>VLOOKUP(A5571,Panels!$A$1:$E$2104,5,0)</f>
        <v>Rushy Beck</v>
      </c>
    </row>
    <row r="5572">
      <c r="A5572" s="3">
        <v>2718.0</v>
      </c>
      <c r="B5572" s="3">
        <v>1.0</v>
      </c>
      <c r="C5572" s="3">
        <v>1.0</v>
      </c>
      <c r="D5572" t="str">
        <f>VLOOKUP(B5572,ERA_MOTIF_TYPES.csv!$A$1:$C$119,2,1)</f>
        <v>Cups Single</v>
      </c>
      <c r="E5572" t="str">
        <f>VLOOKUP(A5572,Panels!$A$1:$E$2104,5,0)</f>
        <v>Stead Crag</v>
      </c>
    </row>
    <row r="5573">
      <c r="A5573" s="3">
        <v>2719.0</v>
      </c>
      <c r="B5573" s="3">
        <v>1.0</v>
      </c>
      <c r="C5573" s="3">
        <v>1.0</v>
      </c>
      <c r="D5573" t="str">
        <f>VLOOKUP(B5573,ERA_MOTIF_TYPES.csv!$A$1:$C$119,2,1)</f>
        <v>Cups Single</v>
      </c>
      <c r="E5573" t="str">
        <f>VLOOKUP(A5573,Panels!$A$1:$E$2104,5,0)</f>
        <v>Sread Crag</v>
      </c>
    </row>
    <row r="5574">
      <c r="A5574" s="3">
        <v>2720.0</v>
      </c>
      <c r="B5574" s="3">
        <v>1.0</v>
      </c>
      <c r="C5574" s="3">
        <v>4.0</v>
      </c>
      <c r="D5574" t="str">
        <f>VLOOKUP(B5574,ERA_MOTIF_TYPES.csv!$A$1:$C$119,2,1)</f>
        <v>Cups Single</v>
      </c>
      <c r="E5574" t="str">
        <f>VLOOKUP(A5574,Panels!$A$1:$E$2104,5,0)</f>
        <v>Stead Crag</v>
      </c>
    </row>
    <row r="5575">
      <c r="A5575" s="3">
        <v>2720.0</v>
      </c>
      <c r="B5575" s="3">
        <v>34.0</v>
      </c>
      <c r="C5575" s="3">
        <v>1.0</v>
      </c>
      <c r="D5575" t="str">
        <f>VLOOKUP(B5575,ERA_MOTIF_TYPES.csv!$A$1:$C$119,2,1)</f>
        <v>Cup Groove and penannular</v>
      </c>
      <c r="E5575" t="str">
        <f>VLOOKUP(A5575,Panels!$A$1:$E$2104,5,0)</f>
        <v>Stead Crag</v>
      </c>
    </row>
    <row r="5576">
      <c r="A5576" s="3">
        <v>2720.0</v>
      </c>
      <c r="B5576" s="3">
        <v>117.0</v>
      </c>
      <c r="C5576" s="3">
        <v>1.0</v>
      </c>
      <c r="D5576" t="str">
        <f>VLOOKUP(B5576,ERA_MOTIF_TYPES.csv!$A$1:$C$119,2,1)</f>
        <v>Dumb-bell</v>
      </c>
      <c r="E5576" t="str">
        <f>VLOOKUP(A5576,Panels!$A$1:$E$2104,5,0)</f>
        <v>Stead Crag</v>
      </c>
    </row>
    <row r="5577">
      <c r="A5577" s="3">
        <v>2721.0</v>
      </c>
      <c r="B5577" s="3">
        <v>1.0</v>
      </c>
      <c r="C5577" s="3">
        <v>5.0</v>
      </c>
      <c r="D5577" t="str">
        <f>VLOOKUP(B5577,ERA_MOTIF_TYPES.csv!$A$1:$C$119,2,1)</f>
        <v>Cups Single</v>
      </c>
      <c r="E5577" t="str">
        <f>VLOOKUP(A5577,Panels!$A$1:$E$2104,5,0)</f>
        <v>Stead</v>
      </c>
    </row>
    <row r="5578">
      <c r="A5578" s="3">
        <v>2721.0</v>
      </c>
      <c r="B5578" s="3">
        <v>117.0</v>
      </c>
      <c r="C5578" s="3">
        <v>3.0</v>
      </c>
      <c r="D5578" t="str">
        <f>VLOOKUP(B5578,ERA_MOTIF_TYPES.csv!$A$1:$C$119,2,1)</f>
        <v>Dumb-bell</v>
      </c>
      <c r="E5578" t="str">
        <f>VLOOKUP(A5578,Panels!$A$1:$E$2104,5,0)</f>
        <v>Stead</v>
      </c>
    </row>
    <row r="5579">
      <c r="A5579" s="3">
        <v>2722.0</v>
      </c>
      <c r="B5579" s="3">
        <v>1.0</v>
      </c>
      <c r="C5579" s="3">
        <v>6.0</v>
      </c>
      <c r="D5579" t="str">
        <f>VLOOKUP(B5579,ERA_MOTIF_TYPES.csv!$A$1:$C$119,2,1)</f>
        <v>Cups Single</v>
      </c>
      <c r="E5579" t="str">
        <f>VLOOKUP(A5579,Panels!$A$1:$E$2104,5,0)</f>
        <v>Stead</v>
      </c>
    </row>
    <row r="5580">
      <c r="A5580" s="3">
        <v>2722.0</v>
      </c>
      <c r="B5580" s="3">
        <v>25.0</v>
      </c>
      <c r="C5580" s="3">
        <v>1.0</v>
      </c>
      <c r="D5580" t="str">
        <f>VLOOKUP(B5580,ERA_MOTIF_TYPES.csv!$A$1:$C$119,2,1)</f>
        <v>Linear</v>
      </c>
      <c r="E5580" t="str">
        <f>VLOOKUP(A5580,Panels!$A$1:$E$2104,5,0)</f>
        <v>Stead</v>
      </c>
    </row>
    <row r="5581">
      <c r="A5581" s="3">
        <v>2722.0</v>
      </c>
      <c r="B5581" s="3">
        <v>31.0</v>
      </c>
      <c r="C5581" s="3">
        <v>1.0</v>
      </c>
      <c r="D5581" t="str">
        <f>VLOOKUP(B5581,ERA_MOTIF_TYPES.csv!$A$1:$C$119,2,1)</f>
        <v>Cup and Groove</v>
      </c>
      <c r="E5581" t="str">
        <f>VLOOKUP(A5581,Panels!$A$1:$E$2104,5,0)</f>
        <v>Stead</v>
      </c>
    </row>
    <row r="5582">
      <c r="A5582" s="3">
        <v>2725.0</v>
      </c>
      <c r="B5582" s="3">
        <v>1.0</v>
      </c>
      <c r="C5582" s="3">
        <v>2.0</v>
      </c>
      <c r="D5582" t="str">
        <f>VLOOKUP(B5582,ERA_MOTIF_TYPES.csv!$A$1:$C$119,2,1)</f>
        <v>Cups Single</v>
      </c>
      <c r="E5582" t="str">
        <f>VLOOKUP(A5582,Panels!$A$1:$E$2104,5,0)</f>
        <v>Woofa Bank</v>
      </c>
    </row>
    <row r="5583">
      <c r="A5583" s="3">
        <v>2726.0</v>
      </c>
      <c r="B5583" s="3">
        <v>1.0</v>
      </c>
      <c r="C5583" s="3">
        <v>2.0</v>
      </c>
      <c r="D5583" t="str">
        <f>VLOOKUP(B5583,ERA_MOTIF_TYPES.csv!$A$1:$C$119,2,1)</f>
        <v>Cups Single</v>
      </c>
      <c r="E5583" t="str">
        <f>VLOOKUP(A5583,Panels!$A$1:$E$2104,5,0)</f>
        <v>Woofa Bank</v>
      </c>
    </row>
    <row r="5584">
      <c r="A5584" s="3">
        <v>2727.0</v>
      </c>
      <c r="B5584" s="3">
        <v>1.0</v>
      </c>
      <c r="C5584" s="3">
        <v>3.0</v>
      </c>
      <c r="D5584" t="str">
        <f>VLOOKUP(B5584,ERA_MOTIF_TYPES.csv!$A$1:$C$119,2,1)</f>
        <v>Cups Single</v>
      </c>
      <c r="E5584" t="str">
        <f>VLOOKUP(A5584,Panels!$A$1:$E$2104,5,0)</f>
        <v>Woofa Bank</v>
      </c>
    </row>
    <row r="5585">
      <c r="A5585" s="3">
        <v>2727.0</v>
      </c>
      <c r="B5585" s="3">
        <v>31.0</v>
      </c>
      <c r="C5585" s="3">
        <v>1.0</v>
      </c>
      <c r="D5585" t="str">
        <f>VLOOKUP(B5585,ERA_MOTIF_TYPES.csv!$A$1:$C$119,2,1)</f>
        <v>Cup and Groove</v>
      </c>
      <c r="E5585" t="str">
        <f>VLOOKUP(A5585,Panels!$A$1:$E$2104,5,0)</f>
        <v>Woofa Bank</v>
      </c>
    </row>
    <row r="5586">
      <c r="A5586" s="3">
        <v>2728.0</v>
      </c>
      <c r="B5586" s="3">
        <v>1.0</v>
      </c>
      <c r="C5586" s="3">
        <v>1.0</v>
      </c>
      <c r="D5586" t="str">
        <f>VLOOKUP(B5586,ERA_MOTIF_TYPES.csv!$A$1:$C$119,2,1)</f>
        <v>Cups Single</v>
      </c>
      <c r="E5586" t="str">
        <f>VLOOKUP(A5586,Panels!$A$1:$E$2104,5,0)</f>
        <v>Woofa Bank</v>
      </c>
    </row>
    <row r="5587">
      <c r="A5587" s="3">
        <v>2728.0</v>
      </c>
      <c r="B5587" s="3">
        <v>2.0</v>
      </c>
      <c r="C5587" s="3">
        <v>1.0</v>
      </c>
      <c r="D5587" t="str">
        <f>VLOOKUP(B5587,ERA_MOTIF_TYPES.csv!$A$1:$C$119,2,1)</f>
        <v>Random Cluster</v>
      </c>
      <c r="E5587" t="str">
        <f>VLOOKUP(A5587,Panels!$A$1:$E$2104,5,0)</f>
        <v>Woofa Bank</v>
      </c>
    </row>
    <row r="5588">
      <c r="A5588" s="3">
        <v>2728.0</v>
      </c>
      <c r="B5588" s="3">
        <v>25.0</v>
      </c>
      <c r="C5588" s="3">
        <v>1.0</v>
      </c>
      <c r="D5588" t="str">
        <f>VLOOKUP(B5588,ERA_MOTIF_TYPES.csv!$A$1:$C$119,2,1)</f>
        <v>Linear</v>
      </c>
      <c r="E5588" t="str">
        <f>VLOOKUP(A5588,Panels!$A$1:$E$2104,5,0)</f>
        <v>Woofa Bank</v>
      </c>
    </row>
    <row r="5589">
      <c r="A5589" s="3">
        <v>2729.0</v>
      </c>
      <c r="B5589" s="3">
        <v>1.0</v>
      </c>
      <c r="C5589" s="3">
        <v>22.0</v>
      </c>
      <c r="D5589" t="str">
        <f>VLOOKUP(B5589,ERA_MOTIF_TYPES.csv!$A$1:$C$119,2,1)</f>
        <v>Cups Single</v>
      </c>
      <c r="E5589" t="str">
        <f>VLOOKUP(A5589,Panels!$A$1:$E$2104,5,0)</f>
        <v>Woofa Bank</v>
      </c>
    </row>
    <row r="5590">
      <c r="A5590" s="3">
        <v>2729.0</v>
      </c>
      <c r="B5590" s="3">
        <v>25.0</v>
      </c>
      <c r="C5590" s="3">
        <v>2.0</v>
      </c>
      <c r="D5590" t="str">
        <f>VLOOKUP(B5590,ERA_MOTIF_TYPES.csv!$A$1:$C$119,2,1)</f>
        <v>Linear</v>
      </c>
      <c r="E5590" t="str">
        <f>VLOOKUP(A5590,Panels!$A$1:$E$2104,5,0)</f>
        <v>Woofa Bank</v>
      </c>
    </row>
    <row r="5591">
      <c r="A5591" s="3">
        <v>2730.0</v>
      </c>
      <c r="B5591" s="3">
        <v>1.0</v>
      </c>
      <c r="C5591" s="3">
        <v>1.0</v>
      </c>
      <c r="D5591" t="str">
        <f>VLOOKUP(B5591,ERA_MOTIF_TYPES.csv!$A$1:$C$119,2,1)</f>
        <v>Cups Single</v>
      </c>
      <c r="E5591" t="str">
        <f>VLOOKUP(A5591,Panels!$A$1:$E$2104,5,0)</f>
        <v>Woofa Bank</v>
      </c>
    </row>
    <row r="5592">
      <c r="A5592" s="3">
        <v>2731.0</v>
      </c>
      <c r="B5592" s="3">
        <v>1.0</v>
      </c>
      <c r="C5592" s="3">
        <v>1.0</v>
      </c>
      <c r="D5592" t="str">
        <f>VLOOKUP(B5592,ERA_MOTIF_TYPES.csv!$A$1:$C$119,2,1)</f>
        <v>Cups Single</v>
      </c>
      <c r="E5592" t="str">
        <f>VLOOKUP(A5592,Panels!$A$1:$E$2104,5,0)</f>
        <v>Woofa Bank</v>
      </c>
    </row>
    <row r="5593">
      <c r="A5593" s="3">
        <v>2732.0</v>
      </c>
      <c r="B5593" s="3">
        <v>1.0</v>
      </c>
      <c r="C5593" s="3">
        <v>1.0</v>
      </c>
      <c r="D5593" t="str">
        <f>VLOOKUP(B5593,ERA_MOTIF_TYPES.csv!$A$1:$C$119,2,1)</f>
        <v>Cups Single</v>
      </c>
      <c r="E5593" t="str">
        <f>VLOOKUP(A5593,Panels!$A$1:$E$2104,5,0)</f>
        <v>Woofa Bank</v>
      </c>
    </row>
    <row r="5594">
      <c r="A5594" s="3">
        <v>2733.0</v>
      </c>
      <c r="B5594" s="3">
        <v>1.0</v>
      </c>
      <c r="C5594" s="3">
        <v>3.0</v>
      </c>
      <c r="D5594" t="str">
        <f>VLOOKUP(B5594,ERA_MOTIF_TYPES.csv!$A$1:$C$119,2,1)</f>
        <v>Cups Single</v>
      </c>
      <c r="E5594" t="str">
        <f>VLOOKUP(A5594,Panels!$A$1:$E$2104,5,0)</f>
        <v>Woofa Bank</v>
      </c>
    </row>
    <row r="5595">
      <c r="A5595" s="3">
        <v>2733.0</v>
      </c>
      <c r="B5595" s="3">
        <v>25.0</v>
      </c>
      <c r="C5595" s="3">
        <v>1.0</v>
      </c>
      <c r="D5595" t="str">
        <f>VLOOKUP(B5595,ERA_MOTIF_TYPES.csv!$A$1:$C$119,2,1)</f>
        <v>Linear</v>
      </c>
      <c r="E5595" t="str">
        <f>VLOOKUP(A5595,Panels!$A$1:$E$2104,5,0)</f>
        <v>Woofa Bank</v>
      </c>
    </row>
    <row r="5596">
      <c r="A5596" s="3">
        <v>2734.0</v>
      </c>
      <c r="B5596" s="3">
        <v>1.0</v>
      </c>
      <c r="C5596" s="3">
        <v>8.0</v>
      </c>
      <c r="D5596" t="str">
        <f>VLOOKUP(B5596,ERA_MOTIF_TYPES.csv!$A$1:$C$119,2,1)</f>
        <v>Cups Single</v>
      </c>
      <c r="E5596" t="str">
        <f>VLOOKUP(A5596,Panels!$A$1:$E$2104,5,0)</f>
        <v>Woofa Bank</v>
      </c>
    </row>
    <row r="5597">
      <c r="A5597" s="3">
        <v>2735.0</v>
      </c>
      <c r="B5597" s="3">
        <v>1.0</v>
      </c>
      <c r="C5597" s="3">
        <v>5.0</v>
      </c>
      <c r="D5597" t="str">
        <f>VLOOKUP(B5597,ERA_MOTIF_TYPES.csv!$A$1:$C$119,2,1)</f>
        <v>Cups Single</v>
      </c>
      <c r="E5597" t="str">
        <f>VLOOKUP(A5597,Panels!$A$1:$E$2104,5,0)</f>
        <v>Woofa Bank</v>
      </c>
    </row>
    <row r="5598">
      <c r="A5598" s="3">
        <v>2735.0</v>
      </c>
      <c r="B5598" s="3">
        <v>2.0</v>
      </c>
      <c r="C5598" s="3">
        <v>2.0</v>
      </c>
      <c r="D5598" t="str">
        <f>VLOOKUP(B5598,ERA_MOTIF_TYPES.csv!$A$1:$C$119,2,1)</f>
        <v>Random Cluster</v>
      </c>
      <c r="E5598" t="str">
        <f>VLOOKUP(A5598,Panels!$A$1:$E$2104,5,0)</f>
        <v>Woofa Bank</v>
      </c>
    </row>
    <row r="5599">
      <c r="A5599" s="3">
        <v>2735.0</v>
      </c>
      <c r="B5599" s="3">
        <v>6.0</v>
      </c>
      <c r="C5599" s="3">
        <v>2.0</v>
      </c>
      <c r="D5599" t="str">
        <f>VLOOKUP(B5599,ERA_MOTIF_TYPES.csv!$A$1:$C$119,2,1)</f>
        <v>curved or straight line</v>
      </c>
      <c r="E5599" t="str">
        <f>VLOOKUP(A5599,Panels!$A$1:$E$2104,5,0)</f>
        <v>Woofa Bank</v>
      </c>
    </row>
    <row r="5600">
      <c r="A5600" s="3">
        <v>2735.0</v>
      </c>
      <c r="B5600" s="3">
        <v>25.0</v>
      </c>
      <c r="C5600" s="3">
        <v>2.0</v>
      </c>
      <c r="D5600" t="str">
        <f>VLOOKUP(B5600,ERA_MOTIF_TYPES.csv!$A$1:$C$119,2,1)</f>
        <v>Linear</v>
      </c>
      <c r="E5600" t="str">
        <f>VLOOKUP(A5600,Panels!$A$1:$E$2104,5,0)</f>
        <v>Woofa Bank</v>
      </c>
    </row>
    <row r="5601">
      <c r="A5601" s="3">
        <v>2735.0</v>
      </c>
      <c r="B5601" s="3">
        <v>27.0</v>
      </c>
      <c r="C5601" s="3">
        <v>2.0</v>
      </c>
      <c r="D5601" t="str">
        <f>VLOOKUP(B5601,ERA_MOTIF_TYPES.csv!$A$1:$C$119,2,1)</f>
        <v>Serpentine</v>
      </c>
      <c r="E5601" t="str">
        <f>VLOOKUP(A5601,Panels!$A$1:$E$2104,5,0)</f>
        <v>Woofa Bank</v>
      </c>
    </row>
    <row r="5602">
      <c r="A5602" s="3">
        <v>2736.0</v>
      </c>
      <c r="B5602" s="3">
        <v>1.0</v>
      </c>
      <c r="C5602" s="3">
        <v>3.0</v>
      </c>
      <c r="D5602" t="str">
        <f>VLOOKUP(B5602,ERA_MOTIF_TYPES.csv!$A$1:$C$119,2,1)</f>
        <v>Cups Single</v>
      </c>
      <c r="E5602" t="str">
        <f>VLOOKUP(A5602,Panels!$A$1:$E$2104,5,0)</f>
        <v>Woofa Bank</v>
      </c>
    </row>
    <row r="5603">
      <c r="A5603" s="3">
        <v>2737.0</v>
      </c>
      <c r="B5603" s="3">
        <v>1.0</v>
      </c>
      <c r="C5603" s="3">
        <v>3.0</v>
      </c>
      <c r="D5603" t="str">
        <f>VLOOKUP(B5603,ERA_MOTIF_TYPES.csv!$A$1:$C$119,2,1)</f>
        <v>Cups Single</v>
      </c>
      <c r="E5603" t="str">
        <f>VLOOKUP(A5603,Panels!$A$1:$E$2104,5,0)</f>
        <v>Woofa Bank</v>
      </c>
    </row>
    <row r="5604">
      <c r="A5604" s="3">
        <v>2738.0</v>
      </c>
      <c r="B5604" s="3">
        <v>1.0</v>
      </c>
      <c r="C5604" s="3">
        <v>1.0</v>
      </c>
      <c r="D5604" t="str">
        <f>VLOOKUP(B5604,ERA_MOTIF_TYPES.csv!$A$1:$C$119,2,1)</f>
        <v>Cups Single</v>
      </c>
      <c r="E5604" t="str">
        <f>VLOOKUP(A5604,Panels!$A$1:$E$2104,5,0)</f>
        <v>Woofa Bank</v>
      </c>
    </row>
    <row r="5605">
      <c r="A5605" s="3">
        <v>2739.0</v>
      </c>
      <c r="B5605" s="3">
        <v>1.0</v>
      </c>
      <c r="C5605" s="3">
        <v>66.0</v>
      </c>
      <c r="D5605" t="str">
        <f>VLOOKUP(B5605,ERA_MOTIF_TYPES.csv!$A$1:$C$119,2,1)</f>
        <v>Cups Single</v>
      </c>
      <c r="E5605" t="str">
        <f>VLOOKUP(A5605,Panels!$A$1:$E$2104,5,0)</f>
        <v>Woofa Bank</v>
      </c>
    </row>
    <row r="5606">
      <c r="A5606" s="3">
        <v>2740.0</v>
      </c>
      <c r="B5606" s="3">
        <v>1.0</v>
      </c>
      <c r="C5606" s="3">
        <v>16.0</v>
      </c>
      <c r="D5606" t="str">
        <f>VLOOKUP(B5606,ERA_MOTIF_TYPES.csv!$A$1:$C$119,2,1)</f>
        <v>Cups Single</v>
      </c>
      <c r="E5606" t="str">
        <f>VLOOKUP(A5606,Panels!$A$1:$E$2104,5,0)</f>
        <v>Woofa Bank</v>
      </c>
    </row>
    <row r="5607">
      <c r="A5607" s="3">
        <v>2741.0</v>
      </c>
      <c r="B5607" s="3">
        <v>1.0</v>
      </c>
      <c r="C5607" s="3">
        <v>1.0</v>
      </c>
      <c r="D5607" t="str">
        <f>VLOOKUP(B5607,ERA_MOTIF_TYPES.csv!$A$1:$C$119,2,1)</f>
        <v>Cups Single</v>
      </c>
      <c r="E5607" t="str">
        <f>VLOOKUP(A5607,Panels!$A$1:$E$2104,5,0)</f>
        <v>Woofa Bank</v>
      </c>
    </row>
    <row r="5608">
      <c r="A5608" s="3">
        <v>2742.0</v>
      </c>
      <c r="B5608" s="3">
        <v>1.0</v>
      </c>
      <c r="C5608" s="3">
        <v>6.0</v>
      </c>
      <c r="D5608" t="str">
        <f>VLOOKUP(B5608,ERA_MOTIF_TYPES.csv!$A$1:$C$119,2,1)</f>
        <v>Cups Single</v>
      </c>
      <c r="E5608" t="str">
        <f>VLOOKUP(A5608,Panels!$A$1:$E$2104,5,0)</f>
        <v>Woofa Bank</v>
      </c>
    </row>
    <row r="5609">
      <c r="A5609" s="3">
        <v>2743.0</v>
      </c>
      <c r="B5609" s="3">
        <v>1.0</v>
      </c>
      <c r="C5609" s="3">
        <v>2.0</v>
      </c>
      <c r="D5609" t="str">
        <f>VLOOKUP(B5609,ERA_MOTIF_TYPES.csv!$A$1:$C$119,2,1)</f>
        <v>Cups Single</v>
      </c>
      <c r="E5609" t="str">
        <f>VLOOKUP(A5609,Panels!$A$1:$E$2104,5,0)</f>
        <v>Woofa Bank</v>
      </c>
    </row>
    <row r="5610">
      <c r="A5610" s="3">
        <v>2743.0</v>
      </c>
      <c r="B5610" s="3">
        <v>25.0</v>
      </c>
      <c r="C5610" s="3">
        <v>1.0</v>
      </c>
      <c r="D5610" t="str">
        <f>VLOOKUP(B5610,ERA_MOTIF_TYPES.csv!$A$1:$C$119,2,1)</f>
        <v>Linear</v>
      </c>
      <c r="E5610" t="str">
        <f>VLOOKUP(A5610,Panels!$A$1:$E$2104,5,0)</f>
        <v>Woofa Bank</v>
      </c>
    </row>
    <row r="5611">
      <c r="A5611" s="3">
        <v>2743.0</v>
      </c>
      <c r="B5611" s="3">
        <v>117.0</v>
      </c>
      <c r="C5611" s="3">
        <v>2.0</v>
      </c>
      <c r="D5611" t="str">
        <f>VLOOKUP(B5611,ERA_MOTIF_TYPES.csv!$A$1:$C$119,2,1)</f>
        <v>Dumb-bell</v>
      </c>
      <c r="E5611" t="str">
        <f>VLOOKUP(A5611,Panels!$A$1:$E$2104,5,0)</f>
        <v>Woofa Bank</v>
      </c>
    </row>
    <row r="5612">
      <c r="A5612" s="3">
        <v>2860.0</v>
      </c>
      <c r="B5612" s="3">
        <v>1.0</v>
      </c>
      <c r="C5612" s="3">
        <v>1.0</v>
      </c>
      <c r="D5612" t="str">
        <f>VLOOKUP(B5612,ERA_MOTIF_TYPES.csv!$A$1:$C$119,2,1)</f>
        <v>Cups Single</v>
      </c>
      <c r="E5612" t="str">
        <f>VLOOKUP(A5612,Panels!$A$1:$E$2104,5,0)</f>
        <v>Eaves Crag</v>
      </c>
    </row>
    <row r="5613">
      <c r="A5613" s="3">
        <v>2860.0</v>
      </c>
      <c r="B5613" s="3">
        <v>36.0</v>
      </c>
      <c r="C5613" s="3">
        <v>1.0</v>
      </c>
      <c r="D5613" t="str">
        <f>VLOOKUP(B5613,ERA_MOTIF_TYPES.csv!$A$1:$C$119,2,1)</f>
        <v>Cup Groove and arc</v>
      </c>
      <c r="E5613" t="str">
        <f>VLOOKUP(A5613,Panels!$A$1:$E$2104,5,0)</f>
        <v>Eaves Crag</v>
      </c>
    </row>
    <row r="5614">
      <c r="A5614" s="3">
        <v>2861.0</v>
      </c>
      <c r="B5614" s="3">
        <v>1.0</v>
      </c>
      <c r="C5614" s="3">
        <v>11.0</v>
      </c>
      <c r="D5614" t="str">
        <f>VLOOKUP(B5614,ERA_MOTIF_TYPES.csv!$A$1:$C$119,2,1)</f>
        <v>Cups Single</v>
      </c>
      <c r="E5614" t="str">
        <f>VLOOKUP(A5614,Panels!$A$1:$E$2104,5,0)</f>
        <v>Green Crag</v>
      </c>
    </row>
    <row r="5615">
      <c r="A5615" s="3">
        <v>2861.0</v>
      </c>
      <c r="B5615" s="3">
        <v>13.0</v>
      </c>
      <c r="C5615" s="3">
        <v>1.0</v>
      </c>
      <c r="D5615" t="str">
        <f>VLOOKUP(B5615,ERA_MOTIF_TYPES.csv!$A$1:$C$119,2,1)</f>
        <v>Single Ring + cup</v>
      </c>
      <c r="E5615" t="str">
        <f>VLOOKUP(A5615,Panels!$A$1:$E$2104,5,0)</f>
        <v>Green Crag</v>
      </c>
    </row>
    <row r="5616">
      <c r="A5616" s="3">
        <v>2862.0</v>
      </c>
      <c r="B5616" s="3">
        <v>13.0</v>
      </c>
      <c r="C5616" s="3">
        <v>1.0</v>
      </c>
      <c r="D5616" t="str">
        <f>VLOOKUP(B5616,ERA_MOTIF_TYPES.csv!$A$1:$C$119,2,1)</f>
        <v>Single Ring + cup</v>
      </c>
      <c r="E5616" t="str">
        <f>VLOOKUP(A5616,Panels!$A$1:$E$2104,5,0)</f>
        <v>Low Fold Farm</v>
      </c>
    </row>
    <row r="5617">
      <c r="A5617" s="3">
        <v>2880.0</v>
      </c>
      <c r="B5617" s="3">
        <v>1.0</v>
      </c>
      <c r="C5617" s="3">
        <v>1.0</v>
      </c>
      <c r="D5617" t="str">
        <f>VLOOKUP(B5617,ERA_MOTIF_TYPES.csv!$A$1:$C$119,2,1)</f>
        <v>Cups Single</v>
      </c>
      <c r="E5617" t="str">
        <f>VLOOKUP(A5617,Panels!$A$1:$E$2104,5,0)</f>
        <v>Green Grag</v>
      </c>
    </row>
    <row r="5618">
      <c r="A5618" s="3">
        <v>2901.0</v>
      </c>
      <c r="B5618" s="3">
        <v>1.0</v>
      </c>
      <c r="C5618" s="3">
        <v>3.0</v>
      </c>
      <c r="D5618" t="str">
        <f>VLOOKUP(B5618,ERA_MOTIF_TYPES.csv!$A$1:$C$119,2,1)</f>
        <v>Cups Single</v>
      </c>
      <c r="E5618" t="str">
        <f>VLOOKUP(A5618,Panels!$A$1:$E$2104,5,0)</f>
        <v>Little Skirtful of Stones Cairn</v>
      </c>
    </row>
    <row r="5619">
      <c r="A5619" s="3">
        <v>2902.0</v>
      </c>
      <c r="B5619" s="3">
        <v>1.0</v>
      </c>
      <c r="C5619" s="3">
        <v>1.0</v>
      </c>
      <c r="D5619" t="str">
        <f>VLOOKUP(B5619,ERA_MOTIF_TYPES.csv!$A$1:$C$119,2,1)</f>
        <v>Cups Single</v>
      </c>
      <c r="E5619" t="str">
        <f>VLOOKUP(A5619,Panels!$A$1:$E$2104,5,0)</f>
        <v>Little Skirtful of Stones Cairn</v>
      </c>
    </row>
    <row r="5620">
      <c r="A5620" s="3">
        <v>2903.0</v>
      </c>
      <c r="B5620" s="3">
        <v>1.0</v>
      </c>
      <c r="C5620" s="3">
        <v>2.0</v>
      </c>
      <c r="D5620" t="str">
        <f>VLOOKUP(B5620,ERA_MOTIF_TYPES.csv!$A$1:$C$119,2,1)</f>
        <v>Cups Single</v>
      </c>
      <c r="E5620" t="str">
        <f>VLOOKUP(A5620,Panels!$A$1:$E$2104,5,0)</f>
        <v>Little Skirtful of Stones Cairn</v>
      </c>
    </row>
    <row r="5621">
      <c r="A5621" s="3">
        <v>2904.0</v>
      </c>
      <c r="B5621" s="3">
        <v>1.0</v>
      </c>
      <c r="C5621" s="3">
        <v>1.0</v>
      </c>
      <c r="D5621" t="str">
        <f>VLOOKUP(B5621,ERA_MOTIF_TYPES.csv!$A$1:$C$119,2,1)</f>
        <v>Cups Single</v>
      </c>
      <c r="E5621" t="str">
        <f>VLOOKUP(A5621,Panels!$A$1:$E$2104,5,0)</f>
        <v>Little Skirtful of Stones Cairn</v>
      </c>
    </row>
    <row r="5622">
      <c r="A5622" s="3">
        <v>2906.0</v>
      </c>
      <c r="B5622" s="3">
        <v>1.0</v>
      </c>
      <c r="C5622" s="3">
        <v>1.0</v>
      </c>
      <c r="D5622" t="str">
        <f>VLOOKUP(B5622,ERA_MOTIF_TYPES.csv!$A$1:$C$119,2,1)</f>
        <v>Cups Single</v>
      </c>
      <c r="E5622" t="str">
        <f>VLOOKUP(A5622,Panels!$A$1:$E$2104,5,0)</f>
        <v>Pennythorn Hill</v>
      </c>
    </row>
    <row r="5623">
      <c r="A5623" s="3">
        <v>2907.0</v>
      </c>
      <c r="B5623" s="3">
        <v>1.0</v>
      </c>
      <c r="C5623" s="3">
        <v>1.0</v>
      </c>
      <c r="D5623" t="str">
        <f>VLOOKUP(B5623,ERA_MOTIF_TYPES.csv!$A$1:$C$119,2,1)</f>
        <v>Cups Single</v>
      </c>
      <c r="E5623" t="str">
        <f>VLOOKUP(A5623,Panels!$A$1:$E$2104,5,0)</f>
        <v>Stead Crag</v>
      </c>
    </row>
    <row r="5624">
      <c r="A5624" s="3">
        <v>2940.0</v>
      </c>
      <c r="B5624" s="3">
        <v>1.0</v>
      </c>
      <c r="C5624" s="3">
        <v>15.0</v>
      </c>
      <c r="D5624" t="str">
        <f>VLOOKUP(B5624,ERA_MOTIF_TYPES.csv!$A$1:$C$119,2,1)</f>
        <v>Cups Single</v>
      </c>
      <c r="E5624" t="str">
        <f>VLOOKUP(A5624,Panels!$A$1:$E$2104,5,0)</f>
        <v>Green Crag Slack</v>
      </c>
    </row>
    <row r="5625">
      <c r="A5625" s="3">
        <v>2940.0</v>
      </c>
      <c r="B5625" s="3">
        <v>13.0</v>
      </c>
      <c r="C5625" s="3">
        <v>1.0</v>
      </c>
      <c r="D5625" t="str">
        <f>VLOOKUP(B5625,ERA_MOTIF_TYPES.csv!$A$1:$C$119,2,1)</f>
        <v>Single Ring + cup</v>
      </c>
      <c r="E5625" t="str">
        <f>VLOOKUP(A5625,Panels!$A$1:$E$2104,5,0)</f>
        <v>Green Crag Slack</v>
      </c>
    </row>
    <row r="5626">
      <c r="A5626" s="3">
        <v>2940.0</v>
      </c>
      <c r="B5626" s="3">
        <v>117.0</v>
      </c>
      <c r="C5626" s="3">
        <v>2.0</v>
      </c>
      <c r="D5626" t="str">
        <f>VLOOKUP(B5626,ERA_MOTIF_TYPES.csv!$A$1:$C$119,2,1)</f>
        <v>Dumb-bell</v>
      </c>
      <c r="E5626" t="str">
        <f>VLOOKUP(A5626,Panels!$A$1:$E$2104,5,0)</f>
        <v>Green Crag Slack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63"/>
    <col customWidth="1" min="4" max="4" width="22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</sheetData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761</v>
      </c>
      <c r="B1" s="5" t="s">
        <v>874</v>
      </c>
      <c r="C1" s="5" t="s">
        <v>875</v>
      </c>
      <c r="D1" s="5" t="s">
        <v>2</v>
      </c>
      <c r="E1" s="5" t="s">
        <v>876</v>
      </c>
    </row>
    <row r="2">
      <c r="A2" s="5">
        <v>1.0</v>
      </c>
      <c r="B2" s="5" t="s">
        <v>801</v>
      </c>
    </row>
    <row r="3">
      <c r="A3" s="5">
        <v>2.0</v>
      </c>
      <c r="B3" s="5" t="s">
        <v>842</v>
      </c>
      <c r="C3" s="5" t="s">
        <v>877</v>
      </c>
    </row>
    <row r="4">
      <c r="A4" s="5">
        <v>3.0</v>
      </c>
      <c r="B4" s="5" t="s">
        <v>837</v>
      </c>
      <c r="C4" s="5" t="s">
        <v>877</v>
      </c>
    </row>
    <row r="5">
      <c r="A5" s="5">
        <v>4.0</v>
      </c>
      <c r="B5" s="5" t="s">
        <v>774</v>
      </c>
      <c r="C5" s="5" t="s">
        <v>877</v>
      </c>
    </row>
    <row r="6">
      <c r="A6" s="5">
        <v>5.0</v>
      </c>
      <c r="B6" s="5" t="s">
        <v>847</v>
      </c>
      <c r="C6" s="5" t="s">
        <v>877</v>
      </c>
    </row>
    <row r="7">
      <c r="A7" s="5">
        <v>6.0</v>
      </c>
      <c r="B7" s="5" t="s">
        <v>803</v>
      </c>
      <c r="C7" s="5" t="s">
        <v>877</v>
      </c>
    </row>
    <row r="8">
      <c r="A8" s="5">
        <v>7.0</v>
      </c>
      <c r="B8" s="5" t="s">
        <v>862</v>
      </c>
      <c r="C8" s="5" t="s">
        <v>877</v>
      </c>
    </row>
    <row r="9">
      <c r="A9" s="5">
        <v>8.0</v>
      </c>
      <c r="B9" s="5" t="s">
        <v>827</v>
      </c>
      <c r="C9" s="5" t="s">
        <v>877</v>
      </c>
    </row>
    <row r="10">
      <c r="A10" s="5">
        <v>9.0</v>
      </c>
      <c r="B10" s="5" t="s">
        <v>825</v>
      </c>
      <c r="C10" s="5" t="s">
        <v>877</v>
      </c>
    </row>
    <row r="11">
      <c r="A11" s="5">
        <v>10.0</v>
      </c>
      <c r="B11" s="5" t="s">
        <v>857</v>
      </c>
      <c r="C11" s="5" t="s">
        <v>877</v>
      </c>
    </row>
    <row r="12">
      <c r="A12" s="5">
        <v>11.0</v>
      </c>
      <c r="B12" s="5" t="s">
        <v>860</v>
      </c>
      <c r="C12" s="5" t="s">
        <v>877</v>
      </c>
    </row>
    <row r="13">
      <c r="A13" s="5">
        <v>12.0</v>
      </c>
      <c r="B13" s="5" t="s">
        <v>822</v>
      </c>
      <c r="C13" s="5" t="s">
        <v>877</v>
      </c>
    </row>
    <row r="14">
      <c r="A14" s="5">
        <v>13.0</v>
      </c>
      <c r="B14" s="5" t="s">
        <v>863</v>
      </c>
      <c r="C14" s="5" t="s">
        <v>877</v>
      </c>
    </row>
    <row r="15">
      <c r="A15" s="5">
        <v>14.0</v>
      </c>
      <c r="B15" s="5" t="s">
        <v>828</v>
      </c>
      <c r="C15" s="5" t="s">
        <v>877</v>
      </c>
    </row>
    <row r="16">
      <c r="A16" s="5">
        <v>15.0</v>
      </c>
      <c r="B16" s="5" t="s">
        <v>826</v>
      </c>
      <c r="C16" s="5" t="s">
        <v>877</v>
      </c>
    </row>
    <row r="17">
      <c r="A17" s="5">
        <v>16.0</v>
      </c>
      <c r="B17" s="5" t="s">
        <v>858</v>
      </c>
      <c r="C17" s="5" t="s">
        <v>877</v>
      </c>
    </row>
    <row r="18">
      <c r="A18" s="5">
        <v>17.0</v>
      </c>
      <c r="B18" s="5" t="s">
        <v>861</v>
      </c>
      <c r="C18" s="5" t="s">
        <v>877</v>
      </c>
    </row>
    <row r="19">
      <c r="A19" s="5">
        <v>18.0</v>
      </c>
      <c r="B19" s="5" t="s">
        <v>823</v>
      </c>
      <c r="C19" s="5" t="s">
        <v>877</v>
      </c>
    </row>
    <row r="20">
      <c r="A20" s="5">
        <v>19.0</v>
      </c>
      <c r="B20" s="5" t="s">
        <v>812</v>
      </c>
      <c r="C20" s="5" t="s">
        <v>877</v>
      </c>
    </row>
    <row r="21">
      <c r="A21" s="5">
        <v>20.0</v>
      </c>
      <c r="B21" s="5" t="s">
        <v>878</v>
      </c>
      <c r="C21" s="5" t="s">
        <v>877</v>
      </c>
    </row>
    <row r="22">
      <c r="A22" s="5">
        <v>21.0</v>
      </c>
      <c r="B22" s="5" t="s">
        <v>814</v>
      </c>
      <c r="C22" s="5" t="s">
        <v>877</v>
      </c>
    </row>
    <row r="23">
      <c r="A23" s="5">
        <v>22.0</v>
      </c>
      <c r="B23" s="5" t="s">
        <v>813</v>
      </c>
      <c r="C23" s="5" t="s">
        <v>877</v>
      </c>
    </row>
    <row r="24">
      <c r="A24" s="5">
        <v>23.0</v>
      </c>
      <c r="B24" s="5" t="s">
        <v>879</v>
      </c>
      <c r="C24" s="5" t="s">
        <v>877</v>
      </c>
    </row>
    <row r="25">
      <c r="A25" s="5">
        <v>24.0</v>
      </c>
      <c r="B25" s="5" t="s">
        <v>824</v>
      </c>
      <c r="C25" s="5" t="s">
        <v>877</v>
      </c>
    </row>
    <row r="26">
      <c r="A26" s="5">
        <v>25.0</v>
      </c>
      <c r="B26" s="5" t="s">
        <v>818</v>
      </c>
      <c r="C26" s="5" t="s">
        <v>877</v>
      </c>
    </row>
    <row r="27">
      <c r="A27" s="5">
        <v>26.0</v>
      </c>
      <c r="B27" s="5" t="s">
        <v>836</v>
      </c>
      <c r="C27" s="5" t="s">
        <v>877</v>
      </c>
    </row>
    <row r="28">
      <c r="A28" s="5">
        <v>27.0</v>
      </c>
      <c r="B28" s="5" t="s">
        <v>855</v>
      </c>
      <c r="C28" s="5" t="s">
        <v>877</v>
      </c>
    </row>
    <row r="29">
      <c r="A29" s="5">
        <v>28.0</v>
      </c>
      <c r="B29" s="5" t="s">
        <v>771</v>
      </c>
      <c r="C29" s="5" t="s">
        <v>877</v>
      </c>
    </row>
    <row r="30">
      <c r="A30" s="5">
        <v>29.0</v>
      </c>
      <c r="B30" s="5" t="s">
        <v>807</v>
      </c>
      <c r="C30" s="5" t="s">
        <v>877</v>
      </c>
    </row>
    <row r="31">
      <c r="A31" s="5">
        <v>30.0</v>
      </c>
      <c r="B31" s="5" t="s">
        <v>880</v>
      </c>
      <c r="C31" s="5" t="s">
        <v>877</v>
      </c>
    </row>
    <row r="32">
      <c r="A32" s="5">
        <v>31.0</v>
      </c>
      <c r="B32" s="5" t="s">
        <v>777</v>
      </c>
      <c r="C32" s="5" t="s">
        <v>877</v>
      </c>
    </row>
    <row r="33">
      <c r="A33" s="5">
        <v>32.0</v>
      </c>
      <c r="B33" s="5" t="s">
        <v>796</v>
      </c>
      <c r="C33" s="5" t="s">
        <v>877</v>
      </c>
    </row>
    <row r="34">
      <c r="A34" s="5">
        <v>33.0</v>
      </c>
      <c r="B34" s="5" t="s">
        <v>794</v>
      </c>
      <c r="C34" s="5" t="s">
        <v>877</v>
      </c>
    </row>
    <row r="35">
      <c r="A35" s="5">
        <v>34.0</v>
      </c>
      <c r="B35" s="5" t="s">
        <v>795</v>
      </c>
      <c r="C35" s="5" t="s">
        <v>877</v>
      </c>
    </row>
    <row r="36">
      <c r="A36" s="5">
        <v>35.0</v>
      </c>
      <c r="B36" s="5" t="s">
        <v>793</v>
      </c>
      <c r="C36" s="5" t="s">
        <v>877</v>
      </c>
    </row>
    <row r="37">
      <c r="A37" s="5">
        <v>36.0</v>
      </c>
      <c r="B37" s="5" t="s">
        <v>791</v>
      </c>
      <c r="C37" s="5" t="s">
        <v>877</v>
      </c>
    </row>
    <row r="38">
      <c r="A38" s="5">
        <v>37.0</v>
      </c>
      <c r="B38" s="5" t="s">
        <v>792</v>
      </c>
      <c r="C38" s="5" t="s">
        <v>877</v>
      </c>
    </row>
    <row r="39">
      <c r="A39" s="5">
        <v>38.0</v>
      </c>
      <c r="B39" s="5" t="s">
        <v>864</v>
      </c>
      <c r="C39" s="5" t="s">
        <v>877</v>
      </c>
    </row>
    <row r="40">
      <c r="A40" s="5">
        <v>39.0</v>
      </c>
      <c r="B40" s="5" t="s">
        <v>865</v>
      </c>
      <c r="C40" s="5" t="s">
        <v>877</v>
      </c>
    </row>
    <row r="41">
      <c r="A41" s="5">
        <v>40.0</v>
      </c>
      <c r="B41" s="5" t="s">
        <v>866</v>
      </c>
      <c r="C41" s="5" t="s">
        <v>877</v>
      </c>
    </row>
    <row r="42">
      <c r="A42" s="5">
        <v>41.0</v>
      </c>
      <c r="B42" s="5" t="s">
        <v>867</v>
      </c>
      <c r="C42" s="5" t="s">
        <v>877</v>
      </c>
    </row>
    <row r="43">
      <c r="A43" s="5">
        <v>42.0</v>
      </c>
      <c r="B43" s="5" t="s">
        <v>881</v>
      </c>
      <c r="C43" s="5" t="s">
        <v>877</v>
      </c>
    </row>
    <row r="44">
      <c r="A44" s="5">
        <v>43.0</v>
      </c>
      <c r="B44" s="5" t="s">
        <v>882</v>
      </c>
      <c r="C44" s="5" t="s">
        <v>877</v>
      </c>
    </row>
    <row r="45">
      <c r="A45" s="5">
        <v>44.0</v>
      </c>
      <c r="B45" s="5" t="s">
        <v>850</v>
      </c>
      <c r="C45" s="5" t="s">
        <v>877</v>
      </c>
    </row>
    <row r="46">
      <c r="A46" s="5">
        <v>45.0</v>
      </c>
      <c r="B46" s="5" t="s">
        <v>851</v>
      </c>
      <c r="C46" s="5" t="s">
        <v>877</v>
      </c>
    </row>
    <row r="47">
      <c r="A47" s="5">
        <v>46.0</v>
      </c>
      <c r="B47" s="5" t="s">
        <v>808</v>
      </c>
      <c r="C47" s="5" t="s">
        <v>877</v>
      </c>
    </row>
    <row r="48">
      <c r="A48" s="5">
        <v>47.0</v>
      </c>
      <c r="B48" s="5" t="s">
        <v>810</v>
      </c>
      <c r="C48" s="5" t="s">
        <v>877</v>
      </c>
    </row>
    <row r="49">
      <c r="A49" s="5">
        <v>48.0</v>
      </c>
      <c r="B49" s="5" t="s">
        <v>869</v>
      </c>
      <c r="C49" s="5" t="s">
        <v>877</v>
      </c>
    </row>
    <row r="50">
      <c r="A50" s="5">
        <v>49.0</v>
      </c>
      <c r="B50" s="5" t="s">
        <v>829</v>
      </c>
      <c r="C50" s="5" t="s">
        <v>877</v>
      </c>
    </row>
    <row r="51">
      <c r="A51" s="5">
        <v>50.0</v>
      </c>
      <c r="B51" s="5" t="s">
        <v>770</v>
      </c>
      <c r="C51" s="5" t="s">
        <v>877</v>
      </c>
    </row>
    <row r="52">
      <c r="A52" s="5">
        <v>51.0</v>
      </c>
      <c r="B52" s="5" t="s">
        <v>769</v>
      </c>
      <c r="C52" s="5" t="s">
        <v>877</v>
      </c>
    </row>
    <row r="53">
      <c r="A53" s="5">
        <v>52.0</v>
      </c>
      <c r="B53" s="5" t="s">
        <v>859</v>
      </c>
      <c r="C53" s="5" t="s">
        <v>883</v>
      </c>
      <c r="D53" s="5">
        <v>1.0</v>
      </c>
      <c r="E53" s="5">
        <v>2.0</v>
      </c>
    </row>
    <row r="54">
      <c r="A54" s="5">
        <v>53.0</v>
      </c>
      <c r="B54" s="5" t="s">
        <v>804</v>
      </c>
      <c r="C54" s="5" t="s">
        <v>883</v>
      </c>
      <c r="D54" s="5">
        <v>3.0</v>
      </c>
      <c r="E54" s="5">
        <v>4.0</v>
      </c>
    </row>
    <row r="55">
      <c r="A55" s="5">
        <v>54.0</v>
      </c>
      <c r="B55" s="5" t="s">
        <v>847</v>
      </c>
      <c r="C55" s="5" t="s">
        <v>883</v>
      </c>
      <c r="D55" s="5">
        <v>4.0</v>
      </c>
      <c r="E55" s="5">
        <v>5.0</v>
      </c>
    </row>
    <row r="56">
      <c r="A56" s="5">
        <v>55.0</v>
      </c>
      <c r="B56" s="5" t="s">
        <v>800</v>
      </c>
      <c r="C56" s="5" t="s">
        <v>883</v>
      </c>
      <c r="D56" s="5">
        <v>5.0</v>
      </c>
      <c r="E56" s="5">
        <v>6.0</v>
      </c>
    </row>
    <row r="57">
      <c r="A57" s="5">
        <v>56.0</v>
      </c>
      <c r="B57" s="5" t="s">
        <v>799</v>
      </c>
      <c r="C57" s="5" t="s">
        <v>883</v>
      </c>
      <c r="D57" s="5">
        <v>6.0</v>
      </c>
      <c r="E57" s="5">
        <v>9.0</v>
      </c>
    </row>
    <row r="58">
      <c r="A58" s="5">
        <v>57.0</v>
      </c>
      <c r="B58" s="5" t="s">
        <v>788</v>
      </c>
      <c r="C58" s="5" t="s">
        <v>883</v>
      </c>
      <c r="D58" s="5">
        <v>7.0</v>
      </c>
      <c r="E58" s="5">
        <v>1.0</v>
      </c>
    </row>
    <row r="59">
      <c r="A59" s="5">
        <v>58.0</v>
      </c>
      <c r="B59" s="5" t="s">
        <v>786</v>
      </c>
      <c r="C59" s="5" t="s">
        <v>883</v>
      </c>
      <c r="D59" s="5">
        <v>8.0</v>
      </c>
      <c r="E59" s="5">
        <v>2.0</v>
      </c>
    </row>
    <row r="60">
      <c r="A60" s="5">
        <v>59.0</v>
      </c>
      <c r="B60" s="5" t="s">
        <v>787</v>
      </c>
      <c r="C60" s="5" t="s">
        <v>883</v>
      </c>
      <c r="D60" s="5">
        <v>9.0</v>
      </c>
      <c r="E60" s="5">
        <v>3.0</v>
      </c>
    </row>
    <row r="61">
      <c r="A61" s="5">
        <v>60.0</v>
      </c>
      <c r="B61" s="5" t="s">
        <v>785</v>
      </c>
      <c r="C61" s="5" t="s">
        <v>883</v>
      </c>
      <c r="D61" s="5">
        <v>10.0</v>
      </c>
      <c r="E61" s="5">
        <v>4.0</v>
      </c>
    </row>
    <row r="62">
      <c r="A62" s="5">
        <v>61.0</v>
      </c>
      <c r="B62" s="5" t="s">
        <v>776</v>
      </c>
      <c r="C62" s="5" t="s">
        <v>883</v>
      </c>
      <c r="D62" s="5">
        <v>11.0</v>
      </c>
      <c r="E62" s="5">
        <v>5.0</v>
      </c>
    </row>
    <row r="63">
      <c r="A63" s="5">
        <v>62.0</v>
      </c>
      <c r="B63" s="5" t="s">
        <v>783</v>
      </c>
      <c r="C63" s="5" t="s">
        <v>883</v>
      </c>
      <c r="D63" s="5">
        <v>12.0</v>
      </c>
      <c r="E63" s="5">
        <v>6.0</v>
      </c>
    </row>
    <row r="64">
      <c r="A64" s="5">
        <v>63.0</v>
      </c>
      <c r="B64" s="5" t="s">
        <v>798</v>
      </c>
      <c r="C64" s="5" t="s">
        <v>883</v>
      </c>
      <c r="D64" s="5">
        <v>13.0</v>
      </c>
      <c r="E64" s="5">
        <v>3.0</v>
      </c>
    </row>
    <row r="65">
      <c r="A65" s="5">
        <v>64.0</v>
      </c>
      <c r="B65" s="5" t="s">
        <v>797</v>
      </c>
      <c r="C65" s="5" t="s">
        <v>883</v>
      </c>
      <c r="D65" s="5">
        <v>14.0</v>
      </c>
      <c r="E65" s="5">
        <v>4.0</v>
      </c>
    </row>
    <row r="66">
      <c r="A66" s="5">
        <v>65.0</v>
      </c>
      <c r="B66" s="5" t="s">
        <v>781</v>
      </c>
      <c r="C66" s="5" t="s">
        <v>883</v>
      </c>
      <c r="D66" s="5">
        <v>15.0</v>
      </c>
      <c r="E66" s="5">
        <v>5.0</v>
      </c>
    </row>
    <row r="67">
      <c r="A67" s="5">
        <v>66.0</v>
      </c>
      <c r="B67" s="5" t="s">
        <v>780</v>
      </c>
      <c r="C67" s="5" t="s">
        <v>883</v>
      </c>
      <c r="D67" s="5">
        <v>16.0</v>
      </c>
      <c r="E67" s="5">
        <v>6.0</v>
      </c>
    </row>
    <row r="68">
      <c r="A68" s="5">
        <v>67.0</v>
      </c>
      <c r="B68" s="5" t="s">
        <v>778</v>
      </c>
      <c r="C68" s="5" t="s">
        <v>883</v>
      </c>
      <c r="D68" s="5">
        <v>17.0</v>
      </c>
      <c r="E68" s="5">
        <v>7.0</v>
      </c>
    </row>
    <row r="69">
      <c r="A69" s="5">
        <v>68.0</v>
      </c>
      <c r="B69" s="5" t="s">
        <v>779</v>
      </c>
      <c r="C69" s="5" t="s">
        <v>883</v>
      </c>
      <c r="D69" s="5">
        <v>18.0</v>
      </c>
      <c r="E69" s="5">
        <v>8.0</v>
      </c>
    </row>
    <row r="70">
      <c r="A70" s="5">
        <v>69.0</v>
      </c>
      <c r="B70" s="5" t="s">
        <v>845</v>
      </c>
      <c r="C70" s="5" t="s">
        <v>883</v>
      </c>
      <c r="D70" s="5">
        <v>19.0</v>
      </c>
      <c r="E70" s="5">
        <v>1.0</v>
      </c>
    </row>
    <row r="71">
      <c r="A71" s="5">
        <v>70.0</v>
      </c>
      <c r="B71" s="5" t="s">
        <v>773</v>
      </c>
      <c r="C71" s="5" t="s">
        <v>883</v>
      </c>
      <c r="D71" s="5">
        <v>20.0</v>
      </c>
      <c r="E71" s="5">
        <v>2.0</v>
      </c>
    </row>
    <row r="72">
      <c r="A72" s="5">
        <v>71.0</v>
      </c>
      <c r="B72" s="5" t="s">
        <v>839</v>
      </c>
      <c r="C72" s="5" t="s">
        <v>883</v>
      </c>
      <c r="D72" s="5">
        <v>21.0</v>
      </c>
      <c r="E72" s="5">
        <v>3.0</v>
      </c>
    </row>
    <row r="73">
      <c r="A73" s="5">
        <v>72.0</v>
      </c>
      <c r="B73" s="5" t="s">
        <v>831</v>
      </c>
      <c r="C73" s="5" t="s">
        <v>883</v>
      </c>
      <c r="D73" s="5">
        <v>22.0</v>
      </c>
      <c r="E73" s="5">
        <v>4.0</v>
      </c>
    </row>
    <row r="74">
      <c r="A74" s="5">
        <v>73.0</v>
      </c>
      <c r="B74" s="5" t="s">
        <v>767</v>
      </c>
      <c r="C74" s="5" t="s">
        <v>883</v>
      </c>
      <c r="D74" s="5">
        <v>23.0</v>
      </c>
      <c r="E74" s="5">
        <v>5.0</v>
      </c>
    </row>
    <row r="75">
      <c r="A75" s="5">
        <v>74.0</v>
      </c>
      <c r="B75" s="5" t="s">
        <v>830</v>
      </c>
      <c r="C75" s="5" t="s">
        <v>883</v>
      </c>
      <c r="D75" s="5">
        <v>24.0</v>
      </c>
      <c r="E75" s="5">
        <v>6.0</v>
      </c>
    </row>
    <row r="76">
      <c r="A76" s="5">
        <v>75.0</v>
      </c>
      <c r="B76" s="5" t="s">
        <v>812</v>
      </c>
      <c r="C76" s="5" t="s">
        <v>883</v>
      </c>
      <c r="D76" s="5">
        <v>25.0</v>
      </c>
      <c r="E76" s="5">
        <v>1.0</v>
      </c>
    </row>
    <row r="77">
      <c r="A77" s="5">
        <v>76.0</v>
      </c>
      <c r="B77" s="5" t="s">
        <v>878</v>
      </c>
      <c r="C77" s="5" t="s">
        <v>883</v>
      </c>
      <c r="D77" s="5">
        <v>26.0</v>
      </c>
      <c r="E77" s="5">
        <v>2.0</v>
      </c>
    </row>
    <row r="78">
      <c r="A78" s="5">
        <v>77.0</v>
      </c>
      <c r="B78" s="5" t="s">
        <v>815</v>
      </c>
      <c r="C78" s="5" t="s">
        <v>883</v>
      </c>
      <c r="D78" s="5">
        <v>27.0</v>
      </c>
      <c r="E78" s="5">
        <v>3.0</v>
      </c>
    </row>
    <row r="79">
      <c r="A79" s="5">
        <v>78.0</v>
      </c>
      <c r="B79" s="5" t="s">
        <v>816</v>
      </c>
      <c r="C79" s="5" t="s">
        <v>883</v>
      </c>
      <c r="D79" s="5">
        <v>28.0</v>
      </c>
      <c r="E79" s="5">
        <v>4.0</v>
      </c>
    </row>
    <row r="80">
      <c r="A80" s="5">
        <v>79.0</v>
      </c>
      <c r="B80" s="5" t="s">
        <v>884</v>
      </c>
      <c r="C80" s="5" t="s">
        <v>883</v>
      </c>
      <c r="D80" s="5">
        <v>29.0</v>
      </c>
      <c r="E80" s="5">
        <v>5.0</v>
      </c>
    </row>
    <row r="81">
      <c r="A81" s="5">
        <v>80.0</v>
      </c>
      <c r="B81" s="5" t="s">
        <v>782</v>
      </c>
      <c r="C81" s="5" t="s">
        <v>883</v>
      </c>
      <c r="D81" s="5">
        <v>30.0</v>
      </c>
      <c r="E81" s="5">
        <v>6.0</v>
      </c>
    </row>
    <row r="82">
      <c r="A82" s="5">
        <v>81.0</v>
      </c>
      <c r="B82" s="5" t="s">
        <v>784</v>
      </c>
      <c r="C82" s="5" t="s">
        <v>883</v>
      </c>
      <c r="D82" s="5">
        <v>31.0</v>
      </c>
      <c r="E82" s="5">
        <v>7.0</v>
      </c>
    </row>
    <row r="83">
      <c r="A83" s="5">
        <v>82.0</v>
      </c>
      <c r="B83" s="5" t="s">
        <v>848</v>
      </c>
      <c r="C83" s="5" t="s">
        <v>883</v>
      </c>
      <c r="D83" s="5">
        <v>32.0</v>
      </c>
      <c r="E83" s="5">
        <v>3.0</v>
      </c>
    </row>
    <row r="84">
      <c r="A84" s="5">
        <v>83.0</v>
      </c>
      <c r="B84" s="5" t="s">
        <v>849</v>
      </c>
      <c r="C84" s="5" t="s">
        <v>883</v>
      </c>
      <c r="D84" s="5">
        <v>33.0</v>
      </c>
      <c r="E84" s="5">
        <v>4.0</v>
      </c>
    </row>
    <row r="85">
      <c r="A85" s="5">
        <v>84.0</v>
      </c>
      <c r="B85" s="5" t="s">
        <v>835</v>
      </c>
      <c r="C85" s="5" t="s">
        <v>883</v>
      </c>
      <c r="D85" s="5">
        <v>34.0</v>
      </c>
      <c r="E85" s="5">
        <v>2.0</v>
      </c>
    </row>
    <row r="86">
      <c r="A86" s="5">
        <v>85.0</v>
      </c>
      <c r="B86" s="5" t="s">
        <v>809</v>
      </c>
      <c r="C86" s="5" t="s">
        <v>883</v>
      </c>
      <c r="D86" s="5">
        <v>35.0</v>
      </c>
      <c r="E86" s="5">
        <v>5.0</v>
      </c>
    </row>
    <row r="87">
      <c r="A87" s="5">
        <v>86.0</v>
      </c>
      <c r="B87" s="5" t="s">
        <v>832</v>
      </c>
      <c r="C87" s="5" t="s">
        <v>883</v>
      </c>
      <c r="D87" s="5">
        <v>36.0</v>
      </c>
      <c r="E87" s="5">
        <v>6.0</v>
      </c>
    </row>
    <row r="88">
      <c r="A88" s="5">
        <v>87.0</v>
      </c>
      <c r="B88" s="5" t="s">
        <v>819</v>
      </c>
      <c r="C88" s="5" t="s">
        <v>883</v>
      </c>
      <c r="D88" s="5">
        <v>37.0</v>
      </c>
      <c r="E88" s="5">
        <v>1.0</v>
      </c>
    </row>
    <row r="89">
      <c r="A89" s="5">
        <v>88.0</v>
      </c>
      <c r="B89" s="5" t="s">
        <v>838</v>
      </c>
      <c r="C89" s="5" t="s">
        <v>883</v>
      </c>
      <c r="D89" s="5">
        <v>38.0</v>
      </c>
      <c r="E89" s="5">
        <v>2.0</v>
      </c>
    </row>
    <row r="90">
      <c r="A90" s="5">
        <v>89.0</v>
      </c>
      <c r="B90" s="5" t="s">
        <v>771</v>
      </c>
      <c r="C90" s="5" t="s">
        <v>883</v>
      </c>
      <c r="D90" s="5">
        <v>39.0</v>
      </c>
      <c r="E90" s="5">
        <v>8.0</v>
      </c>
    </row>
    <row r="91">
      <c r="A91" s="5">
        <v>90.0</v>
      </c>
      <c r="B91" s="5" t="s">
        <v>856</v>
      </c>
      <c r="C91" s="5" t="s">
        <v>883</v>
      </c>
      <c r="D91" s="5">
        <v>40.0</v>
      </c>
      <c r="E91" s="5">
        <v>7.0</v>
      </c>
    </row>
    <row r="92">
      <c r="A92" s="5">
        <v>91.0</v>
      </c>
      <c r="B92" s="5" t="s">
        <v>806</v>
      </c>
      <c r="C92" s="5" t="s">
        <v>883</v>
      </c>
      <c r="D92" s="5">
        <v>41.0</v>
      </c>
      <c r="E92" s="5">
        <v>11.0</v>
      </c>
    </row>
    <row r="93">
      <c r="A93" s="5">
        <v>92.0</v>
      </c>
      <c r="B93" s="5" t="s">
        <v>871</v>
      </c>
      <c r="C93" s="5" t="s">
        <v>883</v>
      </c>
      <c r="D93" s="5">
        <v>42.0</v>
      </c>
      <c r="E93" s="5">
        <v>5.0</v>
      </c>
    </row>
    <row r="94">
      <c r="A94" s="5">
        <v>93.0</v>
      </c>
      <c r="B94" s="5" t="s">
        <v>821</v>
      </c>
      <c r="C94" s="5" t="s">
        <v>883</v>
      </c>
      <c r="D94" s="5">
        <v>43.0</v>
      </c>
      <c r="E94" s="5">
        <v>1.0</v>
      </c>
    </row>
    <row r="95">
      <c r="A95" s="5">
        <v>94.0</v>
      </c>
      <c r="B95" s="5" t="s">
        <v>768</v>
      </c>
      <c r="C95" s="5" t="s">
        <v>883</v>
      </c>
      <c r="D95" s="5">
        <v>44.0</v>
      </c>
      <c r="E95" s="5">
        <v>10.0</v>
      </c>
    </row>
    <row r="96">
      <c r="A96" s="5">
        <v>95.0</v>
      </c>
      <c r="B96" s="5" t="s">
        <v>870</v>
      </c>
      <c r="C96" s="5" t="s">
        <v>883</v>
      </c>
      <c r="D96" s="5">
        <v>45.0</v>
      </c>
      <c r="E96" s="5">
        <v>4.0</v>
      </c>
    </row>
    <row r="97">
      <c r="A97" s="5">
        <v>96.0</v>
      </c>
      <c r="B97" s="5" t="s">
        <v>853</v>
      </c>
      <c r="C97" s="5" t="s">
        <v>883</v>
      </c>
      <c r="D97" s="5">
        <v>46.0</v>
      </c>
      <c r="E97" s="5">
        <v>6.0</v>
      </c>
    </row>
    <row r="98">
      <c r="A98" s="5">
        <v>97.0</v>
      </c>
      <c r="B98" s="5" t="s">
        <v>811</v>
      </c>
      <c r="C98" s="5" t="s">
        <v>883</v>
      </c>
      <c r="D98" s="5">
        <v>47.0</v>
      </c>
      <c r="E98" s="5">
        <v>4.0</v>
      </c>
    </row>
    <row r="99">
      <c r="A99" s="5">
        <v>98.0</v>
      </c>
      <c r="B99" s="5" t="s">
        <v>817</v>
      </c>
      <c r="C99" s="5" t="s">
        <v>883</v>
      </c>
      <c r="D99" s="5">
        <v>48.0</v>
      </c>
      <c r="E99" s="5">
        <v>1.0</v>
      </c>
    </row>
    <row r="100">
      <c r="A100" s="5">
        <v>99.0</v>
      </c>
      <c r="B100" s="5" t="s">
        <v>844</v>
      </c>
      <c r="C100" s="5" t="s">
        <v>883</v>
      </c>
      <c r="D100" s="5">
        <v>49.0</v>
      </c>
      <c r="E100" s="5">
        <v>2.0</v>
      </c>
    </row>
    <row r="101">
      <c r="A101" s="5">
        <v>100.0</v>
      </c>
      <c r="B101" s="5" t="s">
        <v>840</v>
      </c>
      <c r="C101" s="5" t="s">
        <v>883</v>
      </c>
      <c r="D101" s="5">
        <v>50.0</v>
      </c>
      <c r="E101" s="5">
        <v>11.0</v>
      </c>
    </row>
    <row r="102">
      <c r="A102" s="5">
        <v>101.0</v>
      </c>
      <c r="B102" s="5" t="s">
        <v>834</v>
      </c>
      <c r="C102" s="5" t="s">
        <v>883</v>
      </c>
      <c r="D102" s="5">
        <v>51.0</v>
      </c>
      <c r="E102" s="5">
        <v>1.0</v>
      </c>
    </row>
    <row r="103">
      <c r="A103" s="5">
        <v>102.0</v>
      </c>
      <c r="B103" s="5" t="s">
        <v>775</v>
      </c>
      <c r="C103" s="5" t="s">
        <v>883</v>
      </c>
      <c r="D103" s="5">
        <v>52.0</v>
      </c>
      <c r="E103" s="5">
        <v>6.0</v>
      </c>
    </row>
    <row r="104">
      <c r="A104" s="5">
        <v>103.0</v>
      </c>
      <c r="B104" s="5" t="s">
        <v>885</v>
      </c>
      <c r="C104" s="5" t="s">
        <v>883</v>
      </c>
      <c r="D104" s="5">
        <v>53.0</v>
      </c>
      <c r="E104" s="5">
        <v>1.0</v>
      </c>
    </row>
    <row r="105">
      <c r="A105" s="5">
        <v>104.0</v>
      </c>
      <c r="B105" s="5" t="s">
        <v>766</v>
      </c>
      <c r="C105" s="5" t="s">
        <v>883</v>
      </c>
      <c r="D105" s="5">
        <v>54.0</v>
      </c>
      <c r="E105" s="5">
        <v>7.0</v>
      </c>
    </row>
    <row r="106">
      <c r="A106" s="5">
        <v>105.0</v>
      </c>
      <c r="B106" s="5" t="s">
        <v>872</v>
      </c>
      <c r="C106" s="5" t="s">
        <v>883</v>
      </c>
      <c r="D106" s="5">
        <v>55.0</v>
      </c>
      <c r="E106" s="5">
        <v>2.0</v>
      </c>
    </row>
    <row r="107">
      <c r="A107" s="5">
        <v>106.0</v>
      </c>
      <c r="B107" s="5" t="s">
        <v>820</v>
      </c>
      <c r="C107" s="5" t="s">
        <v>883</v>
      </c>
      <c r="D107" s="5">
        <v>56.0</v>
      </c>
      <c r="E107" s="5">
        <v>3.0</v>
      </c>
    </row>
    <row r="108">
      <c r="A108" s="5">
        <v>107.0</v>
      </c>
      <c r="B108" s="5" t="s">
        <v>789</v>
      </c>
      <c r="C108" s="5" t="s">
        <v>883</v>
      </c>
      <c r="D108" s="5">
        <v>57.0</v>
      </c>
      <c r="E108" s="5">
        <v>9.0</v>
      </c>
    </row>
    <row r="109">
      <c r="A109" s="5">
        <v>108.0</v>
      </c>
      <c r="B109" s="5" t="s">
        <v>790</v>
      </c>
      <c r="C109" s="5" t="s">
        <v>883</v>
      </c>
      <c r="D109" s="5">
        <v>58.0</v>
      </c>
      <c r="E109" s="5">
        <v>10.0</v>
      </c>
    </row>
    <row r="110">
      <c r="A110" s="5">
        <v>109.0</v>
      </c>
      <c r="B110" s="5" t="s">
        <v>841</v>
      </c>
      <c r="C110" s="5" t="s">
        <v>883</v>
      </c>
      <c r="D110" s="5">
        <v>59.0</v>
      </c>
      <c r="E110" s="5">
        <v>12.0</v>
      </c>
    </row>
    <row r="111">
      <c r="A111" s="5">
        <v>110.0</v>
      </c>
      <c r="B111" s="5" t="s">
        <v>802</v>
      </c>
      <c r="C111" s="5" t="s">
        <v>883</v>
      </c>
      <c r="D111" s="5">
        <v>60.0</v>
      </c>
      <c r="E111" s="5">
        <v>5.0</v>
      </c>
    </row>
    <row r="112">
      <c r="A112" s="5">
        <v>111.0</v>
      </c>
      <c r="B112" s="5" t="s">
        <v>772</v>
      </c>
      <c r="C112" s="5" t="s">
        <v>883</v>
      </c>
      <c r="D112" s="5">
        <v>61.0</v>
      </c>
      <c r="E112" s="5">
        <v>7.0</v>
      </c>
    </row>
    <row r="113">
      <c r="A113" s="5">
        <v>112.0</v>
      </c>
      <c r="B113" s="5" t="s">
        <v>852</v>
      </c>
      <c r="C113" s="5" t="s">
        <v>883</v>
      </c>
      <c r="D113" s="5">
        <v>62.0</v>
      </c>
      <c r="E113" s="5">
        <v>8.0</v>
      </c>
    </row>
    <row r="114">
      <c r="A114" s="5">
        <v>113.0</v>
      </c>
      <c r="B114" s="5" t="s">
        <v>846</v>
      </c>
      <c r="C114" s="5" t="s">
        <v>883</v>
      </c>
      <c r="D114" s="5">
        <v>63.0</v>
      </c>
      <c r="E114" s="5">
        <v>11.0</v>
      </c>
    </row>
    <row r="115">
      <c r="A115" s="5">
        <v>114.0</v>
      </c>
      <c r="B115" s="5" t="s">
        <v>854</v>
      </c>
      <c r="C115" s="5" t="s">
        <v>883</v>
      </c>
      <c r="D115" s="5">
        <v>64.0</v>
      </c>
      <c r="E115" s="5">
        <v>3.0</v>
      </c>
    </row>
    <row r="116">
      <c r="A116" s="5">
        <v>115.0</v>
      </c>
      <c r="B116" s="5" t="s">
        <v>868</v>
      </c>
      <c r="C116" s="5" t="s">
        <v>883</v>
      </c>
      <c r="D116" s="5">
        <v>65.0</v>
      </c>
      <c r="E116" s="5">
        <v>9.0</v>
      </c>
    </row>
    <row r="117">
      <c r="A117" s="5">
        <v>116.0</v>
      </c>
      <c r="B117" s="5" t="s">
        <v>833</v>
      </c>
      <c r="C117" s="5" t="s">
        <v>883</v>
      </c>
      <c r="D117" s="5">
        <v>66.0</v>
      </c>
      <c r="E117" s="5">
        <v>10.0</v>
      </c>
    </row>
    <row r="118">
      <c r="A118" s="5">
        <v>117.0</v>
      </c>
      <c r="B118" s="5" t="s">
        <v>805</v>
      </c>
      <c r="C118" s="5" t="s">
        <v>877</v>
      </c>
    </row>
    <row r="119">
      <c r="A119" s="5">
        <v>118.0</v>
      </c>
      <c r="B119" s="5" t="s">
        <v>843</v>
      </c>
      <c r="C119" s="5" t="s">
        <v>877</v>
      </c>
    </row>
  </sheetData>
  <drawing r:id="rId1"/>
</worksheet>
</file>